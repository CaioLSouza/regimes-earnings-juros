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" sheetId="1" state="visible" r:id="rId1"/>
    <sheet xmlns:r="http://schemas.openxmlformats.org/officeDocument/2006/relationships" name="Painel Setorial" sheetId="2" state="visible" r:id="rId2"/>
    <sheet xmlns:r="http://schemas.openxmlformats.org/officeDocument/2006/relationships" name="Sens Focus-Swap" sheetId="3" state="visible" r:id="rId3"/>
    <sheet xmlns:r="http://schemas.openxmlformats.org/officeDocument/2006/relationships" name="Inflacao" sheetId="4" state="visible" r:id="rId4"/>
    <sheet xmlns:r="http://schemas.openxmlformats.org/officeDocument/2006/relationships" name="Ex-Commodities" sheetId="5" state="visible" r:id="rId5"/>
    <sheet xmlns:r="http://schemas.openxmlformats.org/officeDocument/2006/relationships" name="Energia" sheetId="6" state="visible" r:id="rId6"/>
    <sheet xmlns:r="http://schemas.openxmlformats.org/officeDocument/2006/relationships" name="Earnings 12M Fwd" sheetId="7" state="visible" r:id="rId7"/>
    <sheet xmlns:r="http://schemas.openxmlformats.org/officeDocument/2006/relationships" name="Earnings Base 100" sheetId="8" state="visible" r:id="rId8"/>
    <sheet xmlns:r="http://schemas.openxmlformats.org/officeDocument/2006/relationships" name="Revisions 3M" sheetId="9" state="visible" r:id="rId9"/>
    <sheet xmlns:r="http://schemas.openxmlformats.org/officeDocument/2006/relationships" name="Series Energia" sheetId="10" state="visible" r:id="rId10"/>
    <sheet xmlns:r="http://schemas.openxmlformats.org/officeDocument/2006/relationships" name="Macro IBOV" sheetId="11" state="visible" r:id="rId11"/>
    <sheet xmlns:r="http://schemas.openxmlformats.org/officeDocument/2006/relationships" name="Reg IBOV" sheetId="12" state="visible" r:id="rId12"/>
    <sheet xmlns:r="http://schemas.openxmlformats.org/officeDocument/2006/relationships" name="Reg Setores" sheetId="13" state="visible" r:id="rId13"/>
    <sheet xmlns:r="http://schemas.openxmlformats.org/officeDocument/2006/relationships" name="Scatter Focus-Juros" sheetId="14" state="visible" r:id="rId14"/>
    <sheet xmlns:r="http://schemas.openxmlformats.org/officeDocument/2006/relationships" name="Swap Robustez" sheetId="15" state="visible" r:id="rId15"/>
    <sheet xmlns:r="http://schemas.openxmlformats.org/officeDocument/2006/relationships" name="Reg Energia" sheetId="16" state="visible" r:id="rId16"/>
    <sheet xmlns:r="http://schemas.openxmlformats.org/officeDocument/2006/relationships" name="Seams" sheetId="17" state="visible" r:id="rId17"/>
    <sheet xmlns:r="http://schemas.openxmlformats.org/officeDocument/2006/relationships" name="Fontes" sheetId="18" state="visible" r:id="rId18"/>
    <sheet xmlns:r="http://schemas.openxmlformats.org/officeDocument/2006/relationships" name="Dicionario" sheetId="19" state="visible" r:id="rId19"/>
  </sheets>
  <definedNames>
    <definedName name="_xlnm._FilterDatabase" localSheetId="13" hidden="1">'Scatter Focus-Juros'!$C$6:$M$17</definedName>
  </definedNames>
</workbook>
</file>

<file path=xl/styles.xml><?xml version="1.0" encoding="utf-8"?>
<styleSheet xmlns="http://schemas.openxmlformats.org/spreadsheetml/2006/main">
  <numFmts count="8">
    <numFmt numFmtId="164" formatCode="mmm yyyy"/>
    <numFmt numFmtId="165" formatCode="#,##0.0"/>
    <numFmt numFmtId="166" formatCode="0.0"/>
    <numFmt numFmtId="167" formatCode="0.0000"/>
    <numFmt numFmtId="168" formatCode="0.000"/>
    <numFmt numFmtId="169" formatCode="0.000000"/>
    <numFmt numFmtId="170" formatCode="0.0%"/>
    <numFmt numFmtId="171" formatCode="dd mmm yyyy"/>
  </numFmts>
  <fonts count="12">
    <font>
      <name val="Carlito"/>
      <sz val="11"/>
    </font>
    <font>
      <name val="Arial"/>
      <b val="1"/>
      <color rgb="FF1F4E78"/>
      <sz val="16"/>
    </font>
    <font>
      <name val="Arial"/>
      <i val="1"/>
      <color rgb="FF666666"/>
      <sz val="9"/>
    </font>
    <font>
      <name val="Arial"/>
      <color rgb="FF222222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i val="1"/>
      <color rgb="FF222222"/>
      <sz val="9"/>
    </font>
    <font>
      <name val="Arial"/>
      <b val="1"/>
      <color rgb="FF548235"/>
      <sz val="9"/>
    </font>
    <font>
      <name val="Arial"/>
      <b val="1"/>
      <color rgb="FF1F4E78"/>
      <sz val="9"/>
    </font>
    <font>
      <name val="Arial"/>
      <sz val="11"/>
    </font>
    <font>
      <name val="Arial"/>
      <b val="1"/>
      <color rgb="FF1F4E78"/>
      <sz val="14"/>
    </font>
    <font>
      <name val="Arial"/>
      <i val="1"/>
      <color rgb="FF666666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9">
    <border/>
    <border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hair">
        <color rgb="FFE7E6E6"/>
      </bottom>
    </border>
    <border>
      <top style="hair">
        <color rgb="FFE7E6E6"/>
      </top>
      <bottom style="hair">
        <color rgb="FFE7E6E6"/>
      </bottom>
    </border>
    <border>
      <top style="hair">
        <color rgb="FFE7E6E6"/>
      </top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3" fillId="0" borderId="3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164" fontId="3" fillId="0" borderId="5" applyAlignment="1" pivotButton="0" quotePrefix="0" xfId="0">
      <alignment horizontal="right" vertical="center"/>
    </xf>
    <xf numFmtId="165" fontId="3" fillId="0" borderId="3" applyAlignment="1" pivotButton="0" quotePrefix="0" xfId="0">
      <alignment vertical="center"/>
    </xf>
    <xf numFmtId="165" fontId="3" fillId="0" borderId="4" applyAlignment="1" pivotButton="0" quotePrefix="0" xfId="0">
      <alignment vertical="center"/>
    </xf>
    <xf numFmtId="165" fontId="3" fillId="0" borderId="5" applyAlignment="1" pivotButton="0" quotePrefix="0" xfId="0">
      <alignment vertical="center"/>
    </xf>
    <xf numFmtId="165" fontId="3" fillId="0" borderId="3" applyAlignment="1" pivotButton="0" quotePrefix="0" xfId="0">
      <alignment horizontal="left" vertical="center"/>
    </xf>
    <xf numFmtId="165" fontId="3" fillId="0" borderId="4" applyAlignment="1" pivotButton="0" quotePrefix="0" xfId="0">
      <alignment horizontal="left" vertical="center"/>
    </xf>
    <xf numFmtId="165" fontId="3" fillId="0" borderId="5" applyAlignment="1" pivotButton="0" quotePrefix="0" xfId="0">
      <alignment horizontal="left" vertical="center"/>
    </xf>
    <xf numFmtId="165" fontId="3" fillId="0" borderId="3" applyAlignment="1" pivotButton="0" quotePrefix="0" xfId="0">
      <alignment horizontal="right" vertical="center"/>
    </xf>
    <xf numFmtId="165" fontId="3" fillId="0" borderId="4" applyAlignment="1" pivotButton="0" quotePrefix="0" xfId="0">
      <alignment horizontal="right" vertical="center"/>
    </xf>
    <xf numFmtId="165" fontId="3" fillId="0" borderId="5" applyAlignment="1" pivotButton="0" quotePrefix="0" xfId="0">
      <alignment horizontal="right" vertical="center"/>
    </xf>
    <xf numFmtId="166" fontId="3" fillId="0" borderId="3" applyAlignment="1" pivotButton="0" quotePrefix="0" xfId="0">
      <alignment vertical="center"/>
    </xf>
    <xf numFmtId="166" fontId="3" fillId="0" borderId="4" applyAlignment="1" pivotButton="0" quotePrefix="0" xfId="0">
      <alignment vertical="center"/>
    </xf>
    <xf numFmtId="166" fontId="3" fillId="0" borderId="5" applyAlignment="1" pivotButton="0" quotePrefix="0" xfId="0">
      <alignment vertical="center"/>
    </xf>
    <xf numFmtId="166" fontId="3" fillId="0" borderId="3" applyAlignment="1" pivotButton="0" quotePrefix="0" xfId="0">
      <alignment horizontal="left" vertical="center"/>
    </xf>
    <xf numFmtId="166" fontId="3" fillId="0" borderId="4" applyAlignment="1" pivotButton="0" quotePrefix="0" xfId="0">
      <alignment horizontal="left" vertical="center"/>
    </xf>
    <xf numFmtId="166" fontId="3" fillId="0" borderId="5" applyAlignment="1" pivotButton="0" quotePrefix="0" xfId="0">
      <alignment horizontal="left" vertical="center"/>
    </xf>
    <xf numFmtId="166" fontId="3" fillId="0" borderId="3" applyAlignment="1" pivotButton="0" quotePrefix="0" xfId="0">
      <alignment horizontal="right" vertical="center"/>
    </xf>
    <xf numFmtId="166" fontId="3" fillId="0" borderId="4" applyAlignment="1" pivotButton="0" quotePrefix="0" xfId="0">
      <alignment horizontal="right" vertical="center"/>
    </xf>
    <xf numFmtId="166" fontId="3" fillId="0" borderId="5" applyAlignment="1" pivotButton="0" quotePrefix="0" xfId="0">
      <alignment horizontal="right" vertical="center"/>
    </xf>
    <xf numFmtId="4" fontId="3" fillId="0" borderId="3" applyAlignment="1" pivotButton="0" quotePrefix="0" xfId="0">
      <alignment vertical="center"/>
    </xf>
    <xf numFmtId="4" fontId="3" fillId="0" borderId="4" applyAlignment="1" pivotButton="0" quotePrefix="0" xfId="0">
      <alignment vertical="center"/>
    </xf>
    <xf numFmtId="4" fontId="3" fillId="0" borderId="5" applyAlignment="1" pivotButton="0" quotePrefix="0" xfId="0">
      <alignment vertical="center"/>
    </xf>
    <xf numFmtId="4" fontId="3" fillId="0" borderId="3" applyAlignment="1" pivotButton="0" quotePrefix="0" xfId="0">
      <alignment horizontal="left" vertical="center"/>
    </xf>
    <xf numFmtId="4" fontId="3" fillId="0" borderId="4" applyAlignment="1" pivotButton="0" quotePrefix="0" xfId="0">
      <alignment horizontal="left" vertical="center"/>
    </xf>
    <xf numFmtId="4" fontId="3" fillId="0" borderId="5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3" fillId="0" borderId="5" applyAlignment="1" pivotButton="0" quotePrefix="0" xfId="0">
      <alignment horizontal="right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0" borderId="3" applyAlignment="1" pivotButton="0" quotePrefix="0" xfId="0">
      <alignment horizontal="right" vertical="center"/>
    </xf>
    <xf numFmtId="2" fontId="3" fillId="0" borderId="4" applyAlignment="1" pivotButton="0" quotePrefix="0" xfId="0">
      <alignment horizontal="right" vertical="center"/>
    </xf>
    <xf numFmtId="2" fontId="3" fillId="0" borderId="5" applyAlignment="1" pivotButton="0" quotePrefix="0" xfId="0">
      <alignment horizontal="right" vertical="center"/>
    </xf>
    <xf numFmtId="167" fontId="3" fillId="0" borderId="3" applyAlignment="1" pivotButton="0" quotePrefix="0" xfId="0">
      <alignment vertical="center"/>
    </xf>
    <xf numFmtId="167" fontId="3" fillId="0" borderId="4" applyAlignment="1" pivotButton="0" quotePrefix="0" xfId="0">
      <alignment vertical="center"/>
    </xf>
    <xf numFmtId="167" fontId="3" fillId="0" borderId="5" applyAlignment="1" pivotButton="0" quotePrefix="0" xfId="0">
      <alignment vertical="center"/>
    </xf>
    <xf numFmtId="167" fontId="3" fillId="0" borderId="3" applyAlignment="1" pivotButton="0" quotePrefix="0" xfId="0">
      <alignment horizontal="right" vertical="center"/>
    </xf>
    <xf numFmtId="167" fontId="3" fillId="0" borderId="4" applyAlignment="1" pivotButton="0" quotePrefix="0" xfId="0">
      <alignment horizontal="right" vertical="center"/>
    </xf>
    <xf numFmtId="167" fontId="3" fillId="0" borderId="5" applyAlignment="1" pivotButton="0" quotePrefix="0" xfId="0">
      <alignment horizontal="right" vertical="center"/>
    </xf>
    <xf numFmtId="1" fontId="3" fillId="0" borderId="3" applyAlignment="1" pivotButton="0" quotePrefix="0" xfId="0">
      <alignment vertical="center"/>
    </xf>
    <xf numFmtId="1" fontId="3" fillId="0" borderId="4" applyAlignment="1" pivotButton="0" quotePrefix="0" xfId="0">
      <alignment vertical="center"/>
    </xf>
    <xf numFmtId="1" fontId="3" fillId="0" borderId="5" applyAlignment="1" pivotButton="0" quotePrefix="0" xfId="0">
      <alignment vertical="center"/>
    </xf>
    <xf numFmtId="1" fontId="3" fillId="0" borderId="3" applyAlignment="1" pivotButton="0" quotePrefix="0" xfId="0">
      <alignment horizontal="right" vertical="center"/>
    </xf>
    <xf numFmtId="1" fontId="3" fillId="0" borderId="4" applyAlignment="1" pivotButton="0" quotePrefix="0" xfId="0">
      <alignment horizontal="right" vertical="center"/>
    </xf>
    <xf numFmtId="1" fontId="3" fillId="0" borderId="5" applyAlignment="1" pivotButton="0" quotePrefix="0" xfId="0">
      <alignment horizontal="right" vertical="center"/>
    </xf>
    <xf numFmtId="168" fontId="3" fillId="0" borderId="3" applyAlignment="1" pivotButton="0" quotePrefix="0" xfId="0">
      <alignment vertical="center"/>
    </xf>
    <xf numFmtId="168" fontId="3" fillId="0" borderId="4" applyAlignment="1" pivotButton="0" quotePrefix="0" xfId="0">
      <alignment vertical="center"/>
    </xf>
    <xf numFmtId="168" fontId="3" fillId="0" borderId="5" applyAlignment="1" pivotButton="0" quotePrefix="0" xfId="0">
      <alignment vertical="center"/>
    </xf>
    <xf numFmtId="168" fontId="3" fillId="0" borderId="3" applyAlignment="1" pivotButton="0" quotePrefix="0" xfId="0">
      <alignment horizontal="right" vertical="center"/>
    </xf>
    <xf numFmtId="168" fontId="3" fillId="0" borderId="4" applyAlignment="1" pivotButton="0" quotePrefix="0" xfId="0">
      <alignment horizontal="right" vertical="center"/>
    </xf>
    <xf numFmtId="168" fontId="3" fillId="0" borderId="5" applyAlignment="1" pivotButton="0" quotePrefix="0" xfId="0">
      <alignment horizontal="right" vertical="center"/>
    </xf>
    <xf numFmtId="0" fontId="0" fillId="2" borderId="0" pivotButton="0" quotePrefix="0" xfId="0"/>
    <xf numFmtId="0" fontId="5" fillId="2" borderId="0" pivotButton="0" quotePrefix="0" xfId="0"/>
    <xf numFmtId="0" fontId="5" fillId="2" borderId="6" pivotButton="0" quotePrefix="0" xfId="0"/>
    <xf numFmtId="0" fontId="5" fillId="2" borderId="7" pivotButton="0" quotePrefix="0" xfId="0"/>
    <xf numFmtId="0" fontId="5" fillId="2" borderId="8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0" fontId="0" fillId="3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2" fontId="4" fillId="2" borderId="2" applyAlignment="1" pivotButton="0" quotePrefix="0" xfId="0">
      <alignment horizontal="center" vertical="center" wrapText="1"/>
    </xf>
    <xf numFmtId="169" fontId="0" fillId="0" borderId="0" pivotButton="0" quotePrefix="0" xfId="0"/>
    <xf numFmtId="0" fontId="3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17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71" fontId="3" fillId="0" borderId="0" applyAlignment="1" pivotButton="0" quotePrefix="0" xfId="0">
      <alignment vertical="center"/>
    </xf>
    <xf numFmtId="0" fontId="9" fillId="0" borderId="1" pivotButton="0" quotePrefix="0" xfId="0"/>
    <xf numFmtId="0" fontId="9" fillId="0" borderId="0" pivotButton="0" quotePrefix="0" xfId="0"/>
    <xf numFmtId="169" fontId="9" fillId="0" borderId="0" pivotButton="0" quotePrefix="0" xfId="0"/>
    <xf numFmtId="164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2" fontId="4" fillId="2" borderId="2" applyAlignment="1" pivotButton="0" quotePrefix="0" xfId="0">
      <alignment horizontal="center" vertical="center" wrapText="1"/>
    </xf>
    <xf numFmtId="169" fontId="9" fillId="0" borderId="0" pivotButton="0" quotePrefix="0" xfId="0"/>
    <xf numFmtId="4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70" fontId="3" fillId="0" borderId="0" applyAlignment="1" pivotButton="0" quotePrefix="0" xfId="0">
      <alignment vertical="center"/>
    </xf>
    <xf numFmtId="164" fontId="3" fillId="0" borderId="3" applyAlignment="1" pivotButton="0" quotePrefix="0" xfId="0">
      <alignment horizontal="right" vertical="center"/>
    </xf>
    <xf numFmtId="165" fontId="3" fillId="0" borderId="3" applyAlignment="1" pivotButton="0" quotePrefix="0" xfId="0">
      <alignment horizontal="left" vertical="center"/>
    </xf>
    <xf numFmtId="165" fontId="3" fillId="0" borderId="3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165" fontId="3" fillId="0" borderId="4" applyAlignment="1" pivotButton="0" quotePrefix="0" xfId="0">
      <alignment horizontal="left" vertical="center"/>
    </xf>
    <xf numFmtId="165" fontId="3" fillId="0" borderId="4" applyAlignment="1" pivotButton="0" quotePrefix="0" xfId="0">
      <alignment horizontal="right" vertical="center"/>
    </xf>
    <xf numFmtId="164" fontId="3" fillId="0" borderId="5" applyAlignment="1" pivotButton="0" quotePrefix="0" xfId="0">
      <alignment horizontal="right" vertical="center"/>
    </xf>
    <xf numFmtId="165" fontId="3" fillId="0" borderId="5" applyAlignment="1" pivotButton="0" quotePrefix="0" xfId="0">
      <alignment horizontal="left" vertical="center"/>
    </xf>
    <xf numFmtId="165" fontId="3" fillId="0" borderId="5" applyAlignment="1" pivotButton="0" quotePrefix="0" xfId="0">
      <alignment horizontal="right" vertical="center"/>
    </xf>
    <xf numFmtId="166" fontId="3" fillId="0" borderId="3" applyAlignment="1" pivotButton="0" quotePrefix="0" xfId="0">
      <alignment horizontal="left" vertical="center"/>
    </xf>
    <xf numFmtId="166" fontId="3" fillId="0" borderId="3" applyAlignment="1" pivotButton="0" quotePrefix="0" xfId="0">
      <alignment horizontal="right" vertical="center"/>
    </xf>
    <xf numFmtId="166" fontId="3" fillId="0" borderId="4" applyAlignment="1" pivotButton="0" quotePrefix="0" xfId="0">
      <alignment horizontal="left" vertical="center"/>
    </xf>
    <xf numFmtId="166" fontId="3" fillId="0" borderId="4" applyAlignment="1" pivotButton="0" quotePrefix="0" xfId="0">
      <alignment horizontal="right" vertical="center"/>
    </xf>
    <xf numFmtId="166" fontId="3" fillId="0" borderId="5" applyAlignment="1" pivotButton="0" quotePrefix="0" xfId="0">
      <alignment horizontal="left" vertical="center"/>
    </xf>
    <xf numFmtId="166" fontId="3" fillId="0" borderId="5" applyAlignment="1" pivotButton="0" quotePrefix="0" xfId="0">
      <alignment horizontal="right" vertical="center"/>
    </xf>
    <xf numFmtId="4" fontId="3" fillId="0" borderId="3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left" vertical="center"/>
    </xf>
    <xf numFmtId="4" fontId="3" fillId="0" borderId="4" applyAlignment="1" pivotButton="0" quotePrefix="0" xfId="0">
      <alignment horizontal="right" vertical="center"/>
    </xf>
    <xf numFmtId="4" fontId="3" fillId="0" borderId="5" applyAlignment="1" pivotButton="0" quotePrefix="0" xfId="0">
      <alignment horizontal="left" vertical="center"/>
    </xf>
    <xf numFmtId="4" fontId="3" fillId="0" borderId="5" applyAlignment="1" pivotButton="0" quotePrefix="0" xfId="0">
      <alignment horizontal="right" vertical="center"/>
    </xf>
    <xf numFmtId="2" fontId="3" fillId="0" borderId="3" applyAlignment="1" pivotButton="0" quotePrefix="0" xfId="0">
      <alignment horizontal="right" vertical="center"/>
    </xf>
    <xf numFmtId="167" fontId="3" fillId="0" borderId="3" applyAlignment="1" pivotButton="0" quotePrefix="0" xfId="0">
      <alignment horizontal="right" vertical="center"/>
    </xf>
    <xf numFmtId="2" fontId="3" fillId="0" borderId="4" applyAlignment="1" pivotButton="0" quotePrefix="0" xfId="0">
      <alignment horizontal="right" vertical="center"/>
    </xf>
    <xf numFmtId="167" fontId="3" fillId="0" borderId="4" applyAlignment="1" pivotButton="0" quotePrefix="0" xfId="0">
      <alignment horizontal="right" vertical="center"/>
    </xf>
    <xf numFmtId="2" fontId="3" fillId="0" borderId="5" applyAlignment="1" pivotButton="0" quotePrefix="0" xfId="0">
      <alignment horizontal="right" vertical="center"/>
    </xf>
    <xf numFmtId="167" fontId="3" fillId="0" borderId="5" applyAlignment="1" pivotButton="0" quotePrefix="0" xfId="0">
      <alignment horizontal="right" vertical="center"/>
    </xf>
    <xf numFmtId="1" fontId="3" fillId="0" borderId="3" applyAlignment="1" pivotButton="0" quotePrefix="0" xfId="0">
      <alignment horizontal="right" vertical="center"/>
    </xf>
    <xf numFmtId="168" fontId="3" fillId="0" borderId="3" applyAlignment="1" pivotButton="0" quotePrefix="0" xfId="0">
      <alignment horizontal="right" vertical="center"/>
    </xf>
    <xf numFmtId="1" fontId="3" fillId="0" borderId="4" applyAlignment="1" pivotButton="0" quotePrefix="0" xfId="0">
      <alignment horizontal="right" vertical="center"/>
    </xf>
    <xf numFmtId="168" fontId="3" fillId="0" borderId="4" applyAlignment="1" pivotButton="0" quotePrefix="0" xfId="0">
      <alignment horizontal="right" vertical="center"/>
    </xf>
    <xf numFmtId="1" fontId="3" fillId="0" borderId="5" applyAlignment="1" pivotButton="0" quotePrefix="0" xfId="0">
      <alignment horizontal="right" vertical="center"/>
    </xf>
    <xf numFmtId="168" fontId="3" fillId="0" borderId="5" applyAlignment="1" pivotButton="0" quotePrefix="0" xfId="0">
      <alignment horizontal="right" vertical="center"/>
    </xf>
    <xf numFmtId="0" fontId="10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171" fontId="3" fillId="0" borderId="0" applyAlignment="1" pivotButton="0" quotePrefix="0" xfId="0">
      <alignment vertical="center"/>
    </xf>
  </cellXfs>
  <cellStyles count="1">
    <cellStyle name="Normal" xfId="0"/>
  </cellStyles>
  <dxfs count="5"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Beta Focus padronizado por setor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Focus beta pad.</v>
          </tx>
          <spPr>
            <a:ln xmlns:a="http://schemas.openxmlformats.org/drawingml/2006/main">
              <a:prstDash val="solid"/>
            </a:ln>
          </spPr>
          <cat>
            <strRef>
              <f>'Painel Setorial'!$C$9:$C$19</f>
              <strCache>
                <ptCount val="0"/>
              </strCache>
            </strRef>
          </cat>
          <val>
            <numRef>
              <f>'Painel Setorial'!$F$9:$F$19</f>
              <numCache>
                <formatCode>0.000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Earnings 12 meses forward por setor - base 100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lineChart>
        <grouping val="standard"/>
        <varyColors val="0"/>
        <ser>
          <idx val="0"/>
          <order val="0"/>
          <tx>
            <v>IBOV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100'!$D$236:$D$460</f>
              <numCache>
                <formatCode>0</formatCode>
                <ptCount val="0"/>
              </numCache>
            </numRef>
          </val>
          <smooth val="0"/>
        </ser>
        <ser>
          <idx val="1"/>
          <order val="1"/>
          <tx>
            <v>Communication Services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100'!$E$236:$E$460</f>
              <numCache>
                <formatCode>0</formatCode>
                <ptCount val="0"/>
              </numCache>
            </numRef>
          </val>
          <smooth val="0"/>
        </ser>
        <ser>
          <idx val="2"/>
          <order val="2"/>
          <tx>
            <v>Consumer Discretionary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100'!$F$236:$F$460</f>
              <numCache>
                <formatCode>0</formatCode>
                <ptCount val="0"/>
              </numCache>
            </numRef>
          </val>
          <smooth val="0"/>
        </ser>
        <ser>
          <idx val="3"/>
          <order val="3"/>
          <tx>
            <v>Consumer Staples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100'!$G$236:$G$460</f>
              <numCache>
                <formatCode>0</formatCode>
                <ptCount val="0"/>
              </numCache>
            </numRef>
          </val>
          <smooth val="0"/>
        </ser>
        <ser>
          <idx val="4"/>
          <order val="4"/>
          <tx>
            <v>Energy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100'!$H$236:$H$460</f>
              <numCache>
                <formatCode>0</formatCode>
                <ptCount val="0"/>
              </numCache>
            </numRef>
          </val>
          <smooth val="0"/>
        </ser>
        <ser>
          <idx val="5"/>
          <order val="5"/>
          <tx>
            <v>Financials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100'!$I$236:$I$460</f>
              <numCache>
                <formatCode>0</formatCode>
                <ptCount val="0"/>
              </numCache>
            </numRef>
          </val>
          <smooth val="0"/>
        </ser>
        <ser>
          <idx val="6"/>
          <order val="6"/>
          <tx>
            <v>Health Care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100'!$J$236:$J$460</f>
              <numCache>
                <formatCode>0</formatCode>
                <ptCount val="0"/>
              </numCache>
            </numRef>
          </val>
          <smooth val="0"/>
        </ser>
        <ser>
          <idx val="7"/>
          <order val="7"/>
          <tx>
            <v>Industrials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100'!$K$236:$K$460</f>
              <numCache>
                <formatCode>0</formatCode>
                <ptCount val="0"/>
              </numCache>
            </numRef>
          </val>
          <smooth val="0"/>
        </ser>
        <ser>
          <idx val="8"/>
          <order val="8"/>
          <tx>
            <v>Information Technology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100'!$L$236:$L$460</f>
              <numCache>
                <formatCode>0</formatCode>
                <ptCount val="0"/>
              </numCache>
            </numRef>
          </val>
          <smooth val="0"/>
        </ser>
        <ser>
          <idx val="9"/>
          <order val="9"/>
          <tx>
            <v>Materials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100'!$M$236:$M$460</f>
              <numCache>
                <formatCode>0</formatCode>
                <ptCount val="0"/>
              </numCache>
            </numRef>
          </val>
          <smooth val="0"/>
        </ser>
        <ser>
          <idx val="10"/>
          <order val="10"/>
          <tx>
            <v>Real Estate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100'!$N$236:$N$460</f>
              <numCache>
                <formatCode>0</formatCode>
                <ptCount val="0"/>
              </numCache>
            </numRef>
          </val>
          <smooth val="0"/>
        </ser>
        <ser>
          <idx val="11"/>
          <order val="11"/>
          <tx>
            <v>Utilities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'Earnings Base 100'!$C$236:$C$460</f>
              <strCache>
                <ptCount val="0"/>
              </strCache>
            </strRef>
          </cat>
          <val>
            <numRef>
              <f>'Earnings Base 100'!$O$236:$O$460</f>
              <numCache>
                <formatCode>0</formatCode>
                <ptCount val="0"/>
              </numCache>
            </numRef>
          </val>
          <smooth val="0"/>
        </ser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72768"/>
        <lblOffset val="100"/>
        <tickLblSkip val="18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Earnings de Energia e companhias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lineChart>
        <grouping val="standard"/>
        <varyColors val="0"/>
        <ser>
          <idx val="0"/>
          <order val="0"/>
          <tx>
            <v>Energy reported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'Series Energia'!$C$236:$C$460</f>
              <strCache>
                <ptCount val="0"/>
              </strCache>
            </strRef>
          </cat>
          <val>
            <numRef>
              <f>'Series Energia'!$D$236:$D$460</f>
              <numCache>
                <formatCode>#,##0</formatCode>
                <ptCount val="0"/>
              </numCache>
            </numRef>
          </val>
          <smooth val="0"/>
        </ser>
        <ser>
          <idx val="1"/>
          <order val="1"/>
          <tx>
            <v>Petrobras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'Series Energia'!$C$236:$C$460</f>
              <strCache>
                <ptCount val="0"/>
              </strCache>
            </strRef>
          </cat>
          <val>
            <numRef>
              <f>'Series Energia'!$E$236:$E$460</f>
              <numCache>
                <formatCode>#,##0</formatCode>
                <ptCount val="0"/>
              </numCache>
            </numRef>
          </val>
          <smooth val="0"/>
        </ser>
        <ser>
          <idx val="2"/>
          <order val="2"/>
          <tx>
            <v>Ex-Petrobras dynamic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'Series Energia'!$C$236:$C$460</f>
              <strCache>
                <ptCount val="0"/>
              </strCache>
            </strRef>
          </cat>
          <val>
            <numRef>
              <f>'Series Energia'!$F$236:$F$460</f>
              <numCache>
                <formatCode>#,##0</formatCode>
                <ptCount val="0"/>
              </numCache>
            </numRef>
          </val>
          <smooth val="0"/>
        </ser>
        <ser>
          <idx val="3"/>
          <order val="3"/>
          <tx>
            <v>Ex-Petrobras core (PRIO + Brava)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'Series Energia'!$C$236:$C$460</f>
              <strCache>
                <ptCount val="0"/>
              </strCache>
            </strRef>
          </cat>
          <val>
            <numRef>
              <f>'Series Energia'!$G$236:$G$460</f>
              <numCache>
                <formatCode>#,##0</formatCode>
                <ptCount val="0"/>
              </numCache>
            </numRef>
          </val>
          <smooth val="0"/>
        </ser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72768"/>
        <lblOffset val="100"/>
        <tickLblSkip val="18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de earnings ao Focus × beta de performance ao DI</a:t>
            </a:r>
          </a:p>
        </rich>
      </tx>
    </title>
    <plotArea>
      <scatterChart>
        <varyColors val="0"/>
        <ser>
          <idx val="0"/>
          <order val="0"/>
          <tx>
            <v>Setores GICS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solidFill>
                <a:srgbClr val="2563EB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'Scatter Focus-Juros'!$E$7:$E$17</f>
            </numRef>
          </xVal>
          <yVal>
            <numRef>
              <f>'Scatter Focus-Juros'!$F$7:$F$17</f>
            </numRef>
          </yVal>
        </ser>
        <dLbls>
          <showVal val="0"/>
        </dLbls>
        <axId val="10"/>
        <axId val="20"/>
      </scatterChart>
      <valAx>
        <axId val="10"/>
        <scaling>
          <orientation val="minMax"/>
          <max val="0.68"/>
          <min val="-0.1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Beta Focus earnings (padronizado)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14"/>
          <min val="-0.1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Beta performance ao swap DI 360d (padronizado; controla IBOV)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13</col>
      <colOff>0</colOff>
      <row>5</row>
      <rowOff>0</rowOff>
    </from>
    <to>
      <col>22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17</col>
      <colOff>0</colOff>
      <row>1</row>
      <rowOff>0</rowOff>
    </from>
    <to>
      <col>30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13</col>
      <colOff>0</colOff>
      <row>1</row>
      <rowOff>0</rowOff>
    </from>
    <to>
      <col>26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oneCellAnchor>
    <from>
      <col>2</col>
      <colOff>0</colOff>
      <row>20</row>
      <rowOff>0</rowOff>
    </from>
    <ext cx="82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flation" displayName="TblInflation" ref="C14:Q26" headerRowCount="1" totalsRowCount="0" totalsRowShown="0">
  <tableColumns count="15">
    <tableColumn id="1" name="sample"/>
    <tableColumn id="2" name="candidate"/>
    <tableColumn id="3" name="start"/>
    <tableColumn id="4" name="end"/>
    <tableColumn id="5" name="n"/>
    <tableColumn id="6" name="univariate_r2"/>
    <tableColumn id="7" name="base_r2"/>
    <tableColumn id="8" name="augmented_r2"/>
    <tableColumn id="9" name="delta_r2"/>
    <tableColumn id="10" name="delta_adj_r2"/>
    <tableColumn id="11" name="beta"/>
    <tableColumn id="12" name="se_hac"/>
    <tableColumn id="13" name="t_hac"/>
    <tableColumn id="14" name="p_hac"/>
    <tableColumn id="15" name="beta_st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xCommod" displayName="TblExCommod" ref="C18:Z24" headerRowCount="1" totalsRowCount="0" totalsRowShown="0">
  <tableColumns count="24">
    <tableColumn id="1" name="sample"/>
    <tableColumn id="2" name="start"/>
    <tableColumn id="3" name="end"/>
    <tableColumn id="4" name="n"/>
    <tableColumn id="5" name="corr_targets"/>
    <tableColumn id="6" name="beta_focus_ibov"/>
    <tableColumn id="7" name="p_focus_ibov"/>
    <tableColumn id="8" name="beta_std_focus_ibov"/>
    <tableColumn id="9" name="beta_focus_excommod"/>
    <tableColumn id="10" name="p_focus_excommod"/>
    <tableColumn id="11" name="beta_std_focus_excommod"/>
    <tableColumn id="12" name="beta_focus_commodities"/>
    <tableColumn id="13" name="p_focus_commodities"/>
    <tableColumn id="14" name="beta_std_focus_commodities"/>
    <tableColumn id="15" name="beta_focus_difference"/>
    <tableColumn id="16" name="p_focus_difference"/>
    <tableColumn id="17" name="beta_std_focus_difference"/>
    <tableColumn id="18" name="r2_ibov"/>
    <tableColumn id="19" name="r2_excommod"/>
    <tableColumn id="20" name="r2_commodities"/>
    <tableColumn id="21" name="simple_beta_focus_ibov"/>
    <tableColumn id="22" name="simple_beta_focus_excommod"/>
    <tableColumn id="23" name="simple_beta_focus_difference"/>
    <tableColumn id="24" name="simple_p_focus_dif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arnings12MFwd" displayName="TblEarnings12MFwd" ref="C6:R231" headerRowCount="1" totalsRowCount="0" totalsRowShown="0">
  <tableColumns count="16">
    <tableColumn id="1" name="month"/>
    <tableColumn id="2" name="date"/>
    <tableColumn id="3" name="source_file"/>
    <tableColumn id="4" name="IBOV"/>
    <tableColumn id="5" name="Communication Services"/>
    <tableColumn id="6" name="Consumer Discretionary"/>
    <tableColumn id="7" name="Consumer Staples"/>
    <tableColumn id="8" name="Energy"/>
    <tableColumn id="9" name="Financials"/>
    <tableColumn id="10" name="Health Care"/>
    <tableColumn id="11" name="Industrials"/>
    <tableColumn id="12" name="Information Technology"/>
    <tableColumn id="13" name="Materials"/>
    <tableColumn id="14" name="Real Estate"/>
    <tableColumn id="15" name="Utilities"/>
    <tableColumn id="16" name="Not Classifi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arningsBase100" displayName="TblEarningsBase100" ref="C6:Q231" headerRowCount="1" totalsRowCount="0" totalsRowShown="0">
  <tableColumns count="15">
    <tableColumn id="1" name="month"/>
    <tableColumn id="2" name="date"/>
    <tableColumn id="3" name="source_file"/>
    <tableColumn id="4" name="IBOV"/>
    <tableColumn id="5" name="Communication Services"/>
    <tableColumn id="6" name="Consumer Discretionary"/>
    <tableColumn id="7" name="Consumer Staples"/>
    <tableColumn id="8" name="Energy"/>
    <tableColumn id="9" name="Financials"/>
    <tableColumn id="10" name="Health Care"/>
    <tableColumn id="11" name="Industrials"/>
    <tableColumn id="12" name="Information Technology"/>
    <tableColumn id="13" name="Materials"/>
    <tableColumn id="14" name="Real Estate"/>
    <tableColumn id="15" name="Utilit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evisions3M" displayName="TblRevisions3M" ref="C6:R231" headerRowCount="1" totalsRowCount="0" totalsRowShown="0">
  <tableColumns count="16">
    <tableColumn id="1" name="month"/>
    <tableColumn id="2" name="date"/>
    <tableColumn id="3" name="source_file"/>
    <tableColumn id="4" name="IBOV"/>
    <tableColumn id="5" name="Communication Services"/>
    <tableColumn id="6" name="Consumer Discretionary"/>
    <tableColumn id="7" name="Consumer Staples"/>
    <tableColumn id="8" name="Energy"/>
    <tableColumn id="9" name="Financials"/>
    <tableColumn id="10" name="Health Care"/>
    <tableColumn id="11" name="Industrials"/>
    <tableColumn id="12" name="Information Technology"/>
    <tableColumn id="13" name="Materials"/>
    <tableColumn id="14" name="Real Estate"/>
    <tableColumn id="15" name="Utilities"/>
    <tableColumn id="16" name="Not Classifi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nergySeries" displayName="TblEnergySeries" ref="C6:L231" headerRowCount="1" totalsRowCount="0" totalsRowShown="0">
  <tableColumns count="10">
    <tableColumn id="1" name="month"/>
    <tableColumn id="2" name="Energy reported"/>
    <tableColumn id="3" name="IBOV"/>
    <tableColumn id="4" name="Brava Energia"/>
    <tableColumn id="5" name="Oleo e Gas Participacoes"/>
    <tableColumn id="6" name="PRIO"/>
    <tableColumn id="7" name="PetroReconcavo"/>
    <tableColumn id="8" name="Petrobras"/>
    <tableColumn id="9" name="Ex-Petrobras dynamic"/>
    <tableColumn id="10" name="Ex-Petrobras core (PRIO + Brava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acroIbov" displayName="TblMacroIbov" ref="C6:X319" headerRowCount="1" totalsRowCount="0" totalsRowShown="0">
  <tableColumns count="22">
    <tableColumn id="1" name="month"/>
    <tableColumn id="2" name="eps"/>
    <tableColumn id="3" name="y_rev3"/>
    <tableColumn id="4" name="ibov_constant_basket"/>
    <tableColumn id="5" name="y_constant_basket_rev3"/>
    <tableColumn id="6" name="focus_pib"/>
    <tableColumn id="7" name="d_focus_pib3"/>
    <tableColumn id="8" name="focus_ipca"/>
    <tableColumn id="9" name="d_focus_ipca3"/>
    <tableColumn id="10" name="ipca12_available"/>
    <tableColumn id="11" name="d_ipca12_3_available"/>
    <tableColumn id="12" name="ipca3_flow_available"/>
    <tableColumn id="13" name="bcom_usd"/>
    <tableColumn id="14" name="d_bcom_usd3"/>
    <tableColumn id="15" name="bcom_brl"/>
    <tableColumn id="16" name="d_bcom_brl3"/>
    <tableColumn id="17" name="usdbrl"/>
    <tableColumn id="18" name="d_usdbrl3"/>
    <tableColumn id="19" name="swap360"/>
    <tableColumn id="20" name="d_swap360_3"/>
    <tableColumn id="21" name="brent_usd"/>
    <tableColumn id="22" name="d_brent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egIbov" displayName="TblRegIbov" ref="C6:N26" headerRowCount="1" totalsRowCount="0" totalsRowShown="0">
  <tableColumns count="12">
    <tableColumn id="1" name="target"/>
    <tableColumn id="2" name="sample"/>
    <tableColumn id="3" name="specification"/>
    <tableColumn id="4" name="n"/>
    <tableColumn id="5" name="r2"/>
    <tableColumn id="6" name="adj_r2"/>
    <tableColumn id="7" name="variable"/>
    <tableColumn id="8" name="beta"/>
    <tableColumn id="9" name="beta_std"/>
    <tableColumn id="10" name="se_hac"/>
    <tableColumn id="11" name="t_hac"/>
    <tableColumn id="12" name="p_ha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RegSetores" displayName="TblRegSetores" ref="C6:AR114" headerRowCount="1" totalsRowCount="0" totalsRowShown="0">
  <tableColumns count="42">
    <tableColumn id="1" name="target"/>
    <tableColumn id="2" name="sample"/>
    <tableColumn id="3" name="start"/>
    <tableColumn id="4" name="end"/>
    <tableColumn id="5" name="n"/>
    <tableColumn id="6" name="r2"/>
    <tableColumn id="7" name="adj_r2"/>
    <tableColumn id="8" name="invalid_nonpositive_windows_full"/>
    <tableColumn id="9" name="d_focus_pib3_beta"/>
    <tableColumn id="10" name="d_focus_pib3_beta_std"/>
    <tableColumn id="11" name="d_focus_pib3_t"/>
    <tableColumn id="12" name="d_focus_pib3_p"/>
    <tableColumn id="13" name="d_focus_pib3_partial_r2"/>
    <tableColumn id="14" name="d_bcom_usd3_beta"/>
    <tableColumn id="15" name="d_bcom_usd3_beta_std"/>
    <tableColumn id="16" name="d_bcom_usd3_t"/>
    <tableColumn id="17" name="d_bcom_usd3_p"/>
    <tableColumn id="18" name="d_bcom_usd3_partial_r2"/>
    <tableColumn id="19" name="d_usdbrl3_beta"/>
    <tableColumn id="20" name="d_usdbrl3_beta_std"/>
    <tableColumn id="21" name="d_usdbrl3_t"/>
    <tableColumn id="22" name="d_usdbrl3_p"/>
    <tableColumn id="23" name="d_usdbrl3_partial_r2"/>
    <tableColumn id="24" name="d_ipca12_3_available_beta"/>
    <tableColumn id="25" name="d_ipca12_3_available_beta_std"/>
    <tableColumn id="26" name="d_ipca12_3_available_t"/>
    <tableColumn id="27" name="d_ipca12_3_available_p"/>
    <tableColumn id="28" name="d_ipca12_3_available_partial_r2"/>
    <tableColumn id="29" name="d_swap360_3_beta"/>
    <tableColumn id="30" name="d_swap360_3_beta_std"/>
    <tableColumn id="31" name="d_swap360_3_t"/>
    <tableColumn id="32" name="d_swap360_3_p"/>
    <tableColumn id="33" name="d_swap360_3_partial_r2"/>
    <tableColumn id="34" name="focus_ibov_same_sample"/>
    <tableColumn id="35" name="focus_difference_vs_ibov"/>
    <tableColumn id="36" name="focus_difference_p"/>
    <tableColumn id="37" name="d_focus_pib3_q_bh"/>
    <tableColumn id="38" name="d_bcom_usd3_q_bh"/>
    <tableColumn id="39" name="d_usdbrl3_q_bh"/>
    <tableColumn id="40" name="d_ipca12_3_available_q_bh"/>
    <tableColumn id="41" name="d_swap360_3_q_bh"/>
    <tableColumn id="42" name="focus_difference_q_b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wapRobustness" displayName="TblSwapRobustness" ref="C20:L68" headerRowCount="1" totalsRowCount="0" totalsRowShown="0">
  <tableColumns count="10">
    <tableColumn id="1" name="target"/>
    <tableColumn id="2" name="sample"/>
    <tableColumn id="3" name="specification"/>
    <tableColumn id="4" name="n"/>
    <tableColumn id="5" name="r2"/>
    <tableColumn id="6" name="beta_swap"/>
    <tableColumn id="7" name="beta_std_swap"/>
    <tableColumn id="8" name="se_hac_swap"/>
    <tableColumn id="9" name="t_hac_swap"/>
    <tableColumn id="10" name="p_hac_swa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RegEnergy" displayName="TblRegEnergy" ref="C6:AI74" headerRowCount="1" totalsRowCount="0" totalsRowShown="0">
  <tableColumns count="33">
    <tableColumn id="1" name="target"/>
    <tableColumn id="2" name="sample"/>
    <tableColumn id="3" name="specification"/>
    <tableColumn id="4" name="start"/>
    <tableColumn id="5" name="end"/>
    <tableColumn id="6" name="n"/>
    <tableColumn id="7" name="r2"/>
    <tableColumn id="8" name="adj_r2"/>
    <tableColumn id="9" name="invalid_nonpositive_windows"/>
    <tableColumn id="10" name="d_focus_pib3_beta"/>
    <tableColumn id="11" name="d_focus_pib3_beta_std"/>
    <tableColumn id="12" name="d_focus_pib3_t"/>
    <tableColumn id="13" name="d_focus_pib3_p"/>
    <tableColumn id="14" name="d_bcom_usd3_beta"/>
    <tableColumn id="15" name="d_bcom_usd3_beta_std"/>
    <tableColumn id="16" name="d_bcom_usd3_t"/>
    <tableColumn id="17" name="d_bcom_usd3_p"/>
    <tableColumn id="18" name="d_usdbrl3_beta"/>
    <tableColumn id="19" name="d_usdbrl3_beta_std"/>
    <tableColumn id="20" name="d_usdbrl3_t"/>
    <tableColumn id="21" name="d_usdbrl3_p"/>
    <tableColumn id="22" name="d_ipca12_3_available_beta"/>
    <tableColumn id="23" name="d_ipca12_3_available_beta_std"/>
    <tableColumn id="24" name="d_ipca12_3_available_t"/>
    <tableColumn id="25" name="d_ipca12_3_available_p"/>
    <tableColumn id="26" name="d_swap360_3_beta"/>
    <tableColumn id="27" name="d_swap360_3_beta_std"/>
    <tableColumn id="28" name="d_swap360_3_t"/>
    <tableColumn id="29" name="d_swap360_3_p"/>
    <tableColumn id="30" name="d_brent3_beta"/>
    <tableColumn id="31" name="d_brent3_beta_std"/>
    <tableColumn id="32" name="d_brent3_t"/>
    <tableColumn id="33" name="d_brent3_p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Seams" displayName="TblSeams" ref="C6:F186" headerRowCount="1" totalsRowCount="0" totalsRowShown="0">
  <tableColumns count="4">
    <tableColumn id="1" name="seam_start"/>
    <tableColumn id="2" name="revision_month"/>
    <tableColumn id="3" name="target"/>
    <tableColumn id="4" name="revision_3m_log_pc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Sources" displayName="TblSources" ref="C6:M19" headerRowCount="1" totalsRowCount="0" totalsRowShown="0">
  <tableColumns count="11">
    <tableColumn id="1" name="source_file"/>
    <tableColumn id="2" name="source_url"/>
    <tableColumn id="3" name="start_date"/>
    <tableColumn id="4" name="end_date"/>
    <tableColumn id="5" name="months"/>
    <tableColumn id="6" name="series"/>
    <tableColumn id="7" name="currency"/>
    <tableColumn id="8" name="benchmark"/>
    <tableColumn id="9" name="classification"/>
    <tableColumn id="10" name="metric"/>
    <tableColumn id="11" name="sha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C2:N3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34" customWidth="1" min="4" max="4"/>
    <col width="14" customWidth="1" min="5" max="5"/>
    <col width="22" customWidth="1" min="6" max="6"/>
    <col width="48" customWidth="1" min="7" max="7"/>
    <col width="20" customWidth="1" min="8" max="8"/>
  </cols>
  <sheetData>
    <row r="2">
      <c r="C2" s="2" t="inlineStr">
        <is>
          <t>Earnings do Ibovespa e sensibilidades macro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>
      <c r="C3" s="4" t="inlineStr">
        <is>
          <t>Consolidação das análises contemporâneas do índice e dos setores. Dados disponíveis até setembro de 2026; macro até agosto de 2026.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</row>
    <row r="6">
      <c r="C6" s="74" t="inlineStr">
        <is>
          <t>Cobertura e especificação principal</t>
        </is>
      </c>
      <c r="D6" s="75" t="n"/>
      <c r="E6" s="75" t="n"/>
      <c r="F6" s="76" t="n"/>
      <c r="G6" s="99" t="n"/>
      <c r="H6" s="99" t="n"/>
      <c r="I6" s="99" t="n"/>
      <c r="J6" s="99" t="n"/>
      <c r="K6" s="99" t="n"/>
      <c r="L6" s="99" t="n"/>
      <c r="M6" s="99" t="n"/>
      <c r="N6" s="99" t="n"/>
    </row>
    <row r="7">
      <c r="C7" s="11" t="inlineStr">
        <is>
          <t>Item</t>
        </is>
      </c>
      <c r="D7" s="11" t="inlineStr">
        <is>
          <t>Valor</t>
        </is>
      </c>
      <c r="E7" s="11" t="inlineStr">
        <is>
          <t>Unidade</t>
        </is>
      </c>
      <c r="F7" s="11" t="inlineStr">
        <is>
          <t>Observação</t>
        </is>
      </c>
      <c r="G7" s="99" t="n"/>
      <c r="H7" s="99" t="n"/>
      <c r="I7" s="99" t="n"/>
      <c r="J7" s="99" t="n"/>
      <c r="K7" s="99" t="n"/>
      <c r="L7" s="99" t="n"/>
      <c r="M7" s="99" t="n"/>
      <c r="N7" s="99" t="n"/>
    </row>
    <row r="8">
      <c r="C8" s="6" t="inlineStr">
        <is>
          <t>Cobertura setorial - início</t>
        </is>
      </c>
      <c r="D8" s="101">
        <f>MIN('Earnings 12M Fwd'!$C$7:$C$231)</f>
        <v/>
      </c>
      <c r="E8" s="6" t="inlineStr">
        <is>
          <t>mês</t>
        </is>
      </c>
      <c r="F8" s="6" t="inlineStr">
        <is>
          <t>Séries GICS consolidadas</t>
        </is>
      </c>
      <c r="G8" s="99" t="n"/>
      <c r="H8" s="99" t="n"/>
      <c r="I8" s="99" t="n"/>
      <c r="J8" s="99" t="n"/>
      <c r="K8" s="99" t="n"/>
      <c r="L8" s="99" t="n"/>
      <c r="M8" s="99" t="n"/>
      <c r="N8" s="99" t="n"/>
    </row>
    <row r="9">
      <c r="C9" s="6" t="inlineStr">
        <is>
          <t>Cobertura setorial - fim</t>
        </is>
      </c>
      <c r="D9" s="101">
        <f>MAX('Earnings 12M Fwd'!$C$7:$C$231)</f>
        <v/>
      </c>
      <c r="E9" s="6" t="inlineStr">
        <is>
          <t>mês</t>
        </is>
      </c>
      <c r="F9" s="6" t="inlineStr">
        <is>
          <t>Séries GICS consolidadas</t>
        </is>
      </c>
      <c r="G9" s="99" t="n"/>
      <c r="H9" s="99" t="n"/>
      <c r="I9" s="99" t="n"/>
      <c r="J9" s="99" t="n"/>
      <c r="K9" s="99" t="n"/>
      <c r="L9" s="99" t="n"/>
      <c r="M9" s="99" t="n"/>
      <c r="N9" s="99" t="n"/>
    </row>
    <row r="10">
      <c r="C10" s="6" t="inlineStr">
        <is>
          <t>Número de observações</t>
        </is>
      </c>
      <c r="D10" s="6">
        <f>COUNTA('Earnings 12M Fwd'!$C$7:$C$231)</f>
        <v/>
      </c>
      <c r="E10" s="6" t="inlineStr">
        <is>
          <t>meses</t>
        </is>
      </c>
      <c r="F10" s="6" t="inlineStr">
        <is>
          <t>Earnings setoriais</t>
        </is>
      </c>
      <c r="G10" s="99" t="n"/>
      <c r="H10" s="99" t="n"/>
      <c r="I10" s="99" t="n"/>
      <c r="J10" s="99" t="n"/>
      <c r="K10" s="99" t="n"/>
      <c r="L10" s="99" t="n"/>
      <c r="M10" s="99" t="n"/>
      <c r="N10" s="99" t="n"/>
    </row>
    <row r="11">
      <c r="C11" s="6" t="inlineStr">
        <is>
          <t>Modelo principal</t>
        </is>
      </c>
      <c r="D11" s="6" t="inlineStr">
        <is>
          <t>ex_2013_14</t>
        </is>
      </c>
      <c r="E11" s="6" t="inlineStr">
        <is>
          <t>amostra</t>
        </is>
      </c>
      <c r="F11" s="6" t="inlineStr">
        <is>
          <t>Exclui 2013-2014</t>
        </is>
      </c>
      <c r="G11" s="99" t="n"/>
      <c r="H11" s="99" t="n"/>
      <c r="I11" s="99" t="n"/>
      <c r="J11" s="99" t="n"/>
      <c r="K11" s="99" t="n"/>
      <c r="L11" s="99" t="n"/>
      <c r="M11" s="99" t="n"/>
      <c r="N11" s="99" t="n"/>
    </row>
    <row r="12"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</row>
    <row r="13"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</row>
    <row r="14">
      <c r="C14" s="74" t="inlineStr">
        <is>
          <t>Modelo contemporâneo do IBOV - BEst EPS direto</t>
        </is>
      </c>
      <c r="D14" s="75" t="n"/>
      <c r="E14" s="75" t="n"/>
      <c r="F14" s="75" t="n"/>
      <c r="G14" s="75" t="n"/>
      <c r="H14" s="76" t="n"/>
      <c r="I14" s="99" t="n"/>
      <c r="J14" s="99" t="n"/>
      <c r="K14" s="99" t="n"/>
      <c r="L14" s="99" t="n"/>
      <c r="M14" s="99" t="n"/>
      <c r="N14" s="99" t="n"/>
    </row>
    <row r="15">
      <c r="C15" s="11" t="inlineStr">
        <is>
          <t>Variável</t>
        </is>
      </c>
      <c r="D15" s="11" t="inlineStr">
        <is>
          <t>Beta</t>
        </is>
      </c>
      <c r="E15" s="11" t="inlineStr">
        <is>
          <t>Beta padronizado</t>
        </is>
      </c>
      <c r="F15" s="11" t="inlineStr">
        <is>
          <t>p-valor HAC</t>
        </is>
      </c>
      <c r="G15" s="11" t="inlineStr">
        <is>
          <t>Leitura</t>
        </is>
      </c>
      <c r="H15" s="11" t="inlineStr">
        <is>
          <t>Amostra</t>
        </is>
      </c>
      <c r="I15" s="99" t="n"/>
      <c r="J15" s="99" t="n"/>
      <c r="K15" s="99" t="n"/>
      <c r="L15" s="99" t="n"/>
      <c r="M15" s="99" t="n"/>
      <c r="N15" s="99" t="n"/>
    </row>
    <row r="16">
      <c r="C16" s="6" t="inlineStr">
        <is>
          <t>Focus PIB</t>
        </is>
      </c>
      <c r="D16" s="102">
        <f>SUMIFS('Reg IBOV'!$J$7:$J$26,'Reg IBOV'!$D$7:$D$26,"ex_2013_14",'Reg IBOV'!$I$7:$I$26,"d_focus_pib3")</f>
        <v/>
      </c>
      <c r="E16" s="103">
        <f>SUMIFS('Reg IBOV'!$K$7:$K$26,'Reg IBOV'!$D$7:$D$26,"ex_2013_14",'Reg IBOV'!$I$7:$I$26,"d_focus_pib3")</f>
        <v/>
      </c>
      <c r="F16" s="103">
        <f>SUMIFS('Reg IBOV'!$N$7:$N$26,'Reg IBOV'!$D$7:$D$26,"ex_2013_14",'Reg IBOV'!$I$7:$I$26,"d_focus_pib3")</f>
        <v/>
      </c>
      <c r="G16" s="6" t="inlineStr">
        <is>
          <t>Principal driver contemporâneo</t>
        </is>
      </c>
      <c r="H16" s="6" t="inlineStr">
        <is>
          <t>ex_2013_14</t>
        </is>
      </c>
      <c r="I16" s="99" t="n"/>
      <c r="J16" s="99" t="n"/>
      <c r="K16" s="99" t="n"/>
      <c r="L16" s="99" t="n"/>
      <c r="M16" s="99" t="n"/>
      <c r="N16" s="99" t="n"/>
    </row>
    <row r="17">
      <c r="C17" s="6" t="inlineStr">
        <is>
          <t>BCOM em USD</t>
        </is>
      </c>
      <c r="D17" s="102">
        <f>SUMIFS('Reg IBOV'!$J$7:$J$26,'Reg IBOV'!$D$7:$D$26,"ex_2013_14",'Reg IBOV'!$I$7:$I$26,"d_bcom_usd3")</f>
        <v/>
      </c>
      <c r="E17" s="103">
        <f>SUMIFS('Reg IBOV'!$K$7:$K$26,'Reg IBOV'!$D$7:$D$26,"ex_2013_14",'Reg IBOV'!$I$7:$I$26,"d_bcom_usd3")</f>
        <v/>
      </c>
      <c r="F17" s="103">
        <f>SUMIFS('Reg IBOV'!$N$7:$N$26,'Reg IBOV'!$D$7:$D$26,"ex_2013_14",'Reg IBOV'!$I$7:$I$26,"d_bcom_usd3")</f>
        <v/>
      </c>
      <c r="G17" s="6" t="inlineStr">
        <is>
          <t>Sem significância no modelo completo</t>
        </is>
      </c>
      <c r="H17" s="6" t="inlineStr">
        <is>
          <t>ex_2013_14</t>
        </is>
      </c>
      <c r="I17" s="99" t="n"/>
      <c r="J17" s="99" t="n"/>
      <c r="K17" s="99" t="n"/>
      <c r="L17" s="99" t="n"/>
      <c r="M17" s="99" t="n"/>
      <c r="N17" s="99" t="n"/>
    </row>
    <row r="18">
      <c r="C18" s="6" t="inlineStr">
        <is>
          <t>USD/BRL</t>
        </is>
      </c>
      <c r="D18" s="102">
        <f>SUMIFS('Reg IBOV'!$J$7:$J$26,'Reg IBOV'!$D$7:$D$26,"ex_2013_14",'Reg IBOV'!$I$7:$I$26,"d_usdbrl3")</f>
        <v/>
      </c>
      <c r="E18" s="103">
        <f>SUMIFS('Reg IBOV'!$K$7:$K$26,'Reg IBOV'!$D$7:$D$26,"ex_2013_14",'Reg IBOV'!$I$7:$I$26,"d_usdbrl3")</f>
        <v/>
      </c>
      <c r="F18" s="103">
        <f>SUMIFS('Reg IBOV'!$N$7:$N$26,'Reg IBOV'!$D$7:$D$26,"ex_2013_14",'Reg IBOV'!$I$7:$I$26,"d_usdbrl3")</f>
        <v/>
      </c>
      <c r="G18" s="6" t="inlineStr">
        <is>
          <t>Sem significância no modelo completo</t>
        </is>
      </c>
      <c r="H18" s="6" t="inlineStr">
        <is>
          <t>ex_2013_14</t>
        </is>
      </c>
      <c r="I18" s="99" t="n"/>
      <c r="J18" s="99" t="n"/>
      <c r="K18" s="99" t="n"/>
      <c r="L18" s="99" t="n"/>
      <c r="M18" s="99" t="n"/>
      <c r="N18" s="99" t="n"/>
    </row>
    <row r="19">
      <c r="C19" s="6" t="inlineStr">
        <is>
          <t>IPCA realizado 12m</t>
        </is>
      </c>
      <c r="D19" s="102">
        <f>SUMIFS('Reg IBOV'!$J$7:$J$26,'Reg IBOV'!$D$7:$D$26,"ex_2013_14",'Reg IBOV'!$I$7:$I$26,"d_ipca12_3_available")</f>
        <v/>
      </c>
      <c r="E19" s="103">
        <f>SUMIFS('Reg IBOV'!$K$7:$K$26,'Reg IBOV'!$D$7:$D$26,"ex_2013_14",'Reg IBOV'!$I$7:$I$26,"d_ipca12_3_available")</f>
        <v/>
      </c>
      <c r="F19" s="103">
        <f>SUMIFS('Reg IBOV'!$N$7:$N$26,'Reg IBOV'!$D$7:$D$26,"ex_2013_14",'Reg IBOV'!$I$7:$I$26,"d_ipca12_3_available")</f>
        <v/>
      </c>
      <c r="G19" s="6" t="inlineStr">
        <is>
          <t>Significância marginal</t>
        </is>
      </c>
      <c r="H19" s="6" t="inlineStr">
        <is>
          <t>ex_2013_14</t>
        </is>
      </c>
      <c r="I19" s="99" t="n"/>
      <c r="J19" s="99" t="n"/>
      <c r="K19" s="99" t="n"/>
      <c r="L19" s="99" t="n"/>
      <c r="M19" s="99" t="n"/>
      <c r="N19" s="99" t="n"/>
    </row>
    <row r="20">
      <c r="C20" s="6" t="inlineStr">
        <is>
          <t>Swap pré-DI 360d</t>
        </is>
      </c>
      <c r="D20" s="102">
        <f>SUMIFS('Reg IBOV'!$J$7:$J$26,'Reg IBOV'!$D$7:$D$26,"ex_2013_14",'Reg IBOV'!$I$7:$I$26,"d_swap360_3")</f>
        <v/>
      </c>
      <c r="E20" s="103">
        <f>SUMIFS('Reg IBOV'!$K$7:$K$26,'Reg IBOV'!$D$7:$D$26,"ex_2013_14",'Reg IBOV'!$I$7:$I$26,"d_swap360_3")</f>
        <v/>
      </c>
      <c r="F20" s="103">
        <f>SUMIFS('Reg IBOV'!$N$7:$N$26,'Reg IBOV'!$D$7:$D$26,"ex_2013_14",'Reg IBOV'!$I$7:$I$26,"d_swap360_3")</f>
        <v/>
      </c>
      <c r="G20" s="6" t="inlineStr">
        <is>
          <t>Sinal positivo, mas instável entre janelas</t>
        </is>
      </c>
      <c r="H20" s="6" t="inlineStr">
        <is>
          <t>ex_2013_14</t>
        </is>
      </c>
      <c r="I20" s="99" t="n"/>
      <c r="J20" s="99" t="n"/>
      <c r="K20" s="99" t="n"/>
      <c r="L20" s="99" t="n"/>
      <c r="M20" s="99" t="n"/>
      <c r="N20" s="99" t="n"/>
    </row>
    <row r="21">
      <c r="C21" s="6" t="inlineStr">
        <is>
          <t>R² do modelo</t>
        </is>
      </c>
      <c r="D21" s="103">
        <f>SUMIFS('Reg IBOV'!$G$7:$G$26,'Reg IBOV'!$D$7:$D$26,"ex_2013_14",'Reg IBOV'!$I$7:$I$26,"d_focus_pib3")</f>
        <v/>
      </c>
      <c r="E21" s="103" t="n"/>
      <c r="F21" s="103" t="n"/>
      <c r="G21" s="6" t="inlineStr">
        <is>
          <t>Poder explicativo do modelo completo</t>
        </is>
      </c>
      <c r="H21" s="6" t="inlineStr">
        <is>
          <t>ex_2013_14</t>
        </is>
      </c>
      <c r="I21" s="99" t="n"/>
      <c r="J21" s="99" t="n"/>
      <c r="K21" s="99" t="n"/>
      <c r="L21" s="99" t="n"/>
      <c r="M21" s="99" t="n"/>
      <c r="N21" s="99" t="n"/>
    </row>
    <row r="22">
      <c r="C22" s="99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9" t="n"/>
    </row>
    <row r="23"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</row>
    <row r="24">
      <c r="C24" s="74" t="inlineStr">
        <is>
          <t>Conclusões até aqui</t>
        </is>
      </c>
      <c r="D24" s="75" t="n"/>
      <c r="E24" s="75" t="n"/>
      <c r="F24" s="75" t="n"/>
      <c r="G24" s="75" t="n"/>
      <c r="H24" s="76" t="n"/>
      <c r="I24" s="99" t="n"/>
      <c r="J24" s="99" t="n"/>
      <c r="K24" s="99" t="n"/>
      <c r="L24" s="99" t="n"/>
      <c r="M24" s="99" t="n"/>
      <c r="N24" s="99" t="n"/>
    </row>
    <row r="25">
      <c r="C25" s="11" t="inlineStr">
        <is>
          <t>Tema</t>
        </is>
      </c>
      <c r="D25" s="11" t="inlineStr">
        <is>
          <t>Evidência</t>
        </is>
      </c>
      <c r="E25" s="11" t="inlineStr">
        <is>
          <t>Valor</t>
        </is>
      </c>
      <c r="F25" s="11" t="inlineStr">
        <is>
          <t>Unidade</t>
        </is>
      </c>
      <c r="G25" s="11" t="inlineStr">
        <is>
          <t>Interpretação</t>
        </is>
      </c>
      <c r="H25" s="11" t="inlineStr">
        <is>
          <t>Referência</t>
        </is>
      </c>
      <c r="I25" s="99" t="n"/>
      <c r="J25" s="99" t="n"/>
      <c r="K25" s="99" t="n"/>
      <c r="L25" s="99" t="n"/>
      <c r="M25" s="99" t="n"/>
      <c r="N25" s="99" t="n"/>
    </row>
    <row r="26">
      <c r="C26" s="6" t="inlineStr">
        <is>
          <t>Focus PIB</t>
        </is>
      </c>
      <c r="D26" s="6" t="inlineStr">
        <is>
          <t>Beta padronizado do IBOV</t>
        </is>
      </c>
      <c r="E26" s="103">
        <f>E16</f>
        <v/>
      </c>
      <c r="F26" s="6" t="inlineStr">
        <is>
          <t>desvios-padrão</t>
        </is>
      </c>
      <c r="G26" s="6" t="inlineStr">
        <is>
          <t>É o driver mais consistente do índice.</t>
        </is>
      </c>
      <c r="H26" s="6" t="inlineStr">
        <is>
          <t>Reg IBOV</t>
        </is>
      </c>
      <c r="I26" s="99" t="n"/>
      <c r="J26" s="99" t="n"/>
      <c r="K26" s="99" t="n"/>
      <c r="L26" s="99" t="n"/>
      <c r="M26" s="99" t="n"/>
      <c r="N26" s="99" t="n"/>
    </row>
    <row r="27">
      <c r="C27" s="6" t="inlineStr">
        <is>
          <t>Inflação</t>
        </is>
      </c>
      <c r="D27" s="6" t="inlineStr">
        <is>
          <t>ΔR²: IPCA realizado menos Focus</t>
        </is>
      </c>
      <c r="E27" s="103">
        <f>SUMIFS('Inflacao'!$K$15:$K$26,'Inflacao'!$C$15:$C$26,"ex_2013_14",'Inflacao'!$D$15:$D$26,"d_ipca12_3_available")-SUMIFS('Inflacao'!$K$15:$K$26,'Inflacao'!$C$15:$C$26,"ex_2013_14",'Inflacao'!$D$15:$D$26,"d_focus_ipca3")</f>
        <v/>
      </c>
      <c r="F27" s="6" t="inlineStr">
        <is>
          <t>p.p. de R²</t>
        </is>
      </c>
      <c r="G27" s="6" t="inlineStr">
        <is>
          <t>O realizado melhora um pouco o ajuste, mas a diferença é pequena.</t>
        </is>
      </c>
      <c r="H27" s="6" t="inlineStr">
        <is>
          <t>Inflacao</t>
        </is>
      </c>
      <c r="I27" s="99" t="n"/>
      <c r="J27" s="99" t="n"/>
      <c r="K27" s="99" t="n"/>
      <c r="L27" s="99" t="n"/>
      <c r="M27" s="99" t="n"/>
      <c r="N27" s="99" t="n"/>
    </row>
    <row r="28">
      <c r="C28" s="6" t="inlineStr">
        <is>
          <t>Swap pré-DI</t>
        </is>
      </c>
      <c r="D28" s="6" t="inlineStr">
        <is>
          <t>Beta na amostra limpa</t>
        </is>
      </c>
      <c r="E28" s="103">
        <f>SUMIFS('Swap Robustez'!$H$21:$H$68,'Swap Robustez'!$C$21:$C$68,"IBOV BEst EPS",'Swap Robustez'!$D$21:$D$68,"clean",'Swap Robustez'!$E$21:$E$68,"full")</f>
        <v/>
      </c>
      <c r="F28" s="6" t="inlineStr">
        <is>
          <t>% revisão por 1 p.p.</t>
        </is>
      </c>
      <c r="G28" s="6" t="inlineStr">
        <is>
          <t>O sinal positivo não é robusto o suficiente para leitura causal.</t>
        </is>
      </c>
      <c r="H28" s="6" t="inlineStr">
        <is>
          <t>Swap Robustez</t>
        </is>
      </c>
      <c r="I28" s="99" t="n"/>
      <c r="J28" s="99" t="n"/>
      <c r="K28" s="99" t="n"/>
      <c r="L28" s="99" t="n"/>
      <c r="M28" s="99" t="n"/>
      <c r="N28" s="99" t="n"/>
    </row>
    <row r="29">
      <c r="C29" s="6" t="inlineStr">
        <is>
          <t>Setores</t>
        </is>
      </c>
      <c r="D29" s="6" t="inlineStr">
        <is>
          <t>Maior beta Focus padronizado</t>
        </is>
      </c>
      <c r="E29" s="103">
        <f>SUMIFS('Reg Setores'!$L$7:$L$114,'Reg Setores'!$D$7:$D$114,"ex_2013_14",'Reg Setores'!$C$7:$C$114,"Energy")</f>
        <v/>
      </c>
      <c r="F29" s="6" t="inlineStr">
        <is>
          <t>desvios-padrão</t>
        </is>
      </c>
      <c r="G29" s="6" t="inlineStr">
        <is>
          <t>Energia lidera na amostra principal.</t>
        </is>
      </c>
      <c r="H29" s="6" t="inlineStr">
        <is>
          <t>Painel Setorial</t>
        </is>
      </c>
      <c r="I29" s="99" t="n"/>
      <c r="J29" s="99" t="n"/>
      <c r="K29" s="99" t="n"/>
      <c r="L29" s="99" t="n"/>
      <c r="M29" s="99" t="n"/>
      <c r="N29" s="99" t="n"/>
    </row>
    <row r="30">
      <c r="C30" s="6" t="inlineStr">
        <is>
          <t>Ex-commodities</t>
        </is>
      </c>
      <c r="D30" s="6" t="inlineStr">
        <is>
          <t>Diferença de beta vs. IBOV</t>
        </is>
      </c>
      <c r="E30" s="103">
        <f>SUMIFS('Ex-Commodities'!$Q$19:$Q$24,'Ex-Commodities'!$C$19:$C$24,"ex_2013_14")</f>
        <v/>
      </c>
      <c r="F30" s="6" t="inlineStr">
        <is>
          <t>% revisão por 1 p.p.</t>
        </is>
      </c>
      <c r="G30" s="6" t="inlineStr">
        <is>
          <t>O beta ex-commodities é menor, não maior.</t>
        </is>
      </c>
      <c r="H30" s="6" t="inlineStr">
        <is>
          <t>Ex-Commodities</t>
        </is>
      </c>
      <c r="I30" s="99" t="n"/>
      <c r="J30" s="99" t="n"/>
      <c r="K30" s="99" t="n"/>
      <c r="L30" s="99" t="n"/>
      <c r="M30" s="99" t="n"/>
      <c r="N30" s="99" t="n"/>
    </row>
    <row r="31">
      <c r="C31" s="6" t="inlineStr">
        <is>
          <t>Energia</t>
        </is>
      </c>
      <c r="D31" s="6" t="inlineStr">
        <is>
          <t>Correlação das revisions com Petrobras</t>
        </is>
      </c>
      <c r="E31" s="103" t="n">
        <v>0.995008997648791</v>
      </c>
      <c r="F31" s="6" t="inlineStr">
        <is>
          <t>correlação</t>
        </is>
      </c>
      <c r="G31" s="6" t="inlineStr">
        <is>
          <t>A liderança de Energia é majoritariamente Petrobras.</t>
        </is>
      </c>
      <c r="H31" s="6" t="inlineStr">
        <is>
          <t>Energia</t>
        </is>
      </c>
      <c r="I31" s="99" t="n"/>
      <c r="J31" s="99" t="n"/>
      <c r="K31" s="99" t="n"/>
      <c r="L31" s="99" t="n"/>
      <c r="M31" s="99" t="n"/>
      <c r="N31" s="99" t="n"/>
    </row>
    <row r="32"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</row>
    <row r="33">
      <c r="C33" s="84" t="inlineStr">
        <is>
          <t>Nota metodológica</t>
        </is>
      </c>
      <c r="D33" s="84" t="inlineStr">
        <is>
          <t>As regressões são contemporâneas e associativas. Coeficientes não devem ser lidos como efeitos causais. Resultados setoriais usam BEst Net Income agregado; o modelo direto do índice usa BEst EPS.</t>
        </is>
      </c>
      <c r="I33" s="99" t="n"/>
      <c r="J33" s="99" t="n"/>
      <c r="K33" s="99" t="n"/>
      <c r="L33" s="99" t="n"/>
      <c r="M33" s="99" t="n"/>
      <c r="N33" s="99" t="n"/>
    </row>
    <row r="34">
      <c r="I34" s="99" t="n"/>
      <c r="J34" s="99" t="n"/>
      <c r="K34" s="99" t="n"/>
      <c r="L34" s="99" t="n"/>
      <c r="M34" s="99" t="n"/>
      <c r="N34" s="99" t="n"/>
    </row>
    <row r="35">
      <c r="I35" s="99" t="n"/>
      <c r="J35" s="99" t="n"/>
      <c r="K35" s="99" t="n"/>
      <c r="L35" s="99" t="n"/>
      <c r="M35" s="99" t="n"/>
      <c r="N35" s="99" t="n"/>
    </row>
  </sheetData>
  <mergeCells count="2">
    <mergeCell ref="D33:H35"/>
    <mergeCell ref="C33:C35"/>
  </mergeCells>
  <conditionalFormatting sqref="F16:F20">
    <cfRule type="cellIs" priority="1" operator="lessThan" dxfId="0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2:U25"/>
  <sheetViews>
    <sheetView showGridLines="0" workbookViewId="0">
      <pane ySplit="8" topLeftCell="A9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2">
      <c r="C2" s="2" t="inlineStr">
        <is>
          <t>Sensibilidades contemporâneas por setor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</row>
    <row r="3">
      <c r="C3" s="4" t="inlineStr">
        <is>
          <t>Amostra principal exclui 2013-2014. Betas padronizados permitem comparar a magnitude entre setores.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</row>
    <row r="6">
      <c r="C6" s="74" t="inlineStr">
        <is>
          <t>Resultados do modelo completo</t>
        </is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6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</row>
    <row r="7"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</row>
    <row r="8">
      <c r="C8" s="11" t="inlineStr">
        <is>
          <t>Setor</t>
        </is>
      </c>
      <c r="D8" s="11" t="inlineStr">
        <is>
          <t>R²</t>
        </is>
      </c>
      <c r="E8" s="11" t="inlineStr">
        <is>
          <t>Focus beta</t>
        </is>
      </c>
      <c r="F8" s="11" t="inlineStr">
        <is>
          <t>Focus beta pad.</t>
        </is>
      </c>
      <c r="G8" s="11" t="inlineStr">
        <is>
          <t>Focus p</t>
        </is>
      </c>
      <c r="H8" s="11" t="inlineStr">
        <is>
          <t>Focus q BH</t>
        </is>
      </c>
      <c r="I8" s="11" t="inlineStr">
        <is>
          <t>Swap beta</t>
        </is>
      </c>
      <c r="J8" s="11" t="inlineStr">
        <is>
          <t>Swap beta pad.</t>
        </is>
      </c>
      <c r="K8" s="11" t="inlineStr">
        <is>
          <t>Swap p</t>
        </is>
      </c>
      <c r="L8" s="11" t="inlineStr">
        <is>
          <t>Swap q BH</t>
        </is>
      </c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</row>
    <row r="9">
      <c r="C9" s="6" t="inlineStr">
        <is>
          <t>Energy</t>
        </is>
      </c>
      <c r="D9" s="103">
        <f>SUMIFS('Reg Setores'!$H$7:$H$114,'Reg Setores'!$D$7:$D$114,"ex_2013_14",'Reg Setores'!$C$7:$C$114,$C9)</f>
        <v/>
      </c>
      <c r="E9" s="103">
        <f>SUMIFS('Reg Setores'!$K$7:$K$114,'Reg Setores'!$D$7:$D$114,"ex_2013_14",'Reg Setores'!$C$7:$C$114,$C9)</f>
        <v/>
      </c>
      <c r="F9" s="103">
        <f>SUMIFS('Reg Setores'!$L$7:$L$114,'Reg Setores'!$D$7:$D$114,"ex_2013_14",'Reg Setores'!$C$7:$C$114,$C9)</f>
        <v/>
      </c>
      <c r="G9" s="103">
        <f>SUMIFS('Reg Setores'!$N$7:$N$114,'Reg Setores'!$D$7:$D$114,"ex_2013_14",'Reg Setores'!$C$7:$C$114,$C9)</f>
        <v/>
      </c>
      <c r="H9" s="103">
        <f>SUMIFS('Reg Setores'!$AM$7:$AM$114,'Reg Setores'!$D$7:$D$114,"ex_2013_14",'Reg Setores'!$C$7:$C$114,$C9)</f>
        <v/>
      </c>
      <c r="I9" s="103">
        <f>SUMIFS('Reg Setores'!$AE$7:$AE$114,'Reg Setores'!$D$7:$D$114,"ex_2013_14",'Reg Setores'!$C$7:$C$114,$C9)</f>
        <v/>
      </c>
      <c r="J9" s="103">
        <f>SUMIFS('Reg Setores'!$AF$7:$AF$114,'Reg Setores'!$D$7:$D$114,"ex_2013_14",'Reg Setores'!$C$7:$C$114,$C9)</f>
        <v/>
      </c>
      <c r="K9" s="103">
        <f>SUMIFS('Reg Setores'!$AH$7:$AH$114,'Reg Setores'!$D$7:$D$114,"ex_2013_14",'Reg Setores'!$C$7:$C$114,$C9)</f>
        <v/>
      </c>
      <c r="L9" s="103">
        <f>SUMIFS('Reg Setores'!$AQ$7:$AQ$114,'Reg Setores'!$D$7:$D$114,"ex_2013_14",'Reg Setores'!$C$7:$C$114,$C9)</f>
        <v/>
      </c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</row>
    <row r="10">
      <c r="C10" s="6" t="inlineStr">
        <is>
          <t>Real Estate</t>
        </is>
      </c>
      <c r="D10" s="103">
        <f>SUMIFS('Reg Setores'!$H$7:$H$114,'Reg Setores'!$D$7:$D$114,"ex_2013_14",'Reg Setores'!$C$7:$C$114,$C10)</f>
        <v/>
      </c>
      <c r="E10" s="103">
        <f>SUMIFS('Reg Setores'!$K$7:$K$114,'Reg Setores'!$D$7:$D$114,"ex_2013_14",'Reg Setores'!$C$7:$C$114,$C10)</f>
        <v/>
      </c>
      <c r="F10" s="103">
        <f>SUMIFS('Reg Setores'!$L$7:$L$114,'Reg Setores'!$D$7:$D$114,"ex_2013_14",'Reg Setores'!$C$7:$C$114,$C10)</f>
        <v/>
      </c>
      <c r="G10" s="103">
        <f>SUMIFS('Reg Setores'!$N$7:$N$114,'Reg Setores'!$D$7:$D$114,"ex_2013_14",'Reg Setores'!$C$7:$C$114,$C10)</f>
        <v/>
      </c>
      <c r="H10" s="103">
        <f>SUMIFS('Reg Setores'!$AM$7:$AM$114,'Reg Setores'!$D$7:$D$114,"ex_2013_14",'Reg Setores'!$C$7:$C$114,$C10)</f>
        <v/>
      </c>
      <c r="I10" s="103">
        <f>SUMIFS('Reg Setores'!$AE$7:$AE$114,'Reg Setores'!$D$7:$D$114,"ex_2013_14",'Reg Setores'!$C$7:$C$114,$C10)</f>
        <v/>
      </c>
      <c r="J10" s="103">
        <f>SUMIFS('Reg Setores'!$AF$7:$AF$114,'Reg Setores'!$D$7:$D$114,"ex_2013_14",'Reg Setores'!$C$7:$C$114,$C10)</f>
        <v/>
      </c>
      <c r="K10" s="103">
        <f>SUMIFS('Reg Setores'!$AH$7:$AH$114,'Reg Setores'!$D$7:$D$114,"ex_2013_14",'Reg Setores'!$C$7:$C$114,$C10)</f>
        <v/>
      </c>
      <c r="L10" s="103">
        <f>SUMIFS('Reg Setores'!$AQ$7:$AQ$114,'Reg Setores'!$D$7:$D$114,"ex_2013_14",'Reg Setores'!$C$7:$C$114,$C10)</f>
        <v/>
      </c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</row>
    <row r="11">
      <c r="C11" s="6" t="inlineStr">
        <is>
          <t>Consumer Discretionary</t>
        </is>
      </c>
      <c r="D11" s="103">
        <f>SUMIFS('Reg Setores'!$H$7:$H$114,'Reg Setores'!$D$7:$D$114,"ex_2013_14",'Reg Setores'!$C$7:$C$114,$C11)</f>
        <v/>
      </c>
      <c r="E11" s="103">
        <f>SUMIFS('Reg Setores'!$K$7:$K$114,'Reg Setores'!$D$7:$D$114,"ex_2013_14",'Reg Setores'!$C$7:$C$114,$C11)</f>
        <v/>
      </c>
      <c r="F11" s="103">
        <f>SUMIFS('Reg Setores'!$L$7:$L$114,'Reg Setores'!$D$7:$D$114,"ex_2013_14",'Reg Setores'!$C$7:$C$114,$C11)</f>
        <v/>
      </c>
      <c r="G11" s="103">
        <f>SUMIFS('Reg Setores'!$N$7:$N$114,'Reg Setores'!$D$7:$D$114,"ex_2013_14",'Reg Setores'!$C$7:$C$114,$C11)</f>
        <v/>
      </c>
      <c r="H11" s="103">
        <f>SUMIFS('Reg Setores'!$AM$7:$AM$114,'Reg Setores'!$D$7:$D$114,"ex_2013_14",'Reg Setores'!$C$7:$C$114,$C11)</f>
        <v/>
      </c>
      <c r="I11" s="103">
        <f>SUMIFS('Reg Setores'!$AE$7:$AE$114,'Reg Setores'!$D$7:$D$114,"ex_2013_14",'Reg Setores'!$C$7:$C$114,$C11)</f>
        <v/>
      </c>
      <c r="J11" s="103">
        <f>SUMIFS('Reg Setores'!$AF$7:$AF$114,'Reg Setores'!$D$7:$D$114,"ex_2013_14",'Reg Setores'!$C$7:$C$114,$C11)</f>
        <v/>
      </c>
      <c r="K11" s="103">
        <f>SUMIFS('Reg Setores'!$AH$7:$AH$114,'Reg Setores'!$D$7:$D$114,"ex_2013_14",'Reg Setores'!$C$7:$C$114,$C11)</f>
        <v/>
      </c>
      <c r="L11" s="103">
        <f>SUMIFS('Reg Setores'!$AQ$7:$AQ$114,'Reg Setores'!$D$7:$D$114,"ex_2013_14",'Reg Setores'!$C$7:$C$114,$C11)</f>
        <v/>
      </c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</row>
    <row r="12">
      <c r="C12" s="6" t="inlineStr">
        <is>
          <t>Industrials</t>
        </is>
      </c>
      <c r="D12" s="103">
        <f>SUMIFS('Reg Setores'!$H$7:$H$114,'Reg Setores'!$D$7:$D$114,"ex_2013_14",'Reg Setores'!$C$7:$C$114,$C12)</f>
        <v/>
      </c>
      <c r="E12" s="103">
        <f>SUMIFS('Reg Setores'!$K$7:$K$114,'Reg Setores'!$D$7:$D$114,"ex_2013_14",'Reg Setores'!$C$7:$C$114,$C12)</f>
        <v/>
      </c>
      <c r="F12" s="103">
        <f>SUMIFS('Reg Setores'!$L$7:$L$114,'Reg Setores'!$D$7:$D$114,"ex_2013_14",'Reg Setores'!$C$7:$C$114,$C12)</f>
        <v/>
      </c>
      <c r="G12" s="103">
        <f>SUMIFS('Reg Setores'!$N$7:$N$114,'Reg Setores'!$D$7:$D$114,"ex_2013_14",'Reg Setores'!$C$7:$C$114,$C12)</f>
        <v/>
      </c>
      <c r="H12" s="103">
        <f>SUMIFS('Reg Setores'!$AM$7:$AM$114,'Reg Setores'!$D$7:$D$114,"ex_2013_14",'Reg Setores'!$C$7:$C$114,$C12)</f>
        <v/>
      </c>
      <c r="I12" s="103">
        <f>SUMIFS('Reg Setores'!$AE$7:$AE$114,'Reg Setores'!$D$7:$D$114,"ex_2013_14",'Reg Setores'!$C$7:$C$114,$C12)</f>
        <v/>
      </c>
      <c r="J12" s="103">
        <f>SUMIFS('Reg Setores'!$AF$7:$AF$114,'Reg Setores'!$D$7:$D$114,"ex_2013_14",'Reg Setores'!$C$7:$C$114,$C12)</f>
        <v/>
      </c>
      <c r="K12" s="103">
        <f>SUMIFS('Reg Setores'!$AH$7:$AH$114,'Reg Setores'!$D$7:$D$114,"ex_2013_14",'Reg Setores'!$C$7:$C$114,$C12)</f>
        <v/>
      </c>
      <c r="L12" s="103">
        <f>SUMIFS('Reg Setores'!$AQ$7:$AQ$114,'Reg Setores'!$D$7:$D$114,"ex_2013_14",'Reg Setores'!$C$7:$C$114,$C12)</f>
        <v/>
      </c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</row>
    <row r="13">
      <c r="C13" s="6" t="inlineStr">
        <is>
          <t>Financials</t>
        </is>
      </c>
      <c r="D13" s="103">
        <f>SUMIFS('Reg Setores'!$H$7:$H$114,'Reg Setores'!$D$7:$D$114,"ex_2013_14",'Reg Setores'!$C$7:$C$114,$C13)</f>
        <v/>
      </c>
      <c r="E13" s="103">
        <f>SUMIFS('Reg Setores'!$K$7:$K$114,'Reg Setores'!$D$7:$D$114,"ex_2013_14",'Reg Setores'!$C$7:$C$114,$C13)</f>
        <v/>
      </c>
      <c r="F13" s="103">
        <f>SUMIFS('Reg Setores'!$L$7:$L$114,'Reg Setores'!$D$7:$D$114,"ex_2013_14",'Reg Setores'!$C$7:$C$114,$C13)</f>
        <v/>
      </c>
      <c r="G13" s="103">
        <f>SUMIFS('Reg Setores'!$N$7:$N$114,'Reg Setores'!$D$7:$D$114,"ex_2013_14",'Reg Setores'!$C$7:$C$114,$C13)</f>
        <v/>
      </c>
      <c r="H13" s="103">
        <f>SUMIFS('Reg Setores'!$AM$7:$AM$114,'Reg Setores'!$D$7:$D$114,"ex_2013_14",'Reg Setores'!$C$7:$C$114,$C13)</f>
        <v/>
      </c>
      <c r="I13" s="103">
        <f>SUMIFS('Reg Setores'!$AE$7:$AE$114,'Reg Setores'!$D$7:$D$114,"ex_2013_14",'Reg Setores'!$C$7:$C$114,$C13)</f>
        <v/>
      </c>
      <c r="J13" s="103">
        <f>SUMIFS('Reg Setores'!$AF$7:$AF$114,'Reg Setores'!$D$7:$D$114,"ex_2013_14",'Reg Setores'!$C$7:$C$114,$C13)</f>
        <v/>
      </c>
      <c r="K13" s="103">
        <f>SUMIFS('Reg Setores'!$AH$7:$AH$114,'Reg Setores'!$D$7:$D$114,"ex_2013_14",'Reg Setores'!$C$7:$C$114,$C13)</f>
        <v/>
      </c>
      <c r="L13" s="103">
        <f>SUMIFS('Reg Setores'!$AQ$7:$AQ$114,'Reg Setores'!$D$7:$D$114,"ex_2013_14",'Reg Setores'!$C$7:$C$114,$C13)</f>
        <v/>
      </c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</row>
    <row r="14">
      <c r="C14" s="6" t="inlineStr">
        <is>
          <t>Materials</t>
        </is>
      </c>
      <c r="D14" s="103">
        <f>SUMIFS('Reg Setores'!$H$7:$H$114,'Reg Setores'!$D$7:$D$114,"ex_2013_14",'Reg Setores'!$C$7:$C$114,$C14)</f>
        <v/>
      </c>
      <c r="E14" s="103">
        <f>SUMIFS('Reg Setores'!$K$7:$K$114,'Reg Setores'!$D$7:$D$114,"ex_2013_14",'Reg Setores'!$C$7:$C$114,$C14)</f>
        <v/>
      </c>
      <c r="F14" s="103">
        <f>SUMIFS('Reg Setores'!$L$7:$L$114,'Reg Setores'!$D$7:$D$114,"ex_2013_14",'Reg Setores'!$C$7:$C$114,$C14)</f>
        <v/>
      </c>
      <c r="G14" s="103">
        <f>SUMIFS('Reg Setores'!$N$7:$N$114,'Reg Setores'!$D$7:$D$114,"ex_2013_14",'Reg Setores'!$C$7:$C$114,$C14)</f>
        <v/>
      </c>
      <c r="H14" s="103">
        <f>SUMIFS('Reg Setores'!$AM$7:$AM$114,'Reg Setores'!$D$7:$D$114,"ex_2013_14",'Reg Setores'!$C$7:$C$114,$C14)</f>
        <v/>
      </c>
      <c r="I14" s="103">
        <f>SUMIFS('Reg Setores'!$AE$7:$AE$114,'Reg Setores'!$D$7:$D$114,"ex_2013_14",'Reg Setores'!$C$7:$C$114,$C14)</f>
        <v/>
      </c>
      <c r="J14" s="103">
        <f>SUMIFS('Reg Setores'!$AF$7:$AF$114,'Reg Setores'!$D$7:$D$114,"ex_2013_14",'Reg Setores'!$C$7:$C$114,$C14)</f>
        <v/>
      </c>
      <c r="K14" s="103">
        <f>SUMIFS('Reg Setores'!$AH$7:$AH$114,'Reg Setores'!$D$7:$D$114,"ex_2013_14",'Reg Setores'!$C$7:$C$114,$C14)</f>
        <v/>
      </c>
      <c r="L14" s="103">
        <f>SUMIFS('Reg Setores'!$AQ$7:$AQ$114,'Reg Setores'!$D$7:$D$114,"ex_2013_14",'Reg Setores'!$C$7:$C$114,$C14)</f>
        <v/>
      </c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</row>
    <row r="15">
      <c r="C15" s="6" t="inlineStr">
        <is>
          <t>Utilities</t>
        </is>
      </c>
      <c r="D15" s="103">
        <f>SUMIFS('Reg Setores'!$H$7:$H$114,'Reg Setores'!$D$7:$D$114,"ex_2013_14",'Reg Setores'!$C$7:$C$114,$C15)</f>
        <v/>
      </c>
      <c r="E15" s="103">
        <f>SUMIFS('Reg Setores'!$K$7:$K$114,'Reg Setores'!$D$7:$D$114,"ex_2013_14",'Reg Setores'!$C$7:$C$114,$C15)</f>
        <v/>
      </c>
      <c r="F15" s="103">
        <f>SUMIFS('Reg Setores'!$L$7:$L$114,'Reg Setores'!$D$7:$D$114,"ex_2013_14",'Reg Setores'!$C$7:$C$114,$C15)</f>
        <v/>
      </c>
      <c r="G15" s="103">
        <f>SUMIFS('Reg Setores'!$N$7:$N$114,'Reg Setores'!$D$7:$D$114,"ex_2013_14",'Reg Setores'!$C$7:$C$114,$C15)</f>
        <v/>
      </c>
      <c r="H15" s="103">
        <f>SUMIFS('Reg Setores'!$AM$7:$AM$114,'Reg Setores'!$D$7:$D$114,"ex_2013_14",'Reg Setores'!$C$7:$C$114,$C15)</f>
        <v/>
      </c>
      <c r="I15" s="103">
        <f>SUMIFS('Reg Setores'!$AE$7:$AE$114,'Reg Setores'!$D$7:$D$114,"ex_2013_14",'Reg Setores'!$C$7:$C$114,$C15)</f>
        <v/>
      </c>
      <c r="J15" s="103">
        <f>SUMIFS('Reg Setores'!$AF$7:$AF$114,'Reg Setores'!$D$7:$D$114,"ex_2013_14",'Reg Setores'!$C$7:$C$114,$C15)</f>
        <v/>
      </c>
      <c r="K15" s="103">
        <f>SUMIFS('Reg Setores'!$AH$7:$AH$114,'Reg Setores'!$D$7:$D$114,"ex_2013_14",'Reg Setores'!$C$7:$C$114,$C15)</f>
        <v/>
      </c>
      <c r="L15" s="103">
        <f>SUMIFS('Reg Setores'!$AQ$7:$AQ$114,'Reg Setores'!$D$7:$D$114,"ex_2013_14",'Reg Setores'!$C$7:$C$114,$C15)</f>
        <v/>
      </c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</row>
    <row r="16">
      <c r="C16" s="6" t="inlineStr">
        <is>
          <t>Consumer Staples</t>
        </is>
      </c>
      <c r="D16" s="103">
        <f>SUMIFS('Reg Setores'!$H$7:$H$114,'Reg Setores'!$D$7:$D$114,"ex_2013_14",'Reg Setores'!$C$7:$C$114,$C16)</f>
        <v/>
      </c>
      <c r="E16" s="103">
        <f>SUMIFS('Reg Setores'!$K$7:$K$114,'Reg Setores'!$D$7:$D$114,"ex_2013_14",'Reg Setores'!$C$7:$C$114,$C16)</f>
        <v/>
      </c>
      <c r="F16" s="103">
        <f>SUMIFS('Reg Setores'!$L$7:$L$114,'Reg Setores'!$D$7:$D$114,"ex_2013_14",'Reg Setores'!$C$7:$C$114,$C16)</f>
        <v/>
      </c>
      <c r="G16" s="103">
        <f>SUMIFS('Reg Setores'!$N$7:$N$114,'Reg Setores'!$D$7:$D$114,"ex_2013_14",'Reg Setores'!$C$7:$C$114,$C16)</f>
        <v/>
      </c>
      <c r="H16" s="103">
        <f>SUMIFS('Reg Setores'!$AM$7:$AM$114,'Reg Setores'!$D$7:$D$114,"ex_2013_14",'Reg Setores'!$C$7:$C$114,$C16)</f>
        <v/>
      </c>
      <c r="I16" s="103">
        <f>SUMIFS('Reg Setores'!$AE$7:$AE$114,'Reg Setores'!$D$7:$D$114,"ex_2013_14",'Reg Setores'!$C$7:$C$114,$C16)</f>
        <v/>
      </c>
      <c r="J16" s="103">
        <f>SUMIFS('Reg Setores'!$AF$7:$AF$114,'Reg Setores'!$D$7:$D$114,"ex_2013_14",'Reg Setores'!$C$7:$C$114,$C16)</f>
        <v/>
      </c>
      <c r="K16" s="103">
        <f>SUMIFS('Reg Setores'!$AH$7:$AH$114,'Reg Setores'!$D$7:$D$114,"ex_2013_14",'Reg Setores'!$C$7:$C$114,$C16)</f>
        <v/>
      </c>
      <c r="L16" s="103">
        <f>SUMIFS('Reg Setores'!$AQ$7:$AQ$114,'Reg Setores'!$D$7:$D$114,"ex_2013_14",'Reg Setores'!$C$7:$C$114,$C16)</f>
        <v/>
      </c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</row>
    <row r="17">
      <c r="C17" s="6" t="inlineStr">
        <is>
          <t>Health Care</t>
        </is>
      </c>
      <c r="D17" s="103">
        <f>SUMIFS('Reg Setores'!$H$7:$H$114,'Reg Setores'!$D$7:$D$114,"ex_2013_14",'Reg Setores'!$C$7:$C$114,$C17)</f>
        <v/>
      </c>
      <c r="E17" s="103">
        <f>SUMIFS('Reg Setores'!$K$7:$K$114,'Reg Setores'!$D$7:$D$114,"ex_2013_14",'Reg Setores'!$C$7:$C$114,$C17)</f>
        <v/>
      </c>
      <c r="F17" s="103">
        <f>SUMIFS('Reg Setores'!$L$7:$L$114,'Reg Setores'!$D$7:$D$114,"ex_2013_14",'Reg Setores'!$C$7:$C$114,$C17)</f>
        <v/>
      </c>
      <c r="G17" s="103">
        <f>SUMIFS('Reg Setores'!$N$7:$N$114,'Reg Setores'!$D$7:$D$114,"ex_2013_14",'Reg Setores'!$C$7:$C$114,$C17)</f>
        <v/>
      </c>
      <c r="H17" s="103">
        <f>SUMIFS('Reg Setores'!$AM$7:$AM$114,'Reg Setores'!$D$7:$D$114,"ex_2013_14",'Reg Setores'!$C$7:$C$114,$C17)</f>
        <v/>
      </c>
      <c r="I17" s="103">
        <f>SUMIFS('Reg Setores'!$AE$7:$AE$114,'Reg Setores'!$D$7:$D$114,"ex_2013_14",'Reg Setores'!$C$7:$C$114,$C17)</f>
        <v/>
      </c>
      <c r="J17" s="103">
        <f>SUMIFS('Reg Setores'!$AF$7:$AF$114,'Reg Setores'!$D$7:$D$114,"ex_2013_14",'Reg Setores'!$C$7:$C$114,$C17)</f>
        <v/>
      </c>
      <c r="K17" s="103">
        <f>SUMIFS('Reg Setores'!$AH$7:$AH$114,'Reg Setores'!$D$7:$D$114,"ex_2013_14",'Reg Setores'!$C$7:$C$114,$C17)</f>
        <v/>
      </c>
      <c r="L17" s="103">
        <f>SUMIFS('Reg Setores'!$AQ$7:$AQ$114,'Reg Setores'!$D$7:$D$114,"ex_2013_14",'Reg Setores'!$C$7:$C$114,$C17)</f>
        <v/>
      </c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</row>
    <row r="18">
      <c r="C18" s="6" t="inlineStr">
        <is>
          <t>Communication Services</t>
        </is>
      </c>
      <c r="D18" s="103">
        <f>SUMIFS('Reg Setores'!$H$7:$H$114,'Reg Setores'!$D$7:$D$114,"ex_2013_14",'Reg Setores'!$C$7:$C$114,$C18)</f>
        <v/>
      </c>
      <c r="E18" s="103">
        <f>SUMIFS('Reg Setores'!$K$7:$K$114,'Reg Setores'!$D$7:$D$114,"ex_2013_14",'Reg Setores'!$C$7:$C$114,$C18)</f>
        <v/>
      </c>
      <c r="F18" s="103">
        <f>SUMIFS('Reg Setores'!$L$7:$L$114,'Reg Setores'!$D$7:$D$114,"ex_2013_14",'Reg Setores'!$C$7:$C$114,$C18)</f>
        <v/>
      </c>
      <c r="G18" s="103">
        <f>SUMIFS('Reg Setores'!$N$7:$N$114,'Reg Setores'!$D$7:$D$114,"ex_2013_14",'Reg Setores'!$C$7:$C$114,$C18)</f>
        <v/>
      </c>
      <c r="H18" s="103">
        <f>SUMIFS('Reg Setores'!$AM$7:$AM$114,'Reg Setores'!$D$7:$D$114,"ex_2013_14",'Reg Setores'!$C$7:$C$114,$C18)</f>
        <v/>
      </c>
      <c r="I18" s="103">
        <f>SUMIFS('Reg Setores'!$AE$7:$AE$114,'Reg Setores'!$D$7:$D$114,"ex_2013_14",'Reg Setores'!$C$7:$C$114,$C18)</f>
        <v/>
      </c>
      <c r="J18" s="103">
        <f>SUMIFS('Reg Setores'!$AF$7:$AF$114,'Reg Setores'!$D$7:$D$114,"ex_2013_14",'Reg Setores'!$C$7:$C$114,$C18)</f>
        <v/>
      </c>
      <c r="K18" s="103">
        <f>SUMIFS('Reg Setores'!$AH$7:$AH$114,'Reg Setores'!$D$7:$D$114,"ex_2013_14",'Reg Setores'!$C$7:$C$114,$C18)</f>
        <v/>
      </c>
      <c r="L18" s="103">
        <f>SUMIFS('Reg Setores'!$AQ$7:$AQ$114,'Reg Setores'!$D$7:$D$114,"ex_2013_14",'Reg Setores'!$C$7:$C$114,$C18)</f>
        <v/>
      </c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</row>
    <row r="19">
      <c r="C19" s="6" t="inlineStr">
        <is>
          <t>Information Technology</t>
        </is>
      </c>
      <c r="D19" s="103">
        <f>SUMIFS('Reg Setores'!$H$7:$H$114,'Reg Setores'!$D$7:$D$114,"ex_2013_14",'Reg Setores'!$C$7:$C$114,$C19)</f>
        <v/>
      </c>
      <c r="E19" s="103">
        <f>SUMIFS('Reg Setores'!$K$7:$K$114,'Reg Setores'!$D$7:$D$114,"ex_2013_14",'Reg Setores'!$C$7:$C$114,$C19)</f>
        <v/>
      </c>
      <c r="F19" s="103">
        <f>SUMIFS('Reg Setores'!$L$7:$L$114,'Reg Setores'!$D$7:$D$114,"ex_2013_14",'Reg Setores'!$C$7:$C$114,$C19)</f>
        <v/>
      </c>
      <c r="G19" s="103">
        <f>SUMIFS('Reg Setores'!$N$7:$N$114,'Reg Setores'!$D$7:$D$114,"ex_2013_14",'Reg Setores'!$C$7:$C$114,$C19)</f>
        <v/>
      </c>
      <c r="H19" s="103">
        <f>SUMIFS('Reg Setores'!$AM$7:$AM$114,'Reg Setores'!$D$7:$D$114,"ex_2013_14",'Reg Setores'!$C$7:$C$114,$C19)</f>
        <v/>
      </c>
      <c r="I19" s="103">
        <f>SUMIFS('Reg Setores'!$AE$7:$AE$114,'Reg Setores'!$D$7:$D$114,"ex_2013_14",'Reg Setores'!$C$7:$C$114,$C19)</f>
        <v/>
      </c>
      <c r="J19" s="103">
        <f>SUMIFS('Reg Setores'!$AF$7:$AF$114,'Reg Setores'!$D$7:$D$114,"ex_2013_14",'Reg Setores'!$C$7:$C$114,$C19)</f>
        <v/>
      </c>
      <c r="K19" s="103">
        <f>SUMIFS('Reg Setores'!$AH$7:$AH$114,'Reg Setores'!$D$7:$D$114,"ex_2013_14",'Reg Setores'!$C$7:$C$114,$C19)</f>
        <v/>
      </c>
      <c r="L19" s="103">
        <f>SUMIFS('Reg Setores'!$AQ$7:$AQ$114,'Reg Setores'!$D$7:$D$114,"ex_2013_14",'Reg Setores'!$C$7:$C$114,$C19)</f>
        <v/>
      </c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</row>
    <row r="20">
      <c r="C20" s="99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</row>
    <row r="21"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</row>
    <row r="22">
      <c r="C22" s="11" t="inlineStr">
        <is>
          <t>Leitura</t>
        </is>
      </c>
      <c r="D22" s="11" t="inlineStr">
        <is>
          <t>Energy</t>
        </is>
      </c>
      <c r="E22" s="11" t="inlineStr">
        <is>
          <t>Consumer Discretionary</t>
        </is>
      </c>
      <c r="F22" s="11" t="inlineStr">
        <is>
          <t>Financials</t>
        </is>
      </c>
      <c r="G22" s="11" t="inlineStr">
        <is>
          <t>Materials</t>
        </is>
      </c>
      <c r="H22" s="11" t="n"/>
      <c r="I22" s="11" t="n"/>
      <c r="J22" s="11" t="n"/>
      <c r="K22" s="11" t="n"/>
      <c r="L22" s="11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</row>
    <row r="23">
      <c r="C23" s="85" t="inlineStr">
        <is>
          <t>Focus q BH &lt; 10%</t>
        </is>
      </c>
      <c r="D23" s="85" t="inlineStr">
        <is>
          <t>Sim</t>
        </is>
      </c>
      <c r="E23" s="85" t="inlineStr">
        <is>
          <t>Sim</t>
        </is>
      </c>
      <c r="F23" s="85" t="inlineStr">
        <is>
          <t>Sim</t>
        </is>
      </c>
      <c r="G23" s="85" t="inlineStr">
        <is>
          <t>Sim</t>
        </is>
      </c>
      <c r="H23" s="85" t="n"/>
      <c r="I23" s="85" t="n"/>
      <c r="J23" s="85" t="n"/>
      <c r="K23" s="85" t="n"/>
      <c r="L23" s="85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</row>
    <row r="24">
      <c r="C24" s="85" t="inlineStr">
        <is>
          <t>Swap q BH &lt; 10%</t>
        </is>
      </c>
      <c r="D24" s="85" t="inlineStr">
        <is>
          <t>Não</t>
        </is>
      </c>
      <c r="E24" s="85" t="inlineStr">
        <is>
          <t>Não</t>
        </is>
      </c>
      <c r="F24" s="85" t="inlineStr">
        <is>
          <t>Não</t>
        </is>
      </c>
      <c r="G24" s="85" t="inlineStr">
        <is>
          <t>Não</t>
        </is>
      </c>
      <c r="H24" s="85" t="n"/>
      <c r="I24" s="85" t="n"/>
      <c r="J24" s="85" t="n"/>
      <c r="K24" s="85" t="n"/>
      <c r="L24" s="85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</row>
    <row r="25" ht="34" customHeight="1">
      <c r="C25" s="85" t="inlineStr">
        <is>
          <t>Conclusão</t>
        </is>
      </c>
      <c r="D25" s="85" t="inlineStr">
        <is>
          <t>Energia lidera, mas o resultado é concentrado em Petrobras.</t>
        </is>
      </c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</row>
  </sheetData>
  <mergeCells count="1">
    <mergeCell ref="D25:L25"/>
  </mergeCells>
  <conditionalFormatting sqref="H9:H19">
    <cfRule type="cellIs" priority="1" operator="lessThan" dxfId="0">
      <formula>0.1</formula>
    </cfRule>
  </conditionalFormatting>
  <conditionalFormatting sqref="L9:L19">
    <cfRule type="cellIs" priority="2" operator="lessThan" dxfId="0">
      <formula>0.1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C2:U29"/>
  <sheetViews>
    <sheetView showGridLines="0" workbookViewId="0">
      <pane ySplit="16" topLeftCell="A17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2">
      <c r="C2" s="2" t="inlineStr">
        <is>
          <t>Matriz de sensibilidade: Focus PIB e swap pré-DI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</row>
    <row r="3">
      <c r="C3" s="4" t="inlineStr">
        <is>
          <t>Impacto estimado sobre a revisão de earnings de três meses do BEst EPS do IBOV. Amostra ex_2013_14.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</row>
    <row r="6">
      <c r="C6" s="74" t="inlineStr">
        <is>
          <t>Parâmetros do modelo</t>
        </is>
      </c>
      <c r="D6" s="75" t="n"/>
      <c r="E6" s="75" t="n"/>
      <c r="F6" s="75" t="n"/>
      <c r="G6" s="76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</row>
    <row r="7">
      <c r="C7" s="11" t="inlineStr">
        <is>
          <t>Parâmetro</t>
        </is>
      </c>
      <c r="D7" s="11" t="inlineStr">
        <is>
          <t>Valor</t>
        </is>
      </c>
      <c r="E7" s="11" t="inlineStr">
        <is>
          <t>p-valor HAC</t>
        </is>
      </c>
      <c r="F7" s="11" t="inlineStr">
        <is>
          <t>Unidade</t>
        </is>
      </c>
      <c r="G7" s="11" t="inlineStr">
        <is>
          <t>Observação</t>
        </is>
      </c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</row>
    <row r="8">
      <c r="C8" s="6" t="inlineStr">
        <is>
          <t>Beta Focus PIB</t>
        </is>
      </c>
      <c r="D8" s="103">
        <f>SUMIFS('Reg IBOV'!$J$7:$J$26,'Reg IBOV'!$D$7:$D$26,"ex_2013_14",'Reg IBOV'!$I$7:$I$26,"d_focus_pib3")</f>
        <v/>
      </c>
      <c r="E8" s="103">
        <f>SUMIFS('Reg IBOV'!$N$7:$N$26,'Reg IBOV'!$D$7:$D$26,"ex_2013_14",'Reg IBOV'!$I$7:$I$26,"d_focus_pib3")</f>
        <v/>
      </c>
      <c r="F8" s="6" t="inlineStr">
        <is>
          <t>% revisão / 1 p.p.</t>
        </is>
      </c>
      <c r="G8" s="6" t="inlineStr">
        <is>
          <t>Coeficiente contemporâneo</t>
        </is>
      </c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</row>
    <row r="9">
      <c r="C9" s="6" t="inlineStr">
        <is>
          <t>Beta swap 360d</t>
        </is>
      </c>
      <c r="D9" s="103">
        <f>SUMIFS('Reg IBOV'!$J$7:$J$26,'Reg IBOV'!$D$7:$D$26,"ex_2013_14",'Reg IBOV'!$I$7:$I$26,"d_swap360_3")</f>
        <v/>
      </c>
      <c r="E9" s="103">
        <f>SUMIFS('Reg IBOV'!$N$7:$N$26,'Reg IBOV'!$D$7:$D$26,"ex_2013_14",'Reg IBOV'!$I$7:$I$26,"d_swap360_3")</f>
        <v/>
      </c>
      <c r="F9" s="6" t="inlineStr">
        <is>
          <t>% revisão / 1 p.p.</t>
        </is>
      </c>
      <c r="G9" s="6" t="inlineStr">
        <is>
          <t>Sinal positivo na amostra principal</t>
        </is>
      </c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</row>
    <row r="10">
      <c r="C10" s="6" t="inlineStr">
        <is>
          <t>R²</t>
        </is>
      </c>
      <c r="D10" s="103">
        <f>SUMIFS('Reg IBOV'!$G$7:$G$26,'Reg IBOV'!$D$7:$D$26,"ex_2013_14",'Reg IBOV'!$I$7:$I$26,"d_focus_pib3")</f>
        <v/>
      </c>
      <c r="E10" s="103" t="n"/>
      <c r="F10" s="6" t="inlineStr">
        <is>
          <t>proporção</t>
        </is>
      </c>
      <c r="G10" s="6" t="inlineStr">
        <is>
          <t>Modelo com cinco variáveis</t>
        </is>
      </c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</row>
    <row r="11">
      <c r="C11" s="6" t="inlineStr">
        <is>
          <t>Amostra</t>
        </is>
      </c>
      <c r="D11" s="6" t="inlineStr">
        <is>
          <t>ex_2013_14</t>
        </is>
      </c>
      <c r="E11" s="6" t="n"/>
      <c r="F11" s="6" t="n"/>
      <c r="G11" s="6" t="inlineStr">
        <is>
          <t>2013-2014 excluídos</t>
        </is>
      </c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</row>
    <row r="12"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</row>
    <row r="13"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</row>
    <row r="14">
      <c r="C14" s="74" t="inlineStr">
        <is>
          <t>Revisão prevista de earnings em três meses (%)</t>
        </is>
      </c>
      <c r="D14" s="75" t="n"/>
      <c r="E14" s="75" t="n"/>
      <c r="F14" s="75" t="n"/>
      <c r="G14" s="75" t="n"/>
      <c r="H14" s="75" t="n"/>
      <c r="I14" s="75" t="n"/>
      <c r="J14" s="76" t="n"/>
      <c r="K14" s="99" t="n"/>
      <c r="L14" s="99" t="n"/>
      <c r="M14" s="74" t="inlineStr">
        <is>
          <t>Matriz arquivada da análise original</t>
        </is>
      </c>
      <c r="N14" s="75" t="n"/>
      <c r="O14" s="75" t="n"/>
      <c r="P14" s="75" t="n"/>
      <c r="Q14" s="75" t="n"/>
      <c r="R14" s="75" t="n"/>
      <c r="S14" s="75" t="n"/>
      <c r="T14" s="76" t="n"/>
      <c r="U14" s="99" t="n"/>
    </row>
    <row r="15"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</row>
    <row r="16">
      <c r="C16" s="11" t="inlineStr">
        <is>
          <t>Focus Δ (p.p.)</t>
        </is>
      </c>
      <c r="D16" s="11" t="n">
        <v>-3</v>
      </c>
      <c r="E16" s="11" t="n">
        <v>-2</v>
      </c>
      <c r="F16" s="11" t="n">
        <v>-1</v>
      </c>
      <c r="G16" s="11" t="n">
        <v>0</v>
      </c>
      <c r="H16" s="11" t="n">
        <v>1</v>
      </c>
      <c r="I16" s="11" t="n">
        <v>2</v>
      </c>
      <c r="J16" s="11" t="n">
        <v>3</v>
      </c>
      <c r="K16" s="99" t="n"/>
      <c r="L16" s="99" t="n"/>
      <c r="M16" s="11" t="inlineStr">
        <is>
          <t>focus_delta_pp</t>
        </is>
      </c>
      <c r="N16" s="11" t="inlineStr">
        <is>
          <t>swap_-3.00pp</t>
        </is>
      </c>
      <c r="O16" s="11" t="inlineStr">
        <is>
          <t>swap_-2.00pp</t>
        </is>
      </c>
      <c r="P16" s="11" t="inlineStr">
        <is>
          <t>swap_-1.00pp</t>
        </is>
      </c>
      <c r="Q16" s="11" t="inlineStr">
        <is>
          <t>swap_+0.00pp</t>
        </is>
      </c>
      <c r="R16" s="11" t="inlineStr">
        <is>
          <t>swap_+1.00pp</t>
        </is>
      </c>
      <c r="S16" s="11" t="inlineStr">
        <is>
          <t>swap_+2.00pp</t>
        </is>
      </c>
      <c r="T16" s="11" t="inlineStr">
        <is>
          <t>swap_+3.00pp</t>
        </is>
      </c>
      <c r="U16" s="99" t="n"/>
    </row>
    <row r="17">
      <c r="C17" s="104" t="n">
        <v>-1</v>
      </c>
      <c r="D17" s="102">
        <f>$D$8*$C17+$D$9*D$16</f>
        <v/>
      </c>
      <c r="E17" s="102">
        <f>$D$8*$C17+$D$9*E$16</f>
        <v/>
      </c>
      <c r="F17" s="102">
        <f>$D$8*$C17+$D$9*F$16</f>
        <v/>
      </c>
      <c r="G17" s="102">
        <f>$D$8*$C17+$D$9*G$16</f>
        <v/>
      </c>
      <c r="H17" s="102">
        <f>$D$8*$C17+$D$9*H$16</f>
        <v/>
      </c>
      <c r="I17" s="102">
        <f>$D$8*$C17+$D$9*I$16</f>
        <v/>
      </c>
      <c r="J17" s="102">
        <f>$D$8*$C17+$D$9*J$16</f>
        <v/>
      </c>
      <c r="K17" s="99" t="n"/>
      <c r="L17" s="99" t="n"/>
      <c r="M17" s="102" t="n">
        <v>-1</v>
      </c>
      <c r="N17" s="102" t="n">
        <v>-11.19746179077416</v>
      </c>
      <c r="O17" s="102" t="n">
        <v>-9.465982017311198</v>
      </c>
      <c r="P17" s="102" t="n">
        <v>-7.734502243848232</v>
      </c>
      <c r="Q17" s="102" t="n">
        <v>-6.003022470385266</v>
      </c>
      <c r="R17" s="102" t="n">
        <v>-4.2715426969223</v>
      </c>
      <c r="S17" s="102" t="n">
        <v>-2.540062923459335</v>
      </c>
      <c r="T17" s="102" t="n">
        <v>-0.8085831499963687</v>
      </c>
      <c r="U17" s="99" t="n"/>
    </row>
    <row r="18">
      <c r="C18" s="104" t="n">
        <v>-0.75</v>
      </c>
      <c r="D18" s="102">
        <f>$D$8*$C18+$D$9*D$16</f>
        <v/>
      </c>
      <c r="E18" s="102">
        <f>$D$8*$C18+$D$9*E$16</f>
        <v/>
      </c>
      <c r="F18" s="102">
        <f>$D$8*$C18+$D$9*F$16</f>
        <v/>
      </c>
      <c r="G18" s="102">
        <f>$D$8*$C18+$D$9*G$16</f>
        <v/>
      </c>
      <c r="H18" s="102">
        <f>$D$8*$C18+$D$9*H$16</f>
        <v/>
      </c>
      <c r="I18" s="102">
        <f>$D$8*$C18+$D$9*I$16</f>
        <v/>
      </c>
      <c r="J18" s="102">
        <f>$D$8*$C18+$D$9*J$16</f>
        <v/>
      </c>
      <c r="K18" s="99" t="n"/>
      <c r="L18" s="99" t="n"/>
      <c r="M18" s="102" t="n">
        <v>-0.75</v>
      </c>
      <c r="N18" s="102" t="n">
        <v>-9.696706173177848</v>
      </c>
      <c r="O18" s="102" t="n">
        <v>-7.965226399714881</v>
      </c>
      <c r="P18" s="102" t="n">
        <v>-6.233746626251915</v>
      </c>
      <c r="Q18" s="102" t="n">
        <v>-4.502266852788949</v>
      </c>
      <c r="R18" s="102" t="n">
        <v>-2.770787079325983</v>
      </c>
      <c r="S18" s="102" t="n">
        <v>-1.039307305863018</v>
      </c>
      <c r="T18" s="102" t="n">
        <v>0.6921724675999483</v>
      </c>
      <c r="U18" s="99" t="n"/>
    </row>
    <row r="19">
      <c r="C19" s="104" t="n">
        <v>-0.5</v>
      </c>
      <c r="D19" s="102">
        <f>$D$8*$C19+$D$9*D$16</f>
        <v/>
      </c>
      <c r="E19" s="102">
        <f>$D$8*$C19+$D$9*E$16</f>
        <v/>
      </c>
      <c r="F19" s="102">
        <f>$D$8*$C19+$D$9*F$16</f>
        <v/>
      </c>
      <c r="G19" s="102">
        <f>$D$8*$C19+$D$9*G$16</f>
        <v/>
      </c>
      <c r="H19" s="102">
        <f>$D$8*$C19+$D$9*H$16</f>
        <v/>
      </c>
      <c r="I19" s="102">
        <f>$D$8*$C19+$D$9*I$16</f>
        <v/>
      </c>
      <c r="J19" s="102">
        <f>$D$8*$C19+$D$9*J$16</f>
        <v/>
      </c>
      <c r="K19" s="99" t="n"/>
      <c r="L19" s="99" t="n"/>
      <c r="M19" s="102" t="n">
        <v>-0.5</v>
      </c>
      <c r="N19" s="102" t="n">
        <v>-8.195950555581531</v>
      </c>
      <c r="O19" s="102" t="n">
        <v>-6.464470782118565</v>
      </c>
      <c r="P19" s="102" t="n">
        <v>-4.732991008655599</v>
      </c>
      <c r="Q19" s="102" t="n">
        <v>-3.001511235192633</v>
      </c>
      <c r="R19" s="102" t="n">
        <v>-1.270031461729667</v>
      </c>
      <c r="S19" s="102" t="n">
        <v>0.4614483117332986</v>
      </c>
      <c r="T19" s="102" t="n">
        <v>2.192928085196264</v>
      </c>
      <c r="U19" s="99" t="n"/>
    </row>
    <row r="20">
      <c r="C20" s="104" t="n">
        <v>-0.25</v>
      </c>
      <c r="D20" s="102">
        <f>$D$8*$C20+$D$9*D$16</f>
        <v/>
      </c>
      <c r="E20" s="102">
        <f>$D$8*$C20+$D$9*E$16</f>
        <v/>
      </c>
      <c r="F20" s="102">
        <f>$D$8*$C20+$D$9*F$16</f>
        <v/>
      </c>
      <c r="G20" s="102">
        <f>$D$8*$C20+$D$9*G$16</f>
        <v/>
      </c>
      <c r="H20" s="102">
        <f>$D$8*$C20+$D$9*H$16</f>
        <v/>
      </c>
      <c r="I20" s="102">
        <f>$D$8*$C20+$D$9*I$16</f>
        <v/>
      </c>
      <c r="J20" s="102">
        <f>$D$8*$C20+$D$9*J$16</f>
        <v/>
      </c>
      <c r="K20" s="99" t="n"/>
      <c r="L20" s="99" t="n"/>
      <c r="M20" s="102" t="n">
        <v>-0.25</v>
      </c>
      <c r="N20" s="102" t="n">
        <v>-6.695194937985214</v>
      </c>
      <c r="O20" s="102" t="n">
        <v>-4.963715164522249</v>
      </c>
      <c r="P20" s="102" t="n">
        <v>-3.232235391059282</v>
      </c>
      <c r="Q20" s="102" t="n">
        <v>-1.500755617596317</v>
      </c>
      <c r="R20" s="102" t="n">
        <v>0.2307241558666493</v>
      </c>
      <c r="S20" s="102" t="n">
        <v>1.962203929329615</v>
      </c>
      <c r="T20" s="102" t="n">
        <v>3.693683702792581</v>
      </c>
      <c r="U20" s="99" t="n"/>
    </row>
    <row r="21">
      <c r="C21" s="104" t="n">
        <v>0</v>
      </c>
      <c r="D21" s="102">
        <f>$D$8*$C21+$D$9*D$16</f>
        <v/>
      </c>
      <c r="E21" s="102">
        <f>$D$8*$C21+$D$9*E$16</f>
        <v/>
      </c>
      <c r="F21" s="102">
        <f>$D$8*$C21+$D$9*F$16</f>
        <v/>
      </c>
      <c r="G21" s="102">
        <f>$D$8*$C21+$D$9*G$16</f>
        <v/>
      </c>
      <c r="H21" s="102">
        <f>$D$8*$C21+$D$9*H$16</f>
        <v/>
      </c>
      <c r="I21" s="102">
        <f>$D$8*$C21+$D$9*I$16</f>
        <v/>
      </c>
      <c r="J21" s="102">
        <f>$D$8*$C21+$D$9*J$16</f>
        <v/>
      </c>
      <c r="K21" s="99" t="n"/>
      <c r="L21" s="99" t="n"/>
      <c r="M21" s="102" t="n">
        <v>0</v>
      </c>
      <c r="N21" s="102" t="n">
        <v>-5.194439320388898</v>
      </c>
      <c r="O21" s="102" t="n">
        <v>-3.462959546925932</v>
      </c>
      <c r="P21" s="102" t="n">
        <v>-1.731479773462966</v>
      </c>
      <c r="Q21" s="102" t="n">
        <v>0</v>
      </c>
      <c r="R21" s="102" t="n">
        <v>1.731479773462966</v>
      </c>
      <c r="S21" s="102" t="n">
        <v>3.462959546925932</v>
      </c>
      <c r="T21" s="102" t="n">
        <v>5.194439320388898</v>
      </c>
      <c r="U21" s="99" t="n"/>
    </row>
    <row r="22">
      <c r="C22" s="104" t="n">
        <v>0.25</v>
      </c>
      <c r="D22" s="102">
        <f>$D$8*$C22+$D$9*D$16</f>
        <v/>
      </c>
      <c r="E22" s="102">
        <f>$D$8*$C22+$D$9*E$16</f>
        <v/>
      </c>
      <c r="F22" s="102">
        <f>$D$8*$C22+$D$9*F$16</f>
        <v/>
      </c>
      <c r="G22" s="102">
        <f>$D$8*$C22+$D$9*G$16</f>
        <v/>
      </c>
      <c r="H22" s="102">
        <f>$D$8*$C22+$D$9*H$16</f>
        <v/>
      </c>
      <c r="I22" s="102">
        <f>$D$8*$C22+$D$9*I$16</f>
        <v/>
      </c>
      <c r="J22" s="102">
        <f>$D$8*$C22+$D$9*J$16</f>
        <v/>
      </c>
      <c r="K22" s="99" t="n"/>
      <c r="L22" s="99" t="n"/>
      <c r="M22" s="102" t="n">
        <v>0.25</v>
      </c>
      <c r="N22" s="102" t="n">
        <v>-3.693683702792581</v>
      </c>
      <c r="O22" s="102" t="n">
        <v>-1.962203929329615</v>
      </c>
      <c r="P22" s="102" t="n">
        <v>-0.2307241558666493</v>
      </c>
      <c r="Q22" s="102" t="n">
        <v>1.500755617596317</v>
      </c>
      <c r="R22" s="102" t="n">
        <v>3.232235391059282</v>
      </c>
      <c r="S22" s="102" t="n">
        <v>4.963715164522249</v>
      </c>
      <c r="T22" s="102" t="n">
        <v>6.695194937985214</v>
      </c>
      <c r="U22" s="99" t="n"/>
    </row>
    <row r="23">
      <c r="C23" s="104" t="n">
        <v>0.5</v>
      </c>
      <c r="D23" s="102">
        <f>$D$8*$C23+$D$9*D$16</f>
        <v/>
      </c>
      <c r="E23" s="102">
        <f>$D$8*$C23+$D$9*E$16</f>
        <v/>
      </c>
      <c r="F23" s="102">
        <f>$D$8*$C23+$D$9*F$16</f>
        <v/>
      </c>
      <c r="G23" s="102">
        <f>$D$8*$C23+$D$9*G$16</f>
        <v/>
      </c>
      <c r="H23" s="102">
        <f>$D$8*$C23+$D$9*H$16</f>
        <v/>
      </c>
      <c r="I23" s="102">
        <f>$D$8*$C23+$D$9*I$16</f>
        <v/>
      </c>
      <c r="J23" s="102">
        <f>$D$8*$C23+$D$9*J$16</f>
        <v/>
      </c>
      <c r="K23" s="99" t="n"/>
      <c r="L23" s="99" t="n"/>
      <c r="M23" s="102" t="n">
        <v>0.5</v>
      </c>
      <c r="N23" s="102" t="n">
        <v>-2.192928085196264</v>
      </c>
      <c r="O23" s="102" t="n">
        <v>-0.4614483117332986</v>
      </c>
      <c r="P23" s="102" t="n">
        <v>1.270031461729667</v>
      </c>
      <c r="Q23" s="102" t="n">
        <v>3.001511235192633</v>
      </c>
      <c r="R23" s="102" t="n">
        <v>4.732991008655599</v>
      </c>
      <c r="S23" s="102" t="n">
        <v>6.464470782118565</v>
      </c>
      <c r="T23" s="102" t="n">
        <v>8.195950555581531</v>
      </c>
      <c r="U23" s="99" t="n"/>
    </row>
    <row r="24">
      <c r="C24" s="99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</row>
    <row r="25"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inlineStr">
        <is>
          <t>Checagem</t>
        </is>
      </c>
      <c r="N25" s="99" t="inlineStr">
        <is>
          <t>Máximo entre três diferenças</t>
        </is>
      </c>
      <c r="O25" s="99" t="n"/>
      <c r="P25" s="99" t="n"/>
      <c r="Q25" s="99" t="n"/>
      <c r="R25" s="99" t="n"/>
      <c r="S25" s="99" t="n"/>
      <c r="T25" s="99" t="n"/>
      <c r="U25" s="99" t="n"/>
    </row>
    <row r="26">
      <c r="C26" s="84" t="inlineStr">
        <is>
          <t>Interpretação</t>
        </is>
      </c>
      <c r="D26" s="84" t="inlineStr">
        <is>
          <t>A matriz combina mecanicamente os dois coeficientes. O beta positivo do swap não prova que juros maiores elevam lucros; o sinal perde significância em outras janelas e pode refletir composição, bancos e variáveis omitidas.</t>
        </is>
      </c>
      <c r="K26" s="99" t="n"/>
      <c r="L26" s="99" t="n"/>
      <c r="M26" s="99" t="n"/>
      <c r="N26" s="105">
        <f>MAX(ABS(D17-N17),ABS(G20-Q20),ABS(J23-T23))</f>
        <v/>
      </c>
      <c r="O26" s="99" t="n"/>
      <c r="P26" s="99" t="n"/>
      <c r="Q26" s="99" t="n"/>
      <c r="R26" s="99" t="n"/>
      <c r="S26" s="99" t="n"/>
      <c r="T26" s="99" t="n"/>
      <c r="U26" s="99" t="n"/>
    </row>
    <row r="27"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</row>
    <row r="28"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</row>
    <row r="29"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</row>
  </sheetData>
  <mergeCells count="2">
    <mergeCell ref="C26:C29"/>
    <mergeCell ref="D26:J29"/>
  </mergeCells>
  <conditionalFormatting sqref="D17:J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S26"/>
  <sheetViews>
    <sheetView showGridLines="0" workbookViewId="0">
      <pane ySplit="14" topLeftCell="A15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2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C2" s="2" t="inlineStr">
        <is>
          <t>Teste de inflação: realizado e expectativa Focus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</row>
    <row r="3">
      <c r="C3" s="4" t="inlineStr">
        <is>
          <t>Comparação incremental contra o modelo-base com Focus PIB, BCOM e USD/BRL.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</row>
    <row r="6">
      <c r="C6" s="74" t="inlineStr">
        <is>
          <t>Resultado principal - amostra ex_2013_14</t>
        </is>
      </c>
      <c r="D6" s="75" t="n"/>
      <c r="E6" s="75" t="n"/>
      <c r="F6" s="75" t="n"/>
      <c r="G6" s="75" t="n"/>
      <c r="H6" s="76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</row>
    <row r="7">
      <c r="C7" s="11" t="inlineStr">
        <is>
          <t>Candidato</t>
        </is>
      </c>
      <c r="D7" s="11" t="inlineStr">
        <is>
          <t>ΔR²</t>
        </is>
      </c>
      <c r="E7" s="11" t="inlineStr">
        <is>
          <t>Beta pad.</t>
        </is>
      </c>
      <c r="F7" s="11" t="inlineStr">
        <is>
          <t>p-valor HAC</t>
        </is>
      </c>
      <c r="G7" s="11" t="inlineStr">
        <is>
          <t>Leitura</t>
        </is>
      </c>
      <c r="H7" s="11" t="inlineStr">
        <is>
          <t>Uso no modelo final</t>
        </is>
      </c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</row>
    <row r="8">
      <c r="C8" s="6" t="inlineStr">
        <is>
          <t>Focus IPCA</t>
        </is>
      </c>
      <c r="D8" s="103">
        <f>SUMIFS('Inflacao'!$K$15:$K$26,'Inflacao'!$C$15:$C$26,"ex_2013_14",'Inflacao'!$D$15:$D$26,"d_focus_ipca3")</f>
        <v/>
      </c>
      <c r="E8" s="103">
        <f>SUMIFS('Inflacao'!$Q$15:$Q$26,'Inflacao'!$C$15:$C$26,"ex_2013_14",'Inflacao'!$D$15:$D$26,"d_focus_ipca3")</f>
        <v/>
      </c>
      <c r="F8" s="103">
        <f>SUMIFS('Inflacao'!$P$15:$P$26,'Inflacao'!$C$15:$C$26,"ex_2013_14",'Inflacao'!$D$15:$D$26,"d_focus_ipca3")</f>
        <v/>
      </c>
      <c r="G8" s="6" t="inlineStr">
        <is>
          <t>Boa associação na amostra principal</t>
        </is>
      </c>
      <c r="H8" s="6" t="inlineStr">
        <is>
          <t>Teste alternativo</t>
        </is>
      </c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</row>
    <row r="9">
      <c r="C9" s="6" t="inlineStr">
        <is>
          <t>IPCA realizado 12m</t>
        </is>
      </c>
      <c r="D9" s="103">
        <f>SUMIFS('Inflacao'!$K$15:$K$26,'Inflacao'!$C$15:$C$26,"ex_2013_14",'Inflacao'!$D$15:$D$26,"d_ipca12_3_available")</f>
        <v/>
      </c>
      <c r="E9" s="103">
        <f>SUMIFS('Inflacao'!$Q$15:$Q$26,'Inflacao'!$C$15:$C$26,"ex_2013_14",'Inflacao'!$D$15:$D$26,"d_ipca12_3_available")</f>
        <v/>
      </c>
      <c r="F9" s="103">
        <f>SUMIFS('Inflacao'!$P$15:$P$26,'Inflacao'!$C$15:$C$26,"ex_2013_14",'Inflacao'!$D$15:$D$26,"d_ipca12_3_available")</f>
        <v/>
      </c>
      <c r="G9" s="6" t="inlineStr">
        <is>
          <t>Maior ΔR² por pequena margem</t>
        </is>
      </c>
      <c r="H9" s="89" t="inlineStr">
        <is>
          <t>Selecionado</t>
        </is>
      </c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</row>
    <row r="10">
      <c r="C10" s="6" t="inlineStr">
        <is>
          <t>Fluxo IPCA 3m</t>
        </is>
      </c>
      <c r="D10" s="103">
        <f>SUMIFS('Inflacao'!$K$15:$K$26,'Inflacao'!$C$15:$C$26,"ex_2013_14",'Inflacao'!$D$15:$D$26,"ipca3_flow_available")</f>
        <v/>
      </c>
      <c r="E10" s="103">
        <f>SUMIFS('Inflacao'!$Q$15:$Q$26,'Inflacao'!$C$15:$C$26,"ex_2013_14",'Inflacao'!$D$15:$D$26,"ipca3_flow_available")</f>
        <v/>
      </c>
      <c r="F10" s="103">
        <f>SUMIFS('Inflacao'!$P$15:$P$26,'Inflacao'!$C$15:$C$26,"ex_2013_14",'Inflacao'!$D$15:$D$26,"ipca3_flow_available")</f>
        <v/>
      </c>
      <c r="G10" s="6" t="inlineStr">
        <is>
          <t>Mais fraco nesta especificação</t>
        </is>
      </c>
      <c r="H10" s="6" t="inlineStr">
        <is>
          <t>Não selecionado</t>
        </is>
      </c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</row>
    <row r="11"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</row>
    <row r="12">
      <c r="C12" s="74" t="inlineStr">
        <is>
          <t>Resultados completos</t>
        </is>
      </c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6" t="n"/>
      <c r="R12" s="99" t="n"/>
      <c r="S12" s="99" t="n"/>
    </row>
    <row r="13"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</row>
    <row r="14">
      <c r="C14" s="11" t="inlineStr">
        <is>
          <t>sample</t>
        </is>
      </c>
      <c r="D14" s="11" t="inlineStr">
        <is>
          <t>candidate</t>
        </is>
      </c>
      <c r="E14" s="11" t="inlineStr">
        <is>
          <t>start</t>
        </is>
      </c>
      <c r="F14" s="11" t="inlineStr">
        <is>
          <t>end</t>
        </is>
      </c>
      <c r="G14" s="11" t="inlineStr">
        <is>
          <t>n</t>
        </is>
      </c>
      <c r="H14" s="11" t="inlineStr">
        <is>
          <t>univariate_r2</t>
        </is>
      </c>
      <c r="I14" s="11" t="inlineStr">
        <is>
          <t>base_r2</t>
        </is>
      </c>
      <c r="J14" s="11" t="inlineStr">
        <is>
          <t>augmented_r2</t>
        </is>
      </c>
      <c r="K14" s="11" t="inlineStr">
        <is>
          <t>delta_r2</t>
        </is>
      </c>
      <c r="L14" s="11" t="inlineStr">
        <is>
          <t>delta_adj_r2</t>
        </is>
      </c>
      <c r="M14" s="11" t="inlineStr">
        <is>
          <t>beta</t>
        </is>
      </c>
      <c r="N14" s="11" t="inlineStr">
        <is>
          <t>se_hac</t>
        </is>
      </c>
      <c r="O14" s="11" t="inlineStr">
        <is>
          <t>t_hac</t>
        </is>
      </c>
      <c r="P14" s="11" t="inlineStr">
        <is>
          <t>p_hac</t>
        </is>
      </c>
      <c r="Q14" s="11" t="inlineStr">
        <is>
          <t>beta_std</t>
        </is>
      </c>
      <c r="R14" s="99" t="n"/>
      <c r="S14" s="99" t="n"/>
    </row>
    <row r="15">
      <c r="C15" s="106" t="inlineStr">
        <is>
          <t>full</t>
        </is>
      </c>
      <c r="D15" s="106" t="inlineStr">
        <is>
          <t>d_focus_ipca3</t>
        </is>
      </c>
      <c r="E15" s="101" t="n">
        <v>39904</v>
      </c>
      <c r="F15" s="101" t="n">
        <v>46235</v>
      </c>
      <c r="G15" s="107" t="n">
        <v>209</v>
      </c>
      <c r="H15" s="103" t="n">
        <v>0.05108707799967549</v>
      </c>
      <c r="I15" s="103" t="n">
        <v>0.1943858834216989</v>
      </c>
      <c r="J15" s="103" t="n">
        <v>0.2166673942878625</v>
      </c>
      <c r="K15" s="103" t="n">
        <v>0.02228151086616359</v>
      </c>
      <c r="L15" s="103" t="n">
        <v>0.0186396031575915</v>
      </c>
      <c r="M15" s="102" t="n">
        <v>4.376995139030257</v>
      </c>
      <c r="N15" s="106" t="n">
        <v>1.962099865901085</v>
      </c>
      <c r="O15" s="106" t="n">
        <v>2.230770826244434</v>
      </c>
      <c r="P15" s="103" t="n">
        <v>0.02569631334885591</v>
      </c>
      <c r="Q15" s="103" t="n">
        <v>0.1561855588108342</v>
      </c>
      <c r="R15" s="99" t="n"/>
      <c r="S15" s="99" t="n"/>
    </row>
    <row r="16">
      <c r="C16" s="106" t="inlineStr">
        <is>
          <t>full</t>
        </is>
      </c>
      <c r="D16" s="106" t="inlineStr">
        <is>
          <t>d_ipca12_3_available</t>
        </is>
      </c>
      <c r="E16" s="101" t="n">
        <v>39904</v>
      </c>
      <c r="F16" s="101" t="n">
        <v>46204</v>
      </c>
      <c r="G16" s="107" t="n">
        <v>208</v>
      </c>
      <c r="H16" s="103" t="n">
        <v>0.03462500845786975</v>
      </c>
      <c r="I16" s="103" t="n">
        <v>0.1943934340180991</v>
      </c>
      <c r="J16" s="103" t="n">
        <v>0.2306758762717728</v>
      </c>
      <c r="K16" s="103" t="n">
        <v>0.03628244225367372</v>
      </c>
      <c r="L16" s="103" t="n">
        <v>0.03282842845232881</v>
      </c>
      <c r="M16" s="102" t="n">
        <v>2.388020524781278</v>
      </c>
      <c r="N16" s="106" t="n">
        <v>0.924596879049526</v>
      </c>
      <c r="O16" s="106" t="n">
        <v>2.582769398092856</v>
      </c>
      <c r="P16" s="103" t="n">
        <v>0.009801080922240857</v>
      </c>
      <c r="Q16" s="103" t="n">
        <v>0.1943320632159091</v>
      </c>
      <c r="R16" s="99" t="n"/>
      <c r="S16" s="99" t="n"/>
    </row>
    <row r="17">
      <c r="C17" s="106" t="inlineStr">
        <is>
          <t>full</t>
        </is>
      </c>
      <c r="D17" s="106" t="inlineStr">
        <is>
          <t>ipca3_flow_available</t>
        </is>
      </c>
      <c r="E17" s="101" t="n">
        <v>39904</v>
      </c>
      <c r="F17" s="101" t="n">
        <v>46204</v>
      </c>
      <c r="G17" s="107" t="n">
        <v>208</v>
      </c>
      <c r="H17" s="103" t="n">
        <v>0.02708505228556501</v>
      </c>
      <c r="I17" s="103" t="n">
        <v>0.1943934340180991</v>
      </c>
      <c r="J17" s="103" t="n">
        <v>0.2432006608590989</v>
      </c>
      <c r="K17" s="103" t="n">
        <v>0.04880722684099981</v>
      </c>
      <c r="L17" s="103" t="n">
        <v>0.04553740104829218</v>
      </c>
      <c r="M17" s="102" t="n">
        <v>3.462494306964613</v>
      </c>
      <c r="N17" s="106" t="n">
        <v>1.563902339424801</v>
      </c>
      <c r="O17" s="106" t="n">
        <v>2.214009289248911</v>
      </c>
      <c r="P17" s="103" t="n">
        <v>0.02682813992846622</v>
      </c>
      <c r="Q17" s="103" t="n">
        <v>0.2229610589924066</v>
      </c>
      <c r="R17" s="99" t="n"/>
      <c r="S17" s="99" t="n"/>
    </row>
    <row r="18">
      <c r="C18" s="106" t="inlineStr">
        <is>
          <t>ex_2013_14</t>
        </is>
      </c>
      <c r="D18" s="106" t="inlineStr">
        <is>
          <t>d_focus_ipca3</t>
        </is>
      </c>
      <c r="E18" s="101" t="n">
        <v>39904</v>
      </c>
      <c r="F18" s="101" t="n">
        <v>46235</v>
      </c>
      <c r="G18" s="107" t="n">
        <v>185</v>
      </c>
      <c r="H18" s="103" t="n">
        <v>0.13375352839919</v>
      </c>
      <c r="I18" s="103" t="n">
        <v>0.382233522103375</v>
      </c>
      <c r="J18" s="103" t="n">
        <v>0.4524777702579699</v>
      </c>
      <c r="K18" s="103" t="n">
        <v>0.07024424815459485</v>
      </c>
      <c r="L18" s="103" t="n">
        <v>0.06795793668472139</v>
      </c>
      <c r="M18" s="102" t="n">
        <v>5.188429822981783</v>
      </c>
      <c r="N18" s="106" t="n">
        <v>1.998683533389047</v>
      </c>
      <c r="O18" s="106" t="n">
        <v>2.595923634885847</v>
      </c>
      <c r="P18" s="103" t="n">
        <v>0.009433702933443033</v>
      </c>
      <c r="Q18" s="103" t="n">
        <v>0.2806834568450277</v>
      </c>
      <c r="R18" s="99" t="n"/>
      <c r="S18" s="99" t="n"/>
    </row>
    <row r="19">
      <c r="C19" s="106" t="inlineStr">
        <is>
          <t>ex_2013_14</t>
        </is>
      </c>
      <c r="D19" s="106" t="inlineStr">
        <is>
          <t>d_ipca12_3_available</t>
        </is>
      </c>
      <c r="E19" s="101" t="n">
        <v>39904</v>
      </c>
      <c r="F19" s="101" t="n">
        <v>46204</v>
      </c>
      <c r="G19" s="107" t="n">
        <v>184</v>
      </c>
      <c r="H19" s="103" t="n">
        <v>0.07113506208684961</v>
      </c>
      <c r="I19" s="103" t="n">
        <v>0.3822068825494354</v>
      </c>
      <c r="J19" s="103" t="n">
        <v>0.4601663155121724</v>
      </c>
      <c r="K19" s="103" t="n">
        <v>0.077959432962737</v>
      </c>
      <c r="L19" s="103" t="n">
        <v>0.07578864817468645</v>
      </c>
      <c r="M19" s="102" t="n">
        <v>2.32794073491345</v>
      </c>
      <c r="N19" s="106" t="n">
        <v>0.8957886938793714</v>
      </c>
      <c r="O19" s="106" t="n">
        <v>2.598761014533339</v>
      </c>
      <c r="P19" s="103" t="n">
        <v>0.009356088512646021</v>
      </c>
      <c r="Q19" s="103" t="n">
        <v>0.2865039742784427</v>
      </c>
      <c r="R19" s="99" t="n"/>
      <c r="S19" s="99" t="n"/>
    </row>
    <row r="20">
      <c r="C20" s="106" t="inlineStr">
        <is>
          <t>ex_2013_14</t>
        </is>
      </c>
      <c r="D20" s="106" t="inlineStr">
        <is>
          <t>ipca3_flow_available</t>
        </is>
      </c>
      <c r="E20" s="101" t="n">
        <v>39904</v>
      </c>
      <c r="F20" s="101" t="n">
        <v>46204</v>
      </c>
      <c r="G20" s="107" t="n">
        <v>184</v>
      </c>
      <c r="H20" s="103" t="n">
        <v>0.02212796426277008</v>
      </c>
      <c r="I20" s="103" t="n">
        <v>0.3822068825494354</v>
      </c>
      <c r="J20" s="103" t="n">
        <v>0.4363601959580443</v>
      </c>
      <c r="K20" s="103" t="n">
        <v>0.05415331340860896</v>
      </c>
      <c r="L20" s="103" t="n">
        <v>0.05158575996132286</v>
      </c>
      <c r="M20" s="102" t="n">
        <v>2.460910917393001</v>
      </c>
      <c r="N20" s="106" t="n">
        <v>1.31911494158708</v>
      </c>
      <c r="O20" s="106" t="n">
        <v>1.865577319920416</v>
      </c>
      <c r="P20" s="103" t="n">
        <v>0.0621005251968576</v>
      </c>
      <c r="Q20" s="103" t="n">
        <v>0.2351116261695464</v>
      </c>
      <c r="R20" s="99" t="n"/>
      <c r="S20" s="99" t="n"/>
    </row>
    <row r="21">
      <c r="C21" s="106" t="inlineStr">
        <is>
          <t>clean</t>
        </is>
      </c>
      <c r="D21" s="106" t="inlineStr">
        <is>
          <t>d_focus_ipca3</t>
        </is>
      </c>
      <c r="E21" s="101" t="n">
        <v>39904</v>
      </c>
      <c r="F21" s="101" t="n">
        <v>46235</v>
      </c>
      <c r="G21" s="107" t="n">
        <v>161</v>
      </c>
      <c r="H21" s="103" t="n">
        <v>0.006670546914686382</v>
      </c>
      <c r="I21" s="103" t="n">
        <v>0.1379352874360533</v>
      </c>
      <c r="J21" s="103" t="n">
        <v>0.1517271893574051</v>
      </c>
      <c r="K21" s="103" t="n">
        <v>0.01379190192135182</v>
      </c>
      <c r="L21" s="103" t="n">
        <v>0.00849507887452805</v>
      </c>
      <c r="M21" s="102" t="n">
        <v>1.647237355807454</v>
      </c>
      <c r="N21" s="106" t="n">
        <v>1.610848089104417</v>
      </c>
      <c r="O21" s="106" t="n">
        <v>1.022590129354325</v>
      </c>
      <c r="P21" s="103" t="n">
        <v>0.3065016785096728</v>
      </c>
      <c r="Q21" s="103" t="n">
        <v>0.1235496743009428</v>
      </c>
      <c r="R21" s="99" t="n"/>
      <c r="S21" s="99" t="n"/>
    </row>
    <row r="22">
      <c r="C22" s="106" t="inlineStr">
        <is>
          <t>clean</t>
        </is>
      </c>
      <c r="D22" s="106" t="inlineStr">
        <is>
          <t>d_ipca12_3_available</t>
        </is>
      </c>
      <c r="E22" s="101" t="n">
        <v>39904</v>
      </c>
      <c r="F22" s="101" t="n">
        <v>46204</v>
      </c>
      <c r="G22" s="107" t="n">
        <v>160</v>
      </c>
      <c r="H22" s="103" t="n">
        <v>0.001221107846620328</v>
      </c>
      <c r="I22" s="103" t="n">
        <v>0.137896051064389</v>
      </c>
      <c r="J22" s="103" t="n">
        <v>0.1520538314594815</v>
      </c>
      <c r="K22" s="103" t="n">
        <v>0.01415778039509252</v>
      </c>
      <c r="L22" s="103" t="n">
        <v>0.008833339217782621</v>
      </c>
      <c r="M22" s="102" t="n">
        <v>0.7731087672079957</v>
      </c>
      <c r="N22" s="106" t="n">
        <v>0.7896551918307381</v>
      </c>
      <c r="O22" s="106" t="n">
        <v>0.9790460130017241</v>
      </c>
      <c r="P22" s="103" t="n">
        <v>0.3275572448693871</v>
      </c>
      <c r="Q22" s="103" t="n">
        <v>0.1260110148139014</v>
      </c>
      <c r="R22" s="99" t="n"/>
      <c r="S22" s="99" t="n"/>
    </row>
    <row r="23">
      <c r="C23" s="106" t="inlineStr">
        <is>
          <t>clean</t>
        </is>
      </c>
      <c r="D23" s="106" t="inlineStr">
        <is>
          <t>ipca3_flow_available</t>
        </is>
      </c>
      <c r="E23" s="101" t="n">
        <v>39904</v>
      </c>
      <c r="F23" s="101" t="n">
        <v>46204</v>
      </c>
      <c r="G23" s="107" t="n">
        <v>160</v>
      </c>
      <c r="H23" s="103" t="n">
        <v>0.002824429351534374</v>
      </c>
      <c r="I23" s="103" t="n">
        <v>0.137896051064389</v>
      </c>
      <c r="J23" s="103" t="n">
        <v>0.1389013697885265</v>
      </c>
      <c r="K23" s="103" t="n">
        <v>0.001005318724137561</v>
      </c>
      <c r="L23" s="103" t="n">
        <v>-0.004572054408383042</v>
      </c>
      <c r="M23" s="102" t="n">
        <v>0.2484788076765514</v>
      </c>
      <c r="N23" s="106" t="n">
        <v>1.148876997644306</v>
      </c>
      <c r="O23" s="106" t="n">
        <v>0.216279730716204</v>
      </c>
      <c r="P23" s="103" t="n">
        <v>0.8287697077166609</v>
      </c>
      <c r="Q23" s="103" t="n">
        <v>0.03257440705011755</v>
      </c>
      <c r="R23" s="99" t="n"/>
      <c r="S23" s="99" t="n"/>
    </row>
    <row r="24">
      <c r="C24" s="106" t="inlineStr">
        <is>
          <t>since_2015</t>
        </is>
      </c>
      <c r="D24" s="106" t="inlineStr">
        <is>
          <t>d_focus_ipca3</t>
        </is>
      </c>
      <c r="E24" s="101" t="n">
        <v>42005</v>
      </c>
      <c r="F24" s="101" t="n">
        <v>46235</v>
      </c>
      <c r="G24" s="107" t="n">
        <v>140</v>
      </c>
      <c r="H24" s="103" t="n">
        <v>0.1510840613949845</v>
      </c>
      <c r="I24" s="103" t="n">
        <v>0.4519178399519989</v>
      </c>
      <c r="J24" s="103" t="n">
        <v>0.5267308768741832</v>
      </c>
      <c r="K24" s="103" t="n">
        <v>0.07481303692218433</v>
      </c>
      <c r="L24" s="103" t="n">
        <v>0.07237447626999161</v>
      </c>
      <c r="M24" s="102" t="n">
        <v>5.184311070341723</v>
      </c>
      <c r="N24" s="106" t="n">
        <v>2.036590836634047</v>
      </c>
      <c r="O24" s="106" t="n">
        <v>2.545583028798281</v>
      </c>
      <c r="P24" s="103" t="n">
        <v>0.01090954159548851</v>
      </c>
      <c r="Q24" s="103" t="n">
        <v>0.2909118421598291</v>
      </c>
      <c r="R24" s="99" t="n"/>
      <c r="S24" s="99" t="n"/>
    </row>
    <row r="25">
      <c r="C25" s="106" t="inlineStr">
        <is>
          <t>since_2015</t>
        </is>
      </c>
      <c r="D25" s="106" t="inlineStr">
        <is>
          <t>d_ipca12_3_available</t>
        </is>
      </c>
      <c r="E25" s="101" t="n">
        <v>42005</v>
      </c>
      <c r="F25" s="101" t="n">
        <v>46204</v>
      </c>
      <c r="G25" s="107" t="n">
        <v>139</v>
      </c>
      <c r="H25" s="103" t="n">
        <v>0.08753233539558081</v>
      </c>
      <c r="I25" s="103" t="n">
        <v>0.4519394212591078</v>
      </c>
      <c r="J25" s="103" t="n">
        <v>0.5309873779388299</v>
      </c>
      <c r="K25" s="103" t="n">
        <v>0.07904795667972209</v>
      </c>
      <c r="L25" s="103" t="n">
        <v>0.07668516836049999</v>
      </c>
      <c r="M25" s="102" t="n">
        <v>2.265984711890507</v>
      </c>
      <c r="N25" s="106" t="n">
        <v>0.887037116849498</v>
      </c>
      <c r="O25" s="106" t="n">
        <v>2.5545545601729</v>
      </c>
      <c r="P25" s="103" t="n">
        <v>0.01063237650144999</v>
      </c>
      <c r="Q25" s="103" t="n">
        <v>0.2892801749342448</v>
      </c>
      <c r="R25" s="99" t="n"/>
      <c r="S25" s="99" t="n"/>
    </row>
    <row r="26">
      <c r="C26" s="106" t="inlineStr">
        <is>
          <t>since_2015</t>
        </is>
      </c>
      <c r="D26" s="106" t="inlineStr">
        <is>
          <t>ipca3_flow_available</t>
        </is>
      </c>
      <c r="E26" s="101" t="n">
        <v>42005</v>
      </c>
      <c r="F26" s="101" t="n">
        <v>46204</v>
      </c>
      <c r="G26" s="107" t="n">
        <v>139</v>
      </c>
      <c r="H26" s="103" t="n">
        <v>0.02378378401946502</v>
      </c>
      <c r="I26" s="103" t="n">
        <v>0.4519394212591078</v>
      </c>
      <c r="J26" s="103" t="n">
        <v>0.5022102679101381</v>
      </c>
      <c r="K26" s="103" t="n">
        <v>0.05027084665103032</v>
      </c>
      <c r="L26" s="103" t="n">
        <v>0.04726856699783732</v>
      </c>
      <c r="M26" s="102" t="n">
        <v>2.30669254514784</v>
      </c>
      <c r="N26" s="106" t="n">
        <v>1.416153349986307</v>
      </c>
      <c r="O26" s="106" t="n">
        <v>1.628843758460299</v>
      </c>
      <c r="P26" s="103" t="n">
        <v>0.1033460986086867</v>
      </c>
      <c r="Q26" s="103" t="n">
        <v>0.2261622339236761</v>
      </c>
      <c r="R26" s="99" t="n"/>
      <c r="S26" s="9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AB24"/>
  <sheetViews>
    <sheetView showGridLines="0" workbookViewId="0">
      <pane ySplit="18" topLeftCell="A19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2">
      <c r="C2" s="2" t="inlineStr">
        <is>
          <t>IBOV versus IBOV ex-commodities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</row>
    <row r="3">
      <c r="C3" s="4" t="inlineStr">
        <is>
          <t>Comparação da sensibilidade contemporânea ao Focus PIB. O agregado ex-commodities não apresenta beta maior.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  <c r="AA4" s="99" t="n"/>
      <c r="AB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  <c r="AA5" s="99" t="n"/>
      <c r="AB5" s="99" t="n"/>
    </row>
    <row r="6">
      <c r="C6" s="74" t="inlineStr">
        <is>
          <t>Amostra principal</t>
        </is>
      </c>
      <c r="D6" s="75" t="n"/>
      <c r="E6" s="75" t="n"/>
      <c r="F6" s="75" t="n"/>
      <c r="G6" s="75" t="n"/>
      <c r="H6" s="76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  <c r="AA6" s="99" t="n"/>
      <c r="AB6" s="99" t="n"/>
    </row>
    <row r="7">
      <c r="C7" s="11" t="inlineStr">
        <is>
          <t>Métrica</t>
        </is>
      </c>
      <c r="D7" s="11" t="inlineStr">
        <is>
          <t>IBOV</t>
        </is>
      </c>
      <c r="E7" s="11" t="inlineStr">
        <is>
          <t>Ex-commodities</t>
        </is>
      </c>
      <c r="F7" s="11" t="inlineStr">
        <is>
          <t>Commodities</t>
        </is>
      </c>
      <c r="G7" s="11" t="inlineStr">
        <is>
          <t>Diferença ex-commod. - IBOV</t>
        </is>
      </c>
      <c r="H7" s="11" t="inlineStr">
        <is>
          <t>p da diferença</t>
        </is>
      </c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  <c r="AA7" s="99" t="n"/>
      <c r="AB7" s="99" t="n"/>
    </row>
    <row r="8">
      <c r="C8" s="6" t="inlineStr">
        <is>
          <t>Beta Focus</t>
        </is>
      </c>
      <c r="D8" s="103">
        <f>SUMIFS('Ex-Commodities'!$H$19:$H$24,'Ex-Commodities'!$C$19:$C$24,"ex_2013_14")</f>
        <v/>
      </c>
      <c r="E8" s="103">
        <f>SUMIFS('Ex-Commodities'!$K$19:$K$24,'Ex-Commodities'!$C$19:$C$24,"ex_2013_14")</f>
        <v/>
      </c>
      <c r="F8" s="103">
        <f>SUMIFS('Ex-Commodities'!$N$19:$N$24,'Ex-Commodities'!$C$19:$C$24,"ex_2013_14")</f>
        <v/>
      </c>
      <c r="G8" s="103">
        <f>SUMIFS('Ex-Commodities'!$Q$19:$Q$24,'Ex-Commodities'!$C$19:$C$24,"ex_2013_14")</f>
        <v/>
      </c>
      <c r="H8" s="103">
        <f>SUMIFS('Ex-Commodities'!$R$19:$R$24,'Ex-Commodities'!$C$19:$C$24,"ex_2013_14")</f>
        <v/>
      </c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  <c r="AA8" s="99" t="n"/>
      <c r="AB8" s="99" t="n"/>
    </row>
    <row r="9">
      <c r="C9" s="6" t="inlineStr">
        <is>
          <t>Beta Focus padronizado</t>
        </is>
      </c>
      <c r="D9" s="103">
        <f>SUMIFS('Ex-Commodities'!$J$19:$J$24,'Ex-Commodities'!$C$19:$C$24,"ex_2013_14")</f>
        <v/>
      </c>
      <c r="E9" s="103">
        <f>SUMIFS('Ex-Commodities'!$M$19:$M$24,'Ex-Commodities'!$C$19:$C$24,"ex_2013_14")</f>
        <v/>
      </c>
      <c r="F9" s="103">
        <f>SUMIFS('Ex-Commodities'!$P$19:$P$24,'Ex-Commodities'!$C$19:$C$24,"ex_2013_14")</f>
        <v/>
      </c>
      <c r="G9" s="103">
        <f>SUMIFS('Ex-Commodities'!$S$19:$S$24,'Ex-Commodities'!$C$19:$C$24,"ex_2013_14")</f>
        <v/>
      </c>
      <c r="H9" s="103">
        <f>SUMIFS('Ex-Commodities'!$R$19:$R$24,'Ex-Commodities'!$C$19:$C$24,"ex_2013_14")</f>
        <v/>
      </c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  <c r="AA9" s="99" t="n"/>
      <c r="AB9" s="99" t="n"/>
    </row>
    <row r="10">
      <c r="C10" s="6" t="inlineStr">
        <is>
          <t>R²</t>
        </is>
      </c>
      <c r="D10" s="103">
        <f>SUMIFS('Ex-Commodities'!$T$19:$T$24,'Ex-Commodities'!$C$19:$C$24,"ex_2013_14")</f>
        <v/>
      </c>
      <c r="E10" s="103">
        <f>SUMIFS('Ex-Commodities'!$U$19:$U$24,'Ex-Commodities'!$C$19:$C$24,"ex_2013_14")</f>
        <v/>
      </c>
      <c r="F10" s="103">
        <f>SUMIFS('Ex-Commodities'!$V$19:$V$24,'Ex-Commodities'!$C$19:$C$24,"ex_2013_14")</f>
        <v/>
      </c>
      <c r="G10" s="103">
        <f>SUMIFS('Ex-Commodities'!$Q$19:$Q$24,'Ex-Commodities'!$C$19:$C$24,"ex_2013_14")</f>
        <v/>
      </c>
      <c r="H10" s="103">
        <f>SUMIFS('Ex-Commodities'!$R$19:$R$24,'Ex-Commodities'!$C$19:$C$24,"ex_2013_14")</f>
        <v/>
      </c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  <c r="AA10" s="99" t="n"/>
      <c r="AB10" s="99" t="n"/>
    </row>
    <row r="11"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  <c r="AA11" s="99" t="n"/>
      <c r="AB11" s="99" t="n"/>
    </row>
    <row r="12">
      <c r="C12" s="94" t="inlineStr">
        <is>
          <t>Conclusão</t>
        </is>
      </c>
      <c r="D12" s="94" t="inlineStr">
        <is>
          <t>Na amostra ex_2013_14, o beta Focus do IBOV é 5,69; o ex-commodities é 2,03. A diferença é negativa e estatisticamente significativa.</t>
        </is>
      </c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</row>
    <row r="13"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  <c r="AA13" s="99" t="n"/>
      <c r="AB13" s="99" t="n"/>
    </row>
    <row r="14"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  <c r="AA14" s="99" t="n"/>
      <c r="AB14" s="99" t="n"/>
    </row>
    <row r="15"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  <c r="AA15" s="99" t="n"/>
      <c r="AB15" s="99" t="n"/>
    </row>
    <row r="16">
      <c r="C16" s="74" t="inlineStr">
        <is>
          <t>Resultados completos</t>
        </is>
      </c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6" t="n"/>
      <c r="AA16" s="99" t="n"/>
      <c r="AB16" s="99" t="n"/>
    </row>
    <row r="17">
      <c r="C17" s="99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  <c r="AA17" s="99" t="n"/>
      <c r="AB17" s="99" t="n"/>
    </row>
    <row r="18">
      <c r="C18" s="11" t="inlineStr">
        <is>
          <t>sample</t>
        </is>
      </c>
      <c r="D18" s="11" t="inlineStr">
        <is>
          <t>start</t>
        </is>
      </c>
      <c r="E18" s="11" t="inlineStr">
        <is>
          <t>end</t>
        </is>
      </c>
      <c r="F18" s="11" t="inlineStr">
        <is>
          <t>n</t>
        </is>
      </c>
      <c r="G18" s="11" t="inlineStr">
        <is>
          <t>corr_targets</t>
        </is>
      </c>
      <c r="H18" s="11" t="inlineStr">
        <is>
          <t>beta_focus_ibov</t>
        </is>
      </c>
      <c r="I18" s="11" t="inlineStr">
        <is>
          <t>p_focus_ibov</t>
        </is>
      </c>
      <c r="J18" s="11" t="inlineStr">
        <is>
          <t>beta_std_focus_ibov</t>
        </is>
      </c>
      <c r="K18" s="11" t="inlineStr">
        <is>
          <t>beta_focus_excommod</t>
        </is>
      </c>
      <c r="L18" s="11" t="inlineStr">
        <is>
          <t>p_focus_excommod</t>
        </is>
      </c>
      <c r="M18" s="11" t="inlineStr">
        <is>
          <t>beta_std_focus_excommod</t>
        </is>
      </c>
      <c r="N18" s="11" t="inlineStr">
        <is>
          <t>beta_focus_commodities</t>
        </is>
      </c>
      <c r="O18" s="11" t="inlineStr">
        <is>
          <t>p_focus_commodities</t>
        </is>
      </c>
      <c r="P18" s="11" t="inlineStr">
        <is>
          <t>beta_std_focus_commodities</t>
        </is>
      </c>
      <c r="Q18" s="11" t="inlineStr">
        <is>
          <t>beta_focus_difference</t>
        </is>
      </c>
      <c r="R18" s="11" t="inlineStr">
        <is>
          <t>p_focus_difference</t>
        </is>
      </c>
      <c r="S18" s="11" t="inlineStr">
        <is>
          <t>beta_std_focus_difference</t>
        </is>
      </c>
      <c r="T18" s="11" t="inlineStr">
        <is>
          <t>r2_ibov</t>
        </is>
      </c>
      <c r="U18" s="11" t="inlineStr">
        <is>
          <t>r2_excommod</t>
        </is>
      </c>
      <c r="V18" s="11" t="inlineStr">
        <is>
          <t>r2_commodities</t>
        </is>
      </c>
      <c r="W18" s="11" t="inlineStr">
        <is>
          <t>simple_beta_focus_ibov</t>
        </is>
      </c>
      <c r="X18" s="11" t="inlineStr">
        <is>
          <t>simple_beta_focus_excommod</t>
        </is>
      </c>
      <c r="Y18" s="11" t="inlineStr">
        <is>
          <t>simple_beta_focus_difference</t>
        </is>
      </c>
      <c r="Z18" s="11" t="inlineStr">
        <is>
          <t>simple_p_focus_difference</t>
        </is>
      </c>
      <c r="AA18" s="99" t="n"/>
      <c r="AB18" s="99" t="n"/>
    </row>
    <row r="19">
      <c r="C19" s="106" t="inlineStr">
        <is>
          <t>full</t>
        </is>
      </c>
      <c r="D19" s="101" t="n">
        <v>40269</v>
      </c>
      <c r="E19" s="101" t="n">
        <v>46204</v>
      </c>
      <c r="F19" s="107" t="n">
        <v>196</v>
      </c>
      <c r="G19" s="103" t="n">
        <v>0.772733812466545</v>
      </c>
      <c r="H19" s="102" t="n">
        <v>5.683832148492121</v>
      </c>
      <c r="I19" s="102" t="n">
        <v>0</v>
      </c>
      <c r="J19" s="103" t="n">
        <v>0.5849285682280206</v>
      </c>
      <c r="K19" s="102" t="n">
        <v>2.024588170012512</v>
      </c>
      <c r="L19" s="102" t="n">
        <v>0.001413929758675714</v>
      </c>
      <c r="M19" s="103" t="n">
        <v>0.4297937737974836</v>
      </c>
      <c r="N19" s="102" t="n">
        <v>16.62668669918729</v>
      </c>
      <c r="O19" s="102" t="n">
        <v>2.220446049250313e-16</v>
      </c>
      <c r="P19" s="103" t="n">
        <v>0.6374633119230306</v>
      </c>
      <c r="Q19" s="102" t="n">
        <v>-3.659243978479616</v>
      </c>
      <c r="R19" s="103" t="n">
        <v>7.292202397479741e-10</v>
      </c>
      <c r="S19" s="103" t="n">
        <v>-0.5402843522810422</v>
      </c>
      <c r="T19" s="103" t="n">
        <v>0.5295342389670157</v>
      </c>
      <c r="U19" s="103" t="n">
        <v>0.3253909432913927</v>
      </c>
      <c r="V19" s="103" t="n">
        <v>0.497937035886044</v>
      </c>
      <c r="W19" s="102" t="n">
        <v>5.814408347167369</v>
      </c>
      <c r="X19" s="102" t="n">
        <v>1.959946332786711</v>
      </c>
      <c r="Y19" s="102" t="n">
        <v>-3.854462014380659</v>
      </c>
      <c r="Z19" s="103" t="n">
        <v>2.204235460823156e-09</v>
      </c>
      <c r="AA19" s="99" t="n"/>
      <c r="AB19" s="99" t="n"/>
    </row>
    <row r="20">
      <c r="C20" s="106" t="inlineStr">
        <is>
          <t>ex_2013_14</t>
        </is>
      </c>
      <c r="D20" s="101" t="n">
        <v>40269</v>
      </c>
      <c r="E20" s="101" t="n">
        <v>46204</v>
      </c>
      <c r="F20" s="107" t="n">
        <v>172</v>
      </c>
      <c r="G20" s="103" t="n">
        <v>0.7844963035924423</v>
      </c>
      <c r="H20" s="102" t="n">
        <v>5.686279851012402</v>
      </c>
      <c r="I20" s="102" t="n">
        <v>0</v>
      </c>
      <c r="J20" s="103" t="n">
        <v>0.5837225321894806</v>
      </c>
      <c r="K20" s="102" t="n">
        <v>2.031621425052835</v>
      </c>
      <c r="L20" s="102" t="n">
        <v>0.001577298443851571</v>
      </c>
      <c r="M20" s="103" t="n">
        <v>0.4305967918523131</v>
      </c>
      <c r="N20" s="102" t="n">
        <v>16.7756802573262</v>
      </c>
      <c r="O20" s="102" t="n">
        <v>4.440892098500626e-16</v>
      </c>
      <c r="P20" s="103" t="n">
        <v>0.6442218077897744</v>
      </c>
      <c r="Q20" s="102" t="n">
        <v>-3.65465842595957</v>
      </c>
      <c r="R20" s="103" t="n">
        <v>1.321247999896968e-09</v>
      </c>
      <c r="S20" s="103" t="n">
        <v>-0.5445452357521144</v>
      </c>
      <c r="T20" s="103" t="n">
        <v>0.5307452063720055</v>
      </c>
      <c r="U20" s="103" t="n">
        <v>0.3363292889256893</v>
      </c>
      <c r="V20" s="103" t="n">
        <v>0.4996130247718382</v>
      </c>
      <c r="W20" s="102" t="n">
        <v>5.814823345265812</v>
      </c>
      <c r="X20" s="102" t="n">
        <v>2.007450490870509</v>
      </c>
      <c r="Y20" s="102" t="n">
        <v>-3.807372854395305</v>
      </c>
      <c r="Z20" s="103" t="n">
        <v>2.237384943981624e-09</v>
      </c>
      <c r="AA20" s="99" t="n"/>
      <c r="AB20" s="99" t="n"/>
    </row>
    <row r="21">
      <c r="C21" s="106" t="inlineStr">
        <is>
          <t>ex_2020_21</t>
        </is>
      </c>
      <c r="D21" s="101" t="n">
        <v>40269</v>
      </c>
      <c r="E21" s="101" t="n">
        <v>46204</v>
      </c>
      <c r="F21" s="107" t="n">
        <v>172</v>
      </c>
      <c r="G21" s="103" t="n">
        <v>0.6476094895684715</v>
      </c>
      <c r="H21" s="102" t="n">
        <v>2.976629966775055</v>
      </c>
      <c r="I21" s="102" t="n">
        <v>3.060653865460949e-05</v>
      </c>
      <c r="J21" s="103" t="n">
        <v>0.2964384866879329</v>
      </c>
      <c r="K21" s="102" t="n">
        <v>0.5090614666108078</v>
      </c>
      <c r="L21" s="102" t="n">
        <v>0.4443362103594881</v>
      </c>
      <c r="M21" s="103" t="n">
        <v>0.1130011384501372</v>
      </c>
      <c r="N21" s="102" t="n">
        <v>11.3031017880723</v>
      </c>
      <c r="O21" s="102" t="n">
        <v>0.0006205278058810659</v>
      </c>
      <c r="P21" s="103" t="n">
        <v>0.3544149507262645</v>
      </c>
      <c r="Q21" s="102" t="n">
        <v>-2.467568500164249</v>
      </c>
      <c r="R21" s="103" t="n">
        <v>0.0002869983374580443</v>
      </c>
      <c r="S21" s="103" t="n">
        <v>-0.312044240592883</v>
      </c>
      <c r="T21" s="103" t="n">
        <v>0.1732648119686286</v>
      </c>
      <c r="U21" s="103" t="n">
        <v>0.09967059529017475</v>
      </c>
      <c r="V21" s="103" t="n">
        <v>0.1652582595542065</v>
      </c>
      <c r="W21" s="102" t="n">
        <v>2.535289715063953</v>
      </c>
      <c r="X21" s="102" t="n">
        <v>0.3274371158495645</v>
      </c>
      <c r="Y21" s="102" t="n">
        <v>-2.207852599214389</v>
      </c>
      <c r="Z21" s="103" t="n">
        <v>0.009434022985736368</v>
      </c>
      <c r="AA21" s="99" t="n"/>
      <c r="AB21" s="99" t="n"/>
    </row>
    <row r="22">
      <c r="C22" s="106" t="inlineStr">
        <is>
          <t>clean</t>
        </is>
      </c>
      <c r="D22" s="101" t="n">
        <v>40269</v>
      </c>
      <c r="E22" s="101" t="n">
        <v>46204</v>
      </c>
      <c r="F22" s="107" t="n">
        <v>148</v>
      </c>
      <c r="G22" s="103" t="n">
        <v>0.6718685399068023</v>
      </c>
      <c r="H22" s="102" t="n">
        <v>2.865824623382909</v>
      </c>
      <c r="I22" s="102" t="n">
        <v>7.319539335082226e-05</v>
      </c>
      <c r="J22" s="103" t="n">
        <v>0.2803964226417037</v>
      </c>
      <c r="K22" s="102" t="n">
        <v>0.5096119619662035</v>
      </c>
      <c r="L22" s="102" t="n">
        <v>0.4594416077393475</v>
      </c>
      <c r="M22" s="103" t="n">
        <v>0.1126432553057039</v>
      </c>
      <c r="N22" s="102" t="n">
        <v>11.16853174485441</v>
      </c>
      <c r="O22" s="102" t="n">
        <v>0.001160029948577446</v>
      </c>
      <c r="P22" s="103" t="n">
        <v>0.3443037206364776</v>
      </c>
      <c r="Q22" s="102" t="n">
        <v>-2.356212661416707</v>
      </c>
      <c r="R22" s="103" t="n">
        <v>0.0003761933683881225</v>
      </c>
      <c r="S22" s="103" t="n">
        <v>-0.2973385576534141</v>
      </c>
      <c r="T22" s="103" t="n">
        <v>0.1618971391342117</v>
      </c>
      <c r="U22" s="103" t="n">
        <v>0.1204900364029906</v>
      </c>
      <c r="V22" s="103" t="n">
        <v>0.1552724781618973</v>
      </c>
      <c r="W22" s="102" t="n">
        <v>2.372846926926354</v>
      </c>
      <c r="X22" s="102" t="n">
        <v>0.332338818513354</v>
      </c>
      <c r="Y22" s="102" t="n">
        <v>-2.040508108413001</v>
      </c>
      <c r="Z22" s="103" t="n">
        <v>0.01659851255487643</v>
      </c>
      <c r="AA22" s="99" t="n"/>
      <c r="AB22" s="99" t="n"/>
    </row>
    <row r="23">
      <c r="C23" s="106" t="inlineStr">
        <is>
          <t>since_2015</t>
        </is>
      </c>
      <c r="D23" s="101" t="n">
        <v>42005</v>
      </c>
      <c r="E23" s="101" t="n">
        <v>46204</v>
      </c>
      <c r="F23" s="107" t="n">
        <v>139</v>
      </c>
      <c r="G23" s="103" t="n">
        <v>0.7836973780596262</v>
      </c>
      <c r="H23" s="102" t="n">
        <v>5.892057658780931</v>
      </c>
      <c r="I23" s="102" t="n">
        <v>0</v>
      </c>
      <c r="J23" s="103" t="n">
        <v>0.6163409666400602</v>
      </c>
      <c r="K23" s="102" t="n">
        <v>2.332449146017113</v>
      </c>
      <c r="L23" s="102" t="n">
        <v>0.0004748439120099146</v>
      </c>
      <c r="M23" s="103" t="n">
        <v>0.5065607316315247</v>
      </c>
      <c r="N23" s="102" t="n">
        <v>17.36372064362731</v>
      </c>
      <c r="O23" s="102" t="n">
        <v>0</v>
      </c>
      <c r="P23" s="103" t="n">
        <v>0.6656090321427688</v>
      </c>
      <c r="Q23" s="102" t="n">
        <v>-3.559608512763819</v>
      </c>
      <c r="R23" s="103" t="n">
        <v>1.580882913465587e-08</v>
      </c>
      <c r="S23" s="103" t="n">
        <v>-0.5391068130769202</v>
      </c>
      <c r="T23" s="103" t="n">
        <v>0.5707175729730085</v>
      </c>
      <c r="U23" s="103" t="n">
        <v>0.3719619610268708</v>
      </c>
      <c r="V23" s="103" t="n">
        <v>0.523956009997717</v>
      </c>
      <c r="W23" s="102" t="n">
        <v>6.051768840618628</v>
      </c>
      <c r="X23" s="102" t="n">
        <v>2.16377377294235</v>
      </c>
      <c r="Y23" s="102" t="n">
        <v>-3.887995067676278</v>
      </c>
      <c r="Z23" s="103" t="n">
        <v>8.309966048614115e-10</v>
      </c>
      <c r="AA23" s="99" t="n"/>
      <c r="AB23" s="99" t="n"/>
    </row>
    <row r="24">
      <c r="C24" s="106" t="inlineStr">
        <is>
          <t>since_2022</t>
        </is>
      </c>
      <c r="D24" s="101" t="n">
        <v>44562</v>
      </c>
      <c r="E24" s="101" t="n">
        <v>46204</v>
      </c>
      <c r="F24" s="107" t="n">
        <v>55</v>
      </c>
      <c r="G24" s="103" t="n">
        <v>0.6701566753454756</v>
      </c>
      <c r="H24" s="102" t="n">
        <v>2.119690635725138</v>
      </c>
      <c r="I24" s="102" t="n">
        <v>0.3032455518147281</v>
      </c>
      <c r="J24" s="103" t="n">
        <v>0.1233117166867295</v>
      </c>
      <c r="K24" s="102" t="n">
        <v>1.077914255588637</v>
      </c>
      <c r="L24" s="102" t="n">
        <v>0.2308625641962614</v>
      </c>
      <c r="M24" s="103" t="n">
        <v>0.165450872005806</v>
      </c>
      <c r="N24" s="102" t="n">
        <v>3.24108410024852</v>
      </c>
      <c r="O24" s="102" t="n">
        <v>0.417233075679621</v>
      </c>
      <c r="P24" s="103" t="n">
        <v>0.08628399997132066</v>
      </c>
      <c r="Q24" s="102" t="n">
        <v>-1.0417763801365</v>
      </c>
      <c r="R24" s="103" t="n">
        <v>0.4713257839147365</v>
      </c>
      <c r="S24" s="103" t="n">
        <v>-0.07601416296429885</v>
      </c>
      <c r="T24" s="103" t="n">
        <v>0.451028099759729</v>
      </c>
      <c r="U24" s="103" t="n">
        <v>0.3814633824887393</v>
      </c>
      <c r="V24" s="103" t="n">
        <v>0.3601994874449324</v>
      </c>
      <c r="W24" s="102" t="n">
        <v>2.233052702337033</v>
      </c>
      <c r="X24" s="102" t="n">
        <v>1.371485560649499</v>
      </c>
      <c r="Y24" s="102" t="n">
        <v>-0.8615671416875343</v>
      </c>
      <c r="Z24" s="103" t="n">
        <v>0.710554408767643</v>
      </c>
      <c r="AA24" s="99" t="n"/>
      <c r="AB24" s="99" t="n"/>
    </row>
  </sheetData>
  <mergeCells count="2">
    <mergeCell ref="D12:H14"/>
    <mergeCell ref="C12:C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/>
  </sheetPr>
  <dimension ref="C2:O2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31" customWidth="1" min="3" max="3"/>
    <col width="2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C2" s="2" t="inlineStr">
        <is>
          <t>Energia, Petrobras e Brent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</row>
    <row r="3">
      <c r="C3" s="4" t="inlineStr">
        <is>
          <t>Decomposição da liderança setorial. A série agregada de Energia é fortemente dominada por Petrobras.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</row>
    <row r="6">
      <c r="C6" s="74" t="inlineStr">
        <is>
          <t>Concentração e correlação</t>
        </is>
      </c>
      <c r="D6" s="75" t="n"/>
      <c r="E6" s="75" t="n"/>
      <c r="F6" s="75" t="n"/>
      <c r="G6" s="75" t="n"/>
      <c r="H6" s="76" t="n"/>
      <c r="I6" s="99" t="n"/>
      <c r="J6" s="99" t="n"/>
      <c r="K6" s="99" t="n"/>
      <c r="L6" s="99" t="n"/>
      <c r="M6" s="99" t="n"/>
      <c r="N6" s="99" t="n"/>
      <c r="O6" s="99" t="n"/>
    </row>
    <row r="7">
      <c r="C7" s="11" t="inlineStr">
        <is>
          <t>Métrica</t>
        </is>
      </c>
      <c r="D7" s="11" t="inlineStr">
        <is>
          <t>Valor</t>
        </is>
      </c>
      <c r="E7" s="11" t="inlineStr">
        <is>
          <t>Unidade</t>
        </is>
      </c>
      <c r="F7" s="11" t="inlineStr">
        <is>
          <t>Amostra</t>
        </is>
      </c>
      <c r="G7" s="11" t="inlineStr">
        <is>
          <t>Leitura</t>
        </is>
      </c>
      <c r="H7" s="11" t="inlineStr">
        <is>
          <t>Fonte</t>
        </is>
      </c>
      <c r="I7" s="99" t="n"/>
      <c r="J7" s="99" t="n"/>
      <c r="K7" s="99" t="n"/>
      <c r="L7" s="99" t="n"/>
      <c r="M7" s="99" t="n"/>
      <c r="N7" s="99" t="n"/>
      <c r="O7" s="99" t="n"/>
    </row>
    <row r="8">
      <c r="C8" s="6" t="inlineStr">
        <is>
          <t>Correlação revisions Energia-Petrobras</t>
        </is>
      </c>
      <c r="D8" s="103" t="n">
        <v>0.995008997648791</v>
      </c>
      <c r="E8" s="6" t="inlineStr">
        <is>
          <t>correlação</t>
        </is>
      </c>
      <c r="F8" s="6" t="inlineStr">
        <is>
          <t>primary</t>
        </is>
      </c>
      <c r="G8" s="6" t="inlineStr">
        <is>
          <t>Movimentos quase idênticos</t>
        </is>
      </c>
      <c r="H8" s="6" t="inlineStr">
        <is>
          <t>Resumo Energia</t>
        </is>
      </c>
      <c r="I8" s="99" t="n"/>
      <c r="J8" s="99" t="n"/>
      <c r="K8" s="99" t="n"/>
      <c r="L8" s="99" t="n"/>
      <c r="M8" s="99" t="n"/>
      <c r="N8" s="99" t="n"/>
      <c r="O8" s="99" t="n"/>
    </row>
    <row r="9">
      <c r="C9" s="6" t="inlineStr">
        <is>
          <t>Meses Energy = Petrobras</t>
        </is>
      </c>
      <c r="D9" s="107" t="n">
        <v>106</v>
      </c>
      <c r="E9" s="6" t="inlineStr">
        <is>
          <t>meses</t>
        </is>
      </c>
      <c r="F9" s="6" t="inlineStr">
        <is>
          <t>225 meses</t>
        </is>
      </c>
      <c r="G9" s="6" t="inlineStr">
        <is>
          <t>47,1% do histórico</t>
        </is>
      </c>
      <c r="H9" s="6" t="inlineStr">
        <is>
          <t>Resumo Energia</t>
        </is>
      </c>
      <c r="I9" s="99" t="n"/>
      <c r="J9" s="99" t="n"/>
      <c r="K9" s="99" t="n"/>
      <c r="L9" s="99" t="n"/>
      <c r="M9" s="99" t="n"/>
      <c r="N9" s="99" t="n"/>
      <c r="O9" s="99" t="n"/>
    </row>
    <row r="10">
      <c r="C10" s="6" t="inlineStr">
        <is>
          <t>Participação mediana Petrobras</t>
        </is>
      </c>
      <c r="D10" s="108" t="n">
        <v>0.9212272038208894</v>
      </c>
      <c r="E10" s="6" t="inlineStr">
        <is>
          <t>% do setor</t>
        </is>
      </c>
      <c r="F10" s="6" t="inlineStr">
        <is>
          <t>desde 2023</t>
        </is>
      </c>
      <c r="G10" s="6" t="inlineStr">
        <is>
          <t>92,1% do agregado</t>
        </is>
      </c>
      <c r="H10" s="6" t="inlineStr">
        <is>
          <t>Resumo Energia</t>
        </is>
      </c>
      <c r="I10" s="99" t="n"/>
      <c r="J10" s="99" t="n"/>
      <c r="K10" s="99" t="n"/>
      <c r="L10" s="99" t="n"/>
      <c r="M10" s="99" t="n"/>
      <c r="N10" s="99" t="n"/>
      <c r="O10" s="99" t="n"/>
    </row>
    <row r="11">
      <c r="C11" s="6" t="inlineStr">
        <is>
          <t>R² univariado Energia-Petrobras</t>
        </is>
      </c>
      <c r="D11" s="103" t="n">
        <v>0.9900429054020519</v>
      </c>
      <c r="E11" s="6" t="inlineStr">
        <is>
          <t>proporção</t>
        </is>
      </c>
      <c r="F11" s="6" t="inlineStr">
        <is>
          <t>primary</t>
        </is>
      </c>
      <c r="G11" s="6" t="inlineStr">
        <is>
          <t>Quase toda variação comum</t>
        </is>
      </c>
      <c r="H11" s="6" t="inlineStr">
        <is>
          <t>Resumo Energia</t>
        </is>
      </c>
      <c r="I11" s="99" t="n"/>
      <c r="J11" s="99" t="n"/>
      <c r="K11" s="99" t="n"/>
      <c r="L11" s="99" t="n"/>
      <c r="M11" s="99" t="n"/>
      <c r="N11" s="99" t="n"/>
      <c r="O11" s="99" t="n"/>
    </row>
    <row r="12"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</row>
    <row r="13"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</row>
    <row r="14">
      <c r="C14" s="74" t="inlineStr">
        <is>
          <t>Modelo com Brent - principais amostras</t>
        </is>
      </c>
      <c r="D14" s="75" t="n"/>
      <c r="E14" s="75" t="n"/>
      <c r="F14" s="75" t="n"/>
      <c r="G14" s="75" t="n"/>
      <c r="H14" s="75" t="n"/>
      <c r="I14" s="75" t="n"/>
      <c r="J14" s="76" t="n"/>
      <c r="K14" s="99" t="n"/>
      <c r="L14" s="99" t="n"/>
      <c r="M14" s="99" t="n"/>
      <c r="N14" s="99" t="n"/>
      <c r="O14" s="99" t="n"/>
    </row>
    <row r="15">
      <c r="C15" s="11" t="inlineStr">
        <is>
          <t>Target</t>
        </is>
      </c>
      <c r="D15" s="11" t="inlineStr">
        <is>
          <t>Amostra</t>
        </is>
      </c>
      <c r="E15" s="11" t="inlineStr">
        <is>
          <t>n</t>
        </is>
      </c>
      <c r="F15" s="11" t="inlineStr">
        <is>
          <t>R²</t>
        </is>
      </c>
      <c r="G15" s="11" t="inlineStr">
        <is>
          <t>Focus beta</t>
        </is>
      </c>
      <c r="H15" s="11" t="inlineStr">
        <is>
          <t>Focus p</t>
        </is>
      </c>
      <c r="I15" s="11" t="inlineStr">
        <is>
          <t>Brent beta</t>
        </is>
      </c>
      <c r="J15" s="11" t="inlineStr">
        <is>
          <t>Brent beta pad.</t>
        </is>
      </c>
      <c r="K15" s="99" t="n"/>
      <c r="L15" s="99" t="n"/>
      <c r="M15" s="99" t="n"/>
      <c r="N15" s="99" t="n"/>
      <c r="O15" s="99" t="n"/>
    </row>
    <row r="16">
      <c r="C16" s="6" t="inlineStr">
        <is>
          <t>Energy reported</t>
        </is>
      </c>
      <c r="D16" s="6" t="inlineStr">
        <is>
          <t>primary</t>
        </is>
      </c>
      <c r="E16" s="107">
        <f>SUMIFS('Reg Energia'!$H$7:$H$74,'Reg Energia'!$C$7:$C$74,$C16,'Reg Energia'!$D$7:$D$74,$D16,'Reg Energia'!$E$7:$E$74,"Brent")</f>
        <v/>
      </c>
      <c r="F16" s="103">
        <f>SUMIFS('Reg Energia'!$I$7:$I$74,'Reg Energia'!$C$7:$C$74,$C16,'Reg Energia'!$D$7:$D$74,$D16,'Reg Energia'!$E$7:$E$74,"Brent")</f>
        <v/>
      </c>
      <c r="G16" s="103">
        <f>SUMIFS('Reg Energia'!$L$7:$L$74,'Reg Energia'!$C$7:$C$74,$C16,'Reg Energia'!$D$7:$D$74,$D16,'Reg Energia'!$E$7:$E$74,"Brent")</f>
        <v/>
      </c>
      <c r="H16" s="103">
        <f>SUMIFS('Reg Energia'!$O$7:$O$74,'Reg Energia'!$C$7:$C$74,$C16,'Reg Energia'!$D$7:$D$74,$D16,'Reg Energia'!$E$7:$E$74,"Brent")</f>
        <v/>
      </c>
      <c r="I16" s="103">
        <f>SUMIFS('Reg Energia'!$AF$7:$AF$74,'Reg Energia'!$C$7:$C$74,$C16,'Reg Energia'!$D$7:$D$74,$D16,'Reg Energia'!$E$7:$E$74,"Brent")</f>
        <v/>
      </c>
      <c r="J16" s="103">
        <f>SUMIFS('Reg Energia'!$AG$7:$AG$74,'Reg Energia'!$C$7:$C$74,$C16,'Reg Energia'!$D$7:$D$74,$D16,'Reg Energia'!$E$7:$E$74,"Brent")</f>
        <v/>
      </c>
      <c r="K16" s="99" t="n"/>
      <c r="L16" s="99" t="n"/>
      <c r="M16" s="99" t="n"/>
      <c r="N16" s="99" t="n"/>
      <c r="O16" s="99" t="n"/>
    </row>
    <row r="17">
      <c r="C17" s="6" t="inlineStr">
        <is>
          <t>Petrobras</t>
        </is>
      </c>
      <c r="D17" s="6" t="inlineStr">
        <is>
          <t>primary</t>
        </is>
      </c>
      <c r="E17" s="107">
        <f>SUMIFS('Reg Energia'!$H$7:$H$74,'Reg Energia'!$C$7:$C$74,$C17,'Reg Energia'!$D$7:$D$74,$D17,'Reg Energia'!$E$7:$E$74,"Brent")</f>
        <v/>
      </c>
      <c r="F17" s="103">
        <f>SUMIFS('Reg Energia'!$I$7:$I$74,'Reg Energia'!$C$7:$C$74,$C17,'Reg Energia'!$D$7:$D$74,$D17,'Reg Energia'!$E$7:$E$74,"Brent")</f>
        <v/>
      </c>
      <c r="G17" s="103">
        <f>SUMIFS('Reg Energia'!$L$7:$L$74,'Reg Energia'!$C$7:$C$74,$C17,'Reg Energia'!$D$7:$D$74,$D17,'Reg Energia'!$E$7:$E$74,"Brent")</f>
        <v/>
      </c>
      <c r="H17" s="103">
        <f>SUMIFS('Reg Energia'!$O$7:$O$74,'Reg Energia'!$C$7:$C$74,$C17,'Reg Energia'!$D$7:$D$74,$D17,'Reg Energia'!$E$7:$E$74,"Brent")</f>
        <v/>
      </c>
      <c r="I17" s="103">
        <f>SUMIFS('Reg Energia'!$AF$7:$AF$74,'Reg Energia'!$C$7:$C$74,$C17,'Reg Energia'!$D$7:$D$74,$D17,'Reg Energia'!$E$7:$E$74,"Brent")</f>
        <v/>
      </c>
      <c r="J17" s="103">
        <f>SUMIFS('Reg Energia'!$AG$7:$AG$74,'Reg Energia'!$C$7:$C$74,$C17,'Reg Energia'!$D$7:$D$74,$D17,'Reg Energia'!$E$7:$E$74,"Brent")</f>
        <v/>
      </c>
      <c r="K17" s="99" t="n"/>
      <c r="L17" s="99" t="n"/>
      <c r="M17" s="99" t="n"/>
      <c r="N17" s="99" t="n"/>
      <c r="O17" s="99" t="n"/>
    </row>
    <row r="18">
      <c r="C18" s="6" t="inlineStr">
        <is>
          <t>Ex-Petrobras dynamic</t>
        </is>
      </c>
      <c r="D18" s="6" t="inlineStr">
        <is>
          <t>primary</t>
        </is>
      </c>
      <c r="E18" s="107">
        <f>SUMIFS('Reg Energia'!$H$7:$H$74,'Reg Energia'!$C$7:$C$74,$C18,'Reg Energia'!$D$7:$D$74,$D18,'Reg Energia'!$E$7:$E$74,"Brent")</f>
        <v/>
      </c>
      <c r="F18" s="103">
        <f>SUMIFS('Reg Energia'!$I$7:$I$74,'Reg Energia'!$C$7:$C$74,$C18,'Reg Energia'!$D$7:$D$74,$D18,'Reg Energia'!$E$7:$E$74,"Brent")</f>
        <v/>
      </c>
      <c r="G18" s="103">
        <f>SUMIFS('Reg Energia'!$L$7:$L$74,'Reg Energia'!$C$7:$C$74,$C18,'Reg Energia'!$D$7:$D$74,$D18,'Reg Energia'!$E$7:$E$74,"Brent")</f>
        <v/>
      </c>
      <c r="H18" s="103">
        <f>SUMIFS('Reg Energia'!$O$7:$O$74,'Reg Energia'!$C$7:$C$74,$C18,'Reg Energia'!$D$7:$D$74,$D18,'Reg Energia'!$E$7:$E$74,"Brent")</f>
        <v/>
      </c>
      <c r="I18" s="103">
        <f>SUMIFS('Reg Energia'!$AF$7:$AF$74,'Reg Energia'!$C$7:$C$74,$C18,'Reg Energia'!$D$7:$D$74,$D18,'Reg Energia'!$E$7:$E$74,"Brent")</f>
        <v/>
      </c>
      <c r="J18" s="103">
        <f>SUMIFS('Reg Energia'!$AG$7:$AG$74,'Reg Energia'!$C$7:$C$74,$C18,'Reg Energia'!$D$7:$D$74,$D18,'Reg Energia'!$E$7:$E$74,"Brent")</f>
        <v/>
      </c>
      <c r="K18" s="99" t="n"/>
      <c r="L18" s="99" t="n"/>
      <c r="M18" s="99" t="n"/>
      <c r="N18" s="99" t="n"/>
      <c r="O18" s="99" t="n"/>
    </row>
    <row r="19">
      <c r="C19" s="6" t="inlineStr">
        <is>
          <t>Energy reported</t>
        </is>
      </c>
      <c r="D19" s="6" t="inlineStr">
        <is>
          <t>audit_clean</t>
        </is>
      </c>
      <c r="E19" s="107">
        <f>SUMIFS('Reg Energia'!$H$7:$H$74,'Reg Energia'!$C$7:$C$74,$C19,'Reg Energia'!$D$7:$D$74,$D19,'Reg Energia'!$E$7:$E$74,"Brent")</f>
        <v/>
      </c>
      <c r="F19" s="103">
        <f>SUMIFS('Reg Energia'!$I$7:$I$74,'Reg Energia'!$C$7:$C$74,$C19,'Reg Energia'!$D$7:$D$74,$D19,'Reg Energia'!$E$7:$E$74,"Brent")</f>
        <v/>
      </c>
      <c r="G19" s="103">
        <f>SUMIFS('Reg Energia'!$L$7:$L$74,'Reg Energia'!$C$7:$C$74,$C19,'Reg Energia'!$D$7:$D$74,$D19,'Reg Energia'!$E$7:$E$74,"Brent")</f>
        <v/>
      </c>
      <c r="H19" s="103">
        <f>SUMIFS('Reg Energia'!$O$7:$O$74,'Reg Energia'!$C$7:$C$74,$C19,'Reg Energia'!$D$7:$D$74,$D19,'Reg Energia'!$E$7:$E$74,"Brent")</f>
        <v/>
      </c>
      <c r="I19" s="103">
        <f>SUMIFS('Reg Energia'!$AF$7:$AF$74,'Reg Energia'!$C$7:$C$74,$C19,'Reg Energia'!$D$7:$D$74,$D19,'Reg Energia'!$E$7:$E$74,"Brent")</f>
        <v/>
      </c>
      <c r="J19" s="103">
        <f>SUMIFS('Reg Energia'!$AG$7:$AG$74,'Reg Energia'!$C$7:$C$74,$C19,'Reg Energia'!$D$7:$D$74,$D19,'Reg Energia'!$E$7:$E$74,"Brent")</f>
        <v/>
      </c>
      <c r="K19" s="99" t="n"/>
      <c r="L19" s="99" t="n"/>
      <c r="M19" s="99" t="n"/>
      <c r="N19" s="99" t="n"/>
      <c r="O19" s="99" t="n"/>
    </row>
    <row r="20">
      <c r="C20" s="6" t="inlineStr">
        <is>
          <t>Petrobras</t>
        </is>
      </c>
      <c r="D20" s="6" t="inlineStr">
        <is>
          <t>audit_clean</t>
        </is>
      </c>
      <c r="E20" s="107">
        <f>SUMIFS('Reg Energia'!$H$7:$H$74,'Reg Energia'!$C$7:$C$74,$C20,'Reg Energia'!$D$7:$D$74,$D20,'Reg Energia'!$E$7:$E$74,"Brent")</f>
        <v/>
      </c>
      <c r="F20" s="103">
        <f>SUMIFS('Reg Energia'!$I$7:$I$74,'Reg Energia'!$C$7:$C$74,$C20,'Reg Energia'!$D$7:$D$74,$D20,'Reg Energia'!$E$7:$E$74,"Brent")</f>
        <v/>
      </c>
      <c r="G20" s="103">
        <f>SUMIFS('Reg Energia'!$L$7:$L$74,'Reg Energia'!$C$7:$C$74,$C20,'Reg Energia'!$D$7:$D$74,$D20,'Reg Energia'!$E$7:$E$74,"Brent")</f>
        <v/>
      </c>
      <c r="H20" s="103">
        <f>SUMIFS('Reg Energia'!$O$7:$O$74,'Reg Energia'!$C$7:$C$74,$C20,'Reg Energia'!$D$7:$D$74,$D20,'Reg Energia'!$E$7:$E$74,"Brent")</f>
        <v/>
      </c>
      <c r="I20" s="103">
        <f>SUMIFS('Reg Energia'!$AF$7:$AF$74,'Reg Energia'!$C$7:$C$74,$C20,'Reg Energia'!$D$7:$D$74,$D20,'Reg Energia'!$E$7:$E$74,"Brent")</f>
        <v/>
      </c>
      <c r="J20" s="103">
        <f>SUMIFS('Reg Energia'!$AG$7:$AG$74,'Reg Energia'!$C$7:$C$74,$C20,'Reg Energia'!$D$7:$D$74,$D20,'Reg Energia'!$E$7:$E$74,"Brent")</f>
        <v/>
      </c>
      <c r="K20" s="99" t="n"/>
      <c r="L20" s="99" t="n"/>
      <c r="M20" s="99" t="n"/>
      <c r="N20" s="99" t="n"/>
      <c r="O20" s="99" t="n"/>
    </row>
    <row r="21">
      <c r="C21" s="6" t="inlineStr">
        <is>
          <t>Energy reported</t>
        </is>
      </c>
      <c r="D21" s="6" t="inlineStr">
        <is>
          <t>since_2022_ex_seams</t>
        </is>
      </c>
      <c r="E21" s="107">
        <f>SUMIFS('Reg Energia'!$H$7:$H$74,'Reg Energia'!$C$7:$C$74,$C21,'Reg Energia'!$D$7:$D$74,$D21,'Reg Energia'!$E$7:$E$74,"Brent")</f>
        <v/>
      </c>
      <c r="F21" s="103">
        <f>SUMIFS('Reg Energia'!$I$7:$I$74,'Reg Energia'!$C$7:$C$74,$C21,'Reg Energia'!$D$7:$D$74,$D21,'Reg Energia'!$E$7:$E$74,"Brent")</f>
        <v/>
      </c>
      <c r="G21" s="103">
        <f>SUMIFS('Reg Energia'!$L$7:$L$74,'Reg Energia'!$C$7:$C$74,$C21,'Reg Energia'!$D$7:$D$74,$D21,'Reg Energia'!$E$7:$E$74,"Brent")</f>
        <v/>
      </c>
      <c r="H21" s="103">
        <f>SUMIFS('Reg Energia'!$O$7:$O$74,'Reg Energia'!$C$7:$C$74,$C21,'Reg Energia'!$D$7:$D$74,$D21,'Reg Energia'!$E$7:$E$74,"Brent")</f>
        <v/>
      </c>
      <c r="I21" s="103">
        <f>SUMIFS('Reg Energia'!$AF$7:$AF$74,'Reg Energia'!$C$7:$C$74,$C21,'Reg Energia'!$D$7:$D$74,$D21,'Reg Energia'!$E$7:$E$74,"Brent")</f>
        <v/>
      </c>
      <c r="J21" s="103">
        <f>SUMIFS('Reg Energia'!$AG$7:$AG$74,'Reg Energia'!$C$7:$C$74,$C21,'Reg Energia'!$D$7:$D$74,$D21,'Reg Energia'!$E$7:$E$74,"Brent")</f>
        <v/>
      </c>
      <c r="K21" s="99" t="n"/>
      <c r="L21" s="99" t="n"/>
      <c r="M21" s="99" t="n"/>
      <c r="N21" s="99" t="n"/>
      <c r="O21" s="99" t="n"/>
    </row>
    <row r="22">
      <c r="C22" s="6" t="inlineStr">
        <is>
          <t>Petrobras</t>
        </is>
      </c>
      <c r="D22" s="6" t="inlineStr">
        <is>
          <t>since_2022_ex_seams</t>
        </is>
      </c>
      <c r="E22" s="107">
        <f>SUMIFS('Reg Energia'!$H$7:$H$74,'Reg Energia'!$C$7:$C$74,$C22,'Reg Energia'!$D$7:$D$74,$D22,'Reg Energia'!$E$7:$E$74,"Brent")</f>
        <v/>
      </c>
      <c r="F22" s="103">
        <f>SUMIFS('Reg Energia'!$I$7:$I$74,'Reg Energia'!$C$7:$C$74,$C22,'Reg Energia'!$D$7:$D$74,$D22,'Reg Energia'!$E$7:$E$74,"Brent")</f>
        <v/>
      </c>
      <c r="G22" s="103">
        <f>SUMIFS('Reg Energia'!$L$7:$L$74,'Reg Energia'!$C$7:$C$74,$C22,'Reg Energia'!$D$7:$D$74,$D22,'Reg Energia'!$E$7:$E$74,"Brent")</f>
        <v/>
      </c>
      <c r="H22" s="103">
        <f>SUMIFS('Reg Energia'!$O$7:$O$74,'Reg Energia'!$C$7:$C$74,$C22,'Reg Energia'!$D$7:$D$74,$D22,'Reg Energia'!$E$7:$E$74,"Brent")</f>
        <v/>
      </c>
      <c r="I22" s="103">
        <f>SUMIFS('Reg Energia'!$AF$7:$AF$74,'Reg Energia'!$C$7:$C$74,$C22,'Reg Energia'!$D$7:$D$74,$D22,'Reg Energia'!$E$7:$E$74,"Brent")</f>
        <v/>
      </c>
      <c r="J22" s="103">
        <f>SUMIFS('Reg Energia'!$AG$7:$AG$74,'Reg Energia'!$C$7:$C$74,$C22,'Reg Energia'!$D$7:$D$74,$D22,'Reg Energia'!$E$7:$E$74,"Brent")</f>
        <v/>
      </c>
      <c r="K22" s="99" t="n"/>
      <c r="L22" s="99" t="n"/>
      <c r="M22" s="99" t="n"/>
      <c r="N22" s="99" t="n"/>
      <c r="O22" s="99" t="n"/>
    </row>
    <row r="23">
      <c r="C23" s="99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</row>
    <row r="24">
      <c r="C24" s="94" t="inlineStr">
        <is>
          <t>Conclusão</t>
        </is>
      </c>
      <c r="D24" s="94" t="inlineStr">
        <is>
          <t>A sensibilidade de Energia ao Focus no histórico vem quase integralmente de Petrobras. Desde 2022, Focus deixa de ser significativo, enquanto Brent ganha força explicativa para Energia e Petrobras.</t>
        </is>
      </c>
      <c r="K24" s="99" t="n"/>
      <c r="L24" s="99" t="n"/>
      <c r="M24" s="99" t="n"/>
      <c r="N24" s="99" t="n"/>
      <c r="O24" s="99" t="n"/>
    </row>
    <row r="25">
      <c r="K25" s="99" t="n"/>
      <c r="L25" s="99" t="n"/>
      <c r="M25" s="99" t="n"/>
      <c r="N25" s="99" t="n"/>
      <c r="O25" s="99" t="n"/>
    </row>
    <row r="26">
      <c r="K26" s="99" t="n"/>
      <c r="L26" s="99" t="n"/>
      <c r="M26" s="99" t="n"/>
      <c r="N26" s="99" t="n"/>
      <c r="O26" s="99" t="n"/>
    </row>
    <row r="27">
      <c r="K27" s="99" t="n"/>
      <c r="L27" s="99" t="n"/>
      <c r="M27" s="99" t="n"/>
      <c r="N27" s="99" t="n"/>
      <c r="O27" s="99" t="n"/>
    </row>
  </sheetData>
  <mergeCells count="2">
    <mergeCell ref="C24:C27"/>
    <mergeCell ref="D24:J27"/>
  </mergeCells>
  <conditionalFormatting sqref="H16:H22">
    <cfRule type="cellIs" priority="1" operator="lessThan" dxfId="0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2:R231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2">
      <c r="C2" s="2" t="inlineStr">
        <is>
          <t>Earnings 12 meses forward por setor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</row>
    <row r="3">
      <c r="C3" s="4" t="inlineStr">
        <is>
          <t>BEst Net Income agregado, em BRL. Frequência mensal, janeiro de 2008 a setembro de 2026.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</row>
    <row r="6" ht="36" customHeight="1">
      <c r="C6" s="11" t="inlineStr">
        <is>
          <t>month</t>
        </is>
      </c>
      <c r="D6" s="11" t="inlineStr">
        <is>
          <t>date</t>
        </is>
      </c>
      <c r="E6" s="11" t="inlineStr">
        <is>
          <t>source_file</t>
        </is>
      </c>
      <c r="F6" s="11" t="inlineStr">
        <is>
          <t>IBOV</t>
        </is>
      </c>
      <c r="G6" s="11" t="inlineStr">
        <is>
          <t>Communication Services</t>
        </is>
      </c>
      <c r="H6" s="11" t="inlineStr">
        <is>
          <t>Consumer Discretionary</t>
        </is>
      </c>
      <c r="I6" s="11" t="inlineStr">
        <is>
          <t>Consumer Staples</t>
        </is>
      </c>
      <c r="J6" s="11" t="inlineStr">
        <is>
          <t>Energy</t>
        </is>
      </c>
      <c r="K6" s="11" t="inlineStr">
        <is>
          <t>Financials</t>
        </is>
      </c>
      <c r="L6" s="11" t="inlineStr">
        <is>
          <t>Health Care</t>
        </is>
      </c>
      <c r="M6" s="11" t="inlineStr">
        <is>
          <t>Industrials</t>
        </is>
      </c>
      <c r="N6" s="11" t="inlineStr">
        <is>
          <t>Information Technology</t>
        </is>
      </c>
      <c r="O6" s="11" t="inlineStr">
        <is>
          <t>Materials</t>
        </is>
      </c>
      <c r="P6" s="11" t="inlineStr">
        <is>
          <t>Real Estate</t>
        </is>
      </c>
      <c r="Q6" s="11" t="inlineStr">
        <is>
          <t>Utilities</t>
        </is>
      </c>
      <c r="R6" s="11" t="inlineStr">
        <is>
          <t>Not Classified</t>
        </is>
      </c>
    </row>
    <row r="7">
      <c r="C7" s="109" t="n">
        <v>39448</v>
      </c>
      <c r="D7" s="109" t="n">
        <v>39478</v>
      </c>
      <c r="E7" s="110" t="inlineStr">
        <is>
          <t>grid_20qvjmd3.xlsx</t>
        </is>
      </c>
      <c r="F7" s="111" t="n">
        <v>9959.8780653506</v>
      </c>
      <c r="G7" s="111" t="n">
        <v>730.2101950858</v>
      </c>
      <c r="H7" s="111" t="n">
        <v>310.7799045995</v>
      </c>
      <c r="I7" s="111" t="n">
        <v>1538.5401598561</v>
      </c>
      <c r="J7" s="111" t="n">
        <v>29432.8344127123</v>
      </c>
      <c r="K7" s="111" t="n">
        <v>7614.5858066643</v>
      </c>
      <c r="L7" s="111" t="n"/>
      <c r="M7" s="111" t="n">
        <v>659.9120393811</v>
      </c>
      <c r="N7" s="111" t="n"/>
      <c r="O7" s="111" t="n">
        <v>13618.1637062303</v>
      </c>
      <c r="P7" s="111" t="n">
        <v>0</v>
      </c>
      <c r="Q7" s="111" t="n">
        <v>1217.2182465673</v>
      </c>
      <c r="R7" s="111" t="n">
        <v>1487.4809784656</v>
      </c>
    </row>
    <row r="8">
      <c r="C8" s="112" t="n">
        <v>39479</v>
      </c>
      <c r="D8" s="112" t="n">
        <v>39507</v>
      </c>
      <c r="E8" s="113" t="inlineStr">
        <is>
          <t>grid_20qvjmd3.xlsx</t>
        </is>
      </c>
      <c r="F8" s="114" t="n">
        <v>10289.6073694319</v>
      </c>
      <c r="G8" s="114" t="n">
        <v>799.9429246512</v>
      </c>
      <c r="H8" s="114" t="n">
        <v>322.5315564796</v>
      </c>
      <c r="I8" s="114" t="n">
        <v>1573.9042985474</v>
      </c>
      <c r="J8" s="114" t="n">
        <v>29645.2019747068</v>
      </c>
      <c r="K8" s="114" t="n">
        <v>7762.6190531529</v>
      </c>
      <c r="L8" s="114" t="n"/>
      <c r="M8" s="114" t="n">
        <v>623.1710746471</v>
      </c>
      <c r="N8" s="114" t="n"/>
      <c r="O8" s="114" t="n">
        <v>14526.6177522189</v>
      </c>
      <c r="P8" s="114" t="n">
        <v>0</v>
      </c>
      <c r="Q8" s="114" t="n">
        <v>1242.4284908891</v>
      </c>
      <c r="R8" s="114" t="n">
        <v>1474.0468882311</v>
      </c>
    </row>
    <row r="9">
      <c r="C9" s="112" t="n">
        <v>39508</v>
      </c>
      <c r="D9" s="112" t="n">
        <v>39538</v>
      </c>
      <c r="E9" s="113" t="inlineStr">
        <is>
          <t>grid_20qvjmd3.xlsx</t>
        </is>
      </c>
      <c r="F9" s="114" t="n">
        <v>10303.8674847883</v>
      </c>
      <c r="G9" s="114" t="n">
        <v>747.0940930993</v>
      </c>
      <c r="H9" s="114" t="n">
        <v>295.1303437993</v>
      </c>
      <c r="I9" s="114" t="n">
        <v>1515.5027737452</v>
      </c>
      <c r="J9" s="114" t="n">
        <v>30769.5536604932</v>
      </c>
      <c r="K9" s="114" t="n">
        <v>7843.4509066812</v>
      </c>
      <c r="L9" s="114" t="n"/>
      <c r="M9" s="114" t="n">
        <v>615.3892125718</v>
      </c>
      <c r="N9" s="114" t="n"/>
      <c r="O9" s="114" t="n">
        <v>14775.0506200506</v>
      </c>
      <c r="P9" s="114" t="n">
        <v>0</v>
      </c>
      <c r="Q9" s="114" t="n">
        <v>1312.0471238373</v>
      </c>
      <c r="R9" s="114" t="n">
        <v>1479.4427753401</v>
      </c>
    </row>
    <row r="10">
      <c r="C10" s="112" t="n">
        <v>39539</v>
      </c>
      <c r="D10" s="112" t="n">
        <v>39568</v>
      </c>
      <c r="E10" s="113" t="inlineStr">
        <is>
          <t>grid_20qvjmd3.xlsx</t>
        </is>
      </c>
      <c r="F10" s="114" t="n">
        <v>10682.5227605994</v>
      </c>
      <c r="G10" s="114" t="n">
        <v>711.0441969683</v>
      </c>
      <c r="H10" s="114" t="n">
        <v>300.9140290716</v>
      </c>
      <c r="I10" s="114" t="n">
        <v>1451.0768515842</v>
      </c>
      <c r="J10" s="114" t="n">
        <v>30957.4695837808</v>
      </c>
      <c r="K10" s="114" t="n">
        <v>7909.4795000898</v>
      </c>
      <c r="L10" s="114" t="n"/>
      <c r="M10" s="114" t="n">
        <v>601.7508929039</v>
      </c>
      <c r="N10" s="114" t="n"/>
      <c r="O10" s="114" t="n">
        <v>15217.4026277273</v>
      </c>
      <c r="P10" s="114" t="n">
        <v>0</v>
      </c>
      <c r="Q10" s="114" t="n">
        <v>1381.0617447563</v>
      </c>
      <c r="R10" s="114" t="n">
        <v>1445.746031554</v>
      </c>
    </row>
    <row r="11">
      <c r="C11" s="112" t="n">
        <v>39569</v>
      </c>
      <c r="D11" s="112" t="n">
        <v>39598</v>
      </c>
      <c r="E11" s="113" t="inlineStr">
        <is>
          <t>grid_20qvjmd3.xlsx</t>
        </is>
      </c>
      <c r="F11" s="114" t="n">
        <v>12096.372419705</v>
      </c>
      <c r="G11" s="114" t="n">
        <v>728.0505710438</v>
      </c>
      <c r="H11" s="114" t="n">
        <v>316.8836079574</v>
      </c>
      <c r="I11" s="114" t="n">
        <v>1504.671520933</v>
      </c>
      <c r="J11" s="114" t="n">
        <v>32324.6684019726</v>
      </c>
      <c r="K11" s="114" t="n">
        <v>7871.6928012216</v>
      </c>
      <c r="L11" s="114" t="n"/>
      <c r="M11" s="114" t="n">
        <v>560.6545943668</v>
      </c>
      <c r="N11" s="114" t="n"/>
      <c r="O11" s="114" t="n">
        <v>16212.1084286089</v>
      </c>
      <c r="P11" s="114" t="n">
        <v>15.0794520548</v>
      </c>
      <c r="Q11" s="114" t="n">
        <v>1352.8193680143</v>
      </c>
      <c r="R11" s="114" t="n">
        <v>1468.2037244533</v>
      </c>
    </row>
    <row r="12">
      <c r="C12" s="112" t="n">
        <v>39600</v>
      </c>
      <c r="D12" s="112" t="n">
        <v>39629</v>
      </c>
      <c r="E12" s="113" t="inlineStr">
        <is>
          <t>grid_20qvjmd3.xlsx</t>
        </is>
      </c>
      <c r="F12" s="114" t="n">
        <v>12518.4253993854</v>
      </c>
      <c r="G12" s="114" t="n">
        <v>698.8360388548</v>
      </c>
      <c r="H12" s="114" t="n">
        <v>312.2965781796</v>
      </c>
      <c r="I12" s="114" t="n">
        <v>1526.8364154997</v>
      </c>
      <c r="J12" s="114" t="n">
        <v>32989.7392997699</v>
      </c>
      <c r="K12" s="114" t="n">
        <v>7885.1989513663</v>
      </c>
      <c r="L12" s="114" t="n"/>
      <c r="M12" s="114" t="n">
        <v>550.0993734797</v>
      </c>
      <c r="N12" s="114" t="n"/>
      <c r="O12" s="114" t="n">
        <v>16313.3584253175</v>
      </c>
      <c r="P12" s="114" t="n">
        <v>32.8876712329</v>
      </c>
      <c r="Q12" s="114" t="n">
        <v>1312.6731020642</v>
      </c>
      <c r="R12" s="114" t="n">
        <v>1429.9286527747</v>
      </c>
    </row>
    <row r="13">
      <c r="C13" s="112" t="n">
        <v>39630</v>
      </c>
      <c r="D13" s="112" t="n">
        <v>39660</v>
      </c>
      <c r="E13" s="113" t="inlineStr">
        <is>
          <t>grid_20qvjmd3.xlsx</t>
        </is>
      </c>
      <c r="F13" s="114" t="n">
        <v>11614.2108805641</v>
      </c>
      <c r="G13" s="114" t="n">
        <v>737.0660817322</v>
      </c>
      <c r="H13" s="114" t="n">
        <v>294.206674022</v>
      </c>
      <c r="I13" s="114" t="n">
        <v>1419.8972573218</v>
      </c>
      <c r="J13" s="114" t="n">
        <v>34314.9850455671</v>
      </c>
      <c r="K13" s="114" t="n">
        <v>7863.2461458777</v>
      </c>
      <c r="L13" s="114" t="n"/>
      <c r="M13" s="114" t="n">
        <v>526.7919649769</v>
      </c>
      <c r="N13" s="114" t="n"/>
      <c r="O13" s="114" t="n">
        <v>16167.3167289624</v>
      </c>
      <c r="P13" s="114" t="n">
        <v>33.1424657534</v>
      </c>
      <c r="Q13" s="114" t="n">
        <v>1358.7448689128</v>
      </c>
      <c r="R13" s="114" t="n">
        <v>1440.5456344461</v>
      </c>
    </row>
    <row r="14">
      <c r="C14" s="112" t="n">
        <v>39661</v>
      </c>
      <c r="D14" s="112" t="n">
        <v>39689</v>
      </c>
      <c r="E14" s="113" t="inlineStr">
        <is>
          <t>grid_20qvjmd3.xlsx</t>
        </is>
      </c>
      <c r="F14" s="114" t="n">
        <v>12104.0246422624</v>
      </c>
      <c r="G14" s="114" t="n">
        <v>704.5649639506</v>
      </c>
      <c r="H14" s="114" t="n">
        <v>302.1259838042</v>
      </c>
      <c r="I14" s="114" t="n">
        <v>1507.0539463873</v>
      </c>
      <c r="J14" s="114" t="n">
        <v>34896.3779850521</v>
      </c>
      <c r="K14" s="114" t="n">
        <v>7875.0501176893</v>
      </c>
      <c r="L14" s="114" t="n"/>
      <c r="M14" s="114" t="n">
        <v>562.0758046251</v>
      </c>
      <c r="N14" s="114" t="n"/>
      <c r="O14" s="114" t="n">
        <v>17087.9530436288</v>
      </c>
      <c r="P14" s="114" t="n">
        <v>33.3808219178</v>
      </c>
      <c r="Q14" s="114" t="n">
        <v>1408.5326552152</v>
      </c>
      <c r="R14" s="114" t="n">
        <v>1464.0214502182</v>
      </c>
    </row>
    <row r="15">
      <c r="C15" s="112" t="n">
        <v>39692</v>
      </c>
      <c r="D15" s="112" t="n">
        <v>39721</v>
      </c>
      <c r="E15" s="113" t="inlineStr">
        <is>
          <t>grid_20qvjmd3.xlsx</t>
        </is>
      </c>
      <c r="F15" s="114" t="n">
        <v>14266.9874911289</v>
      </c>
      <c r="G15" s="114" t="n">
        <v>648.7169076389</v>
      </c>
      <c r="H15" s="114" t="n">
        <v>363.4855156733</v>
      </c>
      <c r="I15" s="114" t="n">
        <v>1740.5418340478</v>
      </c>
      <c r="J15" s="114" t="n">
        <v>36268.298789874</v>
      </c>
      <c r="K15" s="114" t="n">
        <v>6828.5199819498</v>
      </c>
      <c r="L15" s="114" t="n"/>
      <c r="M15" s="114" t="n">
        <v>570.9846148152</v>
      </c>
      <c r="N15" s="114" t="n"/>
      <c r="O15" s="114" t="n">
        <v>19240.0075325486</v>
      </c>
      <c r="P15" s="114" t="n"/>
      <c r="Q15" s="114" t="n">
        <v>1547.7115820521</v>
      </c>
      <c r="R15" s="114" t="n">
        <v>1549.4412992069</v>
      </c>
    </row>
    <row r="16">
      <c r="C16" s="112" t="n">
        <v>39722</v>
      </c>
      <c r="D16" s="112" t="n">
        <v>39752</v>
      </c>
      <c r="E16" s="113" t="inlineStr">
        <is>
          <t>grid_20qvjmd3.xlsx</t>
        </is>
      </c>
      <c r="F16" s="114" t="n">
        <v>13115.5788441607</v>
      </c>
      <c r="G16" s="114" t="n">
        <v>651.810286862</v>
      </c>
      <c r="H16" s="114" t="n">
        <v>372.634417409</v>
      </c>
      <c r="I16" s="114" t="n">
        <v>1602.335173261</v>
      </c>
      <c r="J16" s="114" t="n">
        <v>34382.2515326247</v>
      </c>
      <c r="K16" s="114" t="n">
        <v>6519.0678303595</v>
      </c>
      <c r="L16" s="114" t="n"/>
      <c r="M16" s="114" t="n">
        <v>615.4793387402</v>
      </c>
      <c r="N16" s="114" t="n"/>
      <c r="O16" s="114" t="n">
        <v>19187.9287140986</v>
      </c>
      <c r="P16" s="114" t="n"/>
      <c r="Q16" s="114" t="n">
        <v>1649.2130933475</v>
      </c>
      <c r="R16" s="114" t="n">
        <v>1504.1739236317</v>
      </c>
    </row>
    <row r="17">
      <c r="C17" s="112" t="n">
        <v>39753</v>
      </c>
      <c r="D17" s="112" t="n">
        <v>39780</v>
      </c>
      <c r="E17" s="113" t="inlineStr">
        <is>
          <t>grid_20qvjmd3.xlsx</t>
        </is>
      </c>
      <c r="F17" s="114" t="n">
        <v>11850.1015847353</v>
      </c>
      <c r="G17" s="114" t="n">
        <v>607.4941604664</v>
      </c>
      <c r="H17" s="114" t="n">
        <v>374.8486803421</v>
      </c>
      <c r="I17" s="114" t="n">
        <v>1660.5916094691</v>
      </c>
      <c r="J17" s="114" t="n">
        <v>33491.210374663</v>
      </c>
      <c r="K17" s="114" t="n">
        <v>6650.3507055996</v>
      </c>
      <c r="L17" s="114" t="n"/>
      <c r="M17" s="114" t="n">
        <v>564.2881046349</v>
      </c>
      <c r="N17" s="114" t="n"/>
      <c r="O17" s="114" t="n">
        <v>18370.2678918315</v>
      </c>
      <c r="P17" s="114" t="n"/>
      <c r="Q17" s="114" t="n">
        <v>1679.6568121983</v>
      </c>
      <c r="R17" s="114" t="n">
        <v>1435.6144774864</v>
      </c>
    </row>
    <row r="18">
      <c r="C18" s="112" t="n">
        <v>39783</v>
      </c>
      <c r="D18" s="112" t="n">
        <v>39813</v>
      </c>
      <c r="E18" s="113" t="inlineStr">
        <is>
          <t>grid_20qvjmd3.xlsx</t>
        </is>
      </c>
      <c r="F18" s="114" t="n">
        <v>11084.4648793578</v>
      </c>
      <c r="G18" s="114" t="n">
        <v>670.9664017456</v>
      </c>
      <c r="H18" s="114" t="n">
        <v>379.8318535739</v>
      </c>
      <c r="I18" s="114" t="n">
        <v>1698.7054993786</v>
      </c>
      <c r="J18" s="114" t="n">
        <v>29096.400896</v>
      </c>
      <c r="K18" s="114" t="n">
        <v>6484.0951073584</v>
      </c>
      <c r="L18" s="114" t="n"/>
      <c r="M18" s="114" t="n">
        <v>578.3441168105001</v>
      </c>
      <c r="N18" s="114" t="n"/>
      <c r="O18" s="114" t="n">
        <v>15653.6763895153</v>
      </c>
      <c r="P18" s="114" t="n"/>
      <c r="Q18" s="114" t="n">
        <v>1771.2051401564</v>
      </c>
      <c r="R18" s="114" t="n">
        <v>1351.3938902352</v>
      </c>
    </row>
    <row r="19">
      <c r="C19" s="112" t="n">
        <v>39814</v>
      </c>
      <c r="D19" s="112" t="n">
        <v>39843</v>
      </c>
      <c r="E19" s="113" t="inlineStr">
        <is>
          <t>grid_20qvjmd3.xlsx</t>
        </is>
      </c>
      <c r="F19" s="114" t="n">
        <v>11033.7390162929</v>
      </c>
      <c r="G19" s="114" t="n">
        <v>640.1761199182</v>
      </c>
      <c r="H19" s="114" t="n">
        <v>347.016569718</v>
      </c>
      <c r="I19" s="114" t="n">
        <v>1563.1346492936</v>
      </c>
      <c r="J19" s="114" t="n">
        <v>26792.8816710137</v>
      </c>
      <c r="K19" s="114" t="n">
        <v>5406.3233420426</v>
      </c>
      <c r="L19" s="114" t="n"/>
      <c r="M19" s="114" t="n">
        <v>540.5457836361001</v>
      </c>
      <c r="N19" s="114" t="n"/>
      <c r="O19" s="114" t="n">
        <v>13243.3520813108</v>
      </c>
      <c r="P19" s="114" t="n"/>
      <c r="Q19" s="114" t="n">
        <v>1779.3233593628</v>
      </c>
      <c r="R19" s="114" t="n">
        <v>1135.9492278552</v>
      </c>
    </row>
    <row r="20">
      <c r="C20" s="112" t="n">
        <v>39845</v>
      </c>
      <c r="D20" s="112" t="n">
        <v>39871</v>
      </c>
      <c r="E20" s="113" t="inlineStr">
        <is>
          <t>grid_20qvjmd3.xlsx</t>
        </is>
      </c>
      <c r="F20" s="114" t="n">
        <v>11190.3574737604</v>
      </c>
      <c r="G20" s="114" t="n">
        <v>645.278398119</v>
      </c>
      <c r="H20" s="114" t="n">
        <v>328.2065148325</v>
      </c>
      <c r="I20" s="114" t="n">
        <v>1504.9584119475</v>
      </c>
      <c r="J20" s="114" t="n">
        <v>27042.7876927123</v>
      </c>
      <c r="K20" s="114" t="n">
        <v>5467.7978954351</v>
      </c>
      <c r="L20" s="114" t="n"/>
      <c r="M20" s="114" t="n">
        <v>525.4351428682</v>
      </c>
      <c r="N20" s="114" t="n"/>
      <c r="O20" s="114" t="n">
        <v>12737.0257231951</v>
      </c>
      <c r="P20" s="114" t="n"/>
      <c r="Q20" s="114" t="n">
        <v>1765.0098568858</v>
      </c>
      <c r="R20" s="114" t="n">
        <v>1192.0434252132</v>
      </c>
    </row>
    <row r="21">
      <c r="C21" s="112" t="n">
        <v>39873</v>
      </c>
      <c r="D21" s="112" t="n">
        <v>39903</v>
      </c>
      <c r="E21" s="113" t="inlineStr">
        <is>
          <t>grid_20qvjmd3.xlsx</t>
        </is>
      </c>
      <c r="F21" s="114" t="n">
        <v>9959.6274718116</v>
      </c>
      <c r="G21" s="114" t="n">
        <v>630.3768017484</v>
      </c>
      <c r="H21" s="114" t="n">
        <v>340.8095350619</v>
      </c>
      <c r="I21" s="114" t="n">
        <v>1622.1641446852</v>
      </c>
      <c r="J21" s="114" t="n">
        <v>24508.1156734247</v>
      </c>
      <c r="K21" s="114" t="n">
        <v>5928.7117384491</v>
      </c>
      <c r="L21" s="114" t="n"/>
      <c r="M21" s="114" t="n">
        <v>546.0169707833001</v>
      </c>
      <c r="N21" s="114" t="n"/>
      <c r="O21" s="114" t="n">
        <v>9925.137102344601</v>
      </c>
      <c r="P21" s="114" t="n"/>
      <c r="Q21" s="114" t="n">
        <v>1873.3138436703</v>
      </c>
      <c r="R21" s="114" t="n">
        <v>820.1045273747</v>
      </c>
    </row>
    <row r="22">
      <c r="C22" s="112" t="n">
        <v>39904</v>
      </c>
      <c r="D22" s="112" t="n">
        <v>39933</v>
      </c>
      <c r="E22" s="113" t="inlineStr">
        <is>
          <t>grid_20qvjmd3.xlsx</t>
        </is>
      </c>
      <c r="F22" s="114" t="n">
        <v>9074.7839544323</v>
      </c>
      <c r="G22" s="114" t="n">
        <v>629.5864827173</v>
      </c>
      <c r="H22" s="114" t="n">
        <v>333.6687009801</v>
      </c>
      <c r="I22" s="114" t="n">
        <v>1658.3478802313</v>
      </c>
      <c r="J22" s="114" t="n">
        <v>23604.0850165479</v>
      </c>
      <c r="K22" s="114" t="n">
        <v>6085.9007540989</v>
      </c>
      <c r="L22" s="114" t="n"/>
      <c r="M22" s="114" t="n">
        <v>525.9903149047</v>
      </c>
      <c r="N22" s="114" t="n"/>
      <c r="O22" s="114" t="n">
        <v>9126.5961764197</v>
      </c>
      <c r="P22" s="114" t="n"/>
      <c r="Q22" s="114" t="n">
        <v>1866.2612507437</v>
      </c>
      <c r="R22" s="114" t="n">
        <v>727.8076844644</v>
      </c>
    </row>
    <row r="23">
      <c r="C23" s="112" t="n">
        <v>39934</v>
      </c>
      <c r="D23" s="112" t="n">
        <v>39962</v>
      </c>
      <c r="E23" s="113" t="inlineStr">
        <is>
          <t>grid_20qvjmd3.xlsx</t>
        </is>
      </c>
      <c r="F23" s="114" t="n">
        <v>9195.7718891232</v>
      </c>
      <c r="G23" s="114" t="n">
        <v>638.4789535071</v>
      </c>
      <c r="H23" s="114" t="n">
        <v>339.3132289904</v>
      </c>
      <c r="I23" s="114" t="n">
        <v>1772.2348913648</v>
      </c>
      <c r="J23" s="114" t="n">
        <v>25104.4839760658</v>
      </c>
      <c r="K23" s="114" t="n">
        <v>6117.940696095</v>
      </c>
      <c r="L23" s="114" t="n"/>
      <c r="M23" s="114" t="n">
        <v>493.3957014979</v>
      </c>
      <c r="N23" s="114" t="n"/>
      <c r="O23" s="114" t="n">
        <v>8106.9492155235</v>
      </c>
      <c r="P23" s="114" t="n"/>
      <c r="Q23" s="114" t="n">
        <v>1833.8754737786</v>
      </c>
      <c r="R23" s="114" t="n">
        <v>660.4946823559</v>
      </c>
    </row>
    <row r="24">
      <c r="C24" s="112" t="n">
        <v>39965</v>
      </c>
      <c r="D24" s="112" t="n">
        <v>39994</v>
      </c>
      <c r="E24" s="113" t="inlineStr">
        <is>
          <t>grid_20qvjmd3.xlsx</t>
        </is>
      </c>
      <c r="F24" s="114" t="n">
        <v>8893.8981333335</v>
      </c>
      <c r="G24" s="114" t="n">
        <v>664.9810967866</v>
      </c>
      <c r="H24" s="114" t="n">
        <v>352.4164631081</v>
      </c>
      <c r="I24" s="114" t="n">
        <v>1886.2961644329</v>
      </c>
      <c r="J24" s="114" t="n">
        <v>25090.7494652493</v>
      </c>
      <c r="K24" s="114" t="n">
        <v>6197.1161373837</v>
      </c>
      <c r="L24" s="114" t="n"/>
      <c r="M24" s="114" t="n">
        <v>451.675785159</v>
      </c>
      <c r="N24" s="114" t="n"/>
      <c r="O24" s="114" t="n">
        <v>7502.1873271809</v>
      </c>
      <c r="P24" s="114" t="n"/>
      <c r="Q24" s="114" t="n">
        <v>1790.4214522114</v>
      </c>
      <c r="R24" s="114" t="n">
        <v>680.266123294</v>
      </c>
    </row>
    <row r="25">
      <c r="C25" s="112" t="n">
        <v>39995</v>
      </c>
      <c r="D25" s="112" t="n">
        <v>40025</v>
      </c>
      <c r="E25" s="113" t="inlineStr">
        <is>
          <t>grid_20qvjmd3.xlsx</t>
        </is>
      </c>
      <c r="F25" s="114" t="n">
        <v>8563.733914504901</v>
      </c>
      <c r="G25" s="114" t="n">
        <v>662.3138251309</v>
      </c>
      <c r="H25" s="114" t="n">
        <v>353.159887334</v>
      </c>
      <c r="I25" s="114" t="n">
        <v>1900.1432919411</v>
      </c>
      <c r="J25" s="114" t="n">
        <v>25347.7203687452</v>
      </c>
      <c r="K25" s="114" t="n">
        <v>6435.6718337469</v>
      </c>
      <c r="L25" s="114" t="n"/>
      <c r="M25" s="114" t="n">
        <v>443.422001161</v>
      </c>
      <c r="N25" s="114" t="n"/>
      <c r="O25" s="114" t="n">
        <v>7340.7243286723</v>
      </c>
      <c r="P25" s="114" t="n"/>
      <c r="Q25" s="114" t="n">
        <v>1799.9764764247</v>
      </c>
      <c r="R25" s="114" t="n">
        <v>615.9982155366</v>
      </c>
    </row>
    <row r="26">
      <c r="C26" s="112" t="n">
        <v>40026</v>
      </c>
      <c r="D26" s="112" t="n">
        <v>40056</v>
      </c>
      <c r="E26" s="113" t="inlineStr">
        <is>
          <t>grid_20qvjmd3.xlsx</t>
        </is>
      </c>
      <c r="F26" s="114" t="n">
        <v>8388.617434514401</v>
      </c>
      <c r="G26" s="114" t="n">
        <v>670.2474241293</v>
      </c>
      <c r="H26" s="114" t="n">
        <v>378.1099146997</v>
      </c>
      <c r="I26" s="114" t="n">
        <v>1999.4413492283</v>
      </c>
      <c r="J26" s="114" t="n">
        <v>25339.541907989</v>
      </c>
      <c r="K26" s="114" t="n">
        <v>6759.6342842298</v>
      </c>
      <c r="L26" s="114" t="n"/>
      <c r="M26" s="114" t="n">
        <v>443.3335790996</v>
      </c>
      <c r="N26" s="114" t="n"/>
      <c r="O26" s="114" t="n">
        <v>7170.4337352029</v>
      </c>
      <c r="P26" s="114" t="n"/>
      <c r="Q26" s="114" t="n">
        <v>1775.9241535114</v>
      </c>
      <c r="R26" s="114" t="n">
        <v>596.9381225263</v>
      </c>
    </row>
    <row r="27">
      <c r="C27" s="112" t="n">
        <v>40057</v>
      </c>
      <c r="D27" s="112" t="n">
        <v>40086</v>
      </c>
      <c r="E27" s="113" t="inlineStr">
        <is>
          <t>grid_20qvjmd3.xlsx</t>
        </is>
      </c>
      <c r="F27" s="114" t="n">
        <v>9160.297840548999</v>
      </c>
      <c r="G27" s="114" t="n">
        <v>717.7082995734</v>
      </c>
      <c r="H27" s="114" t="n">
        <v>390.7425429973</v>
      </c>
      <c r="I27" s="114" t="n">
        <v>1687.1919824743</v>
      </c>
      <c r="J27" s="114" t="n">
        <v>26521.992946674</v>
      </c>
      <c r="K27" s="114" t="n">
        <v>6985.2663614825</v>
      </c>
      <c r="L27" s="114" t="n"/>
      <c r="M27" s="114" t="n">
        <v>481.841152599</v>
      </c>
      <c r="N27" s="114" t="n"/>
      <c r="O27" s="114" t="n">
        <v>7841.6340096077</v>
      </c>
      <c r="P27" s="114" t="n"/>
      <c r="Q27" s="114" t="n">
        <v>1755.3580589028</v>
      </c>
      <c r="R27" s="114" t="n">
        <v>861.9663609595</v>
      </c>
    </row>
    <row r="28">
      <c r="C28" s="112" t="n">
        <v>40087</v>
      </c>
      <c r="D28" s="112" t="n">
        <v>40116</v>
      </c>
      <c r="E28" s="113" t="inlineStr">
        <is>
          <t>grid_20qvjmd3.xlsx</t>
        </is>
      </c>
      <c r="F28" s="114" t="n">
        <v>9619.929604426699</v>
      </c>
      <c r="G28" s="114" t="n">
        <v>741.7649478</v>
      </c>
      <c r="H28" s="114" t="n">
        <v>449.2155484269</v>
      </c>
      <c r="I28" s="114" t="n">
        <v>1824.9211734857</v>
      </c>
      <c r="J28" s="114" t="n">
        <v>27343.9044481753</v>
      </c>
      <c r="K28" s="114" t="n">
        <v>7229.0055972808</v>
      </c>
      <c r="L28" s="114" t="n"/>
      <c r="M28" s="114" t="n">
        <v>475.6754532686</v>
      </c>
      <c r="N28" s="114" t="n"/>
      <c r="O28" s="114" t="n">
        <v>8393.0892688355</v>
      </c>
      <c r="P28" s="114" t="n"/>
      <c r="Q28" s="114" t="n">
        <v>1615.2142701073</v>
      </c>
      <c r="R28" s="114" t="n">
        <v>917.8394685788001</v>
      </c>
    </row>
    <row r="29">
      <c r="C29" s="112" t="n">
        <v>40118</v>
      </c>
      <c r="D29" s="112" t="n">
        <v>40147</v>
      </c>
      <c r="E29" s="113" t="inlineStr">
        <is>
          <t>grid_20qvjmd3.xlsx</t>
        </is>
      </c>
      <c r="F29" s="114" t="n">
        <v>10130.9507990353</v>
      </c>
      <c r="G29" s="114" t="n">
        <v>815.399913378</v>
      </c>
      <c r="H29" s="114" t="n">
        <v>459.4675822828</v>
      </c>
      <c r="I29" s="114" t="n">
        <v>2025.4138722044</v>
      </c>
      <c r="J29" s="114" t="n">
        <v>28859.7220758795</v>
      </c>
      <c r="K29" s="114" t="n">
        <v>7529.0223790661</v>
      </c>
      <c r="L29" s="114" t="n"/>
      <c r="M29" s="114" t="n">
        <v>458.5764636784</v>
      </c>
      <c r="N29" s="114" t="n"/>
      <c r="O29" s="114" t="n">
        <v>8321.541080319799</v>
      </c>
      <c r="P29" s="114" t="n"/>
      <c r="Q29" s="114" t="n">
        <v>1679.2177498068</v>
      </c>
      <c r="R29" s="114" t="n">
        <v>1050.7124392069</v>
      </c>
    </row>
    <row r="30">
      <c r="C30" s="112" t="n">
        <v>40148</v>
      </c>
      <c r="D30" s="112" t="n">
        <v>40178</v>
      </c>
      <c r="E30" s="113" t="inlineStr">
        <is>
          <t>grid_20qvjmd3.xlsx</t>
        </is>
      </c>
      <c r="F30" s="114" t="n">
        <v>9965.839360792401</v>
      </c>
      <c r="G30" s="114" t="n">
        <v>822.6236333589</v>
      </c>
      <c r="H30" s="114" t="n">
        <v>498.3199053566</v>
      </c>
      <c r="I30" s="114" t="n">
        <v>1998.9294194711</v>
      </c>
      <c r="J30" s="114" t="n">
        <v>29662.500864</v>
      </c>
      <c r="K30" s="114" t="n">
        <v>7690.4444945255</v>
      </c>
      <c r="L30" s="114" t="n"/>
      <c r="M30" s="114" t="n">
        <v>454.9789037503</v>
      </c>
      <c r="N30" s="114" t="n"/>
      <c r="O30" s="114" t="n">
        <v>8417.984369030301</v>
      </c>
      <c r="P30" s="114" t="n"/>
      <c r="Q30" s="114" t="n">
        <v>1722.0871756904</v>
      </c>
      <c r="R30" s="114" t="n">
        <v>996.0862746830001</v>
      </c>
    </row>
    <row r="31">
      <c r="C31" s="112" t="n">
        <v>40179</v>
      </c>
      <c r="D31" s="112" t="n">
        <v>40207</v>
      </c>
      <c r="E31" s="113" t="inlineStr">
        <is>
          <t>grid_20qvjmd3.xlsx</t>
        </is>
      </c>
      <c r="F31" s="114" t="n">
        <v>9673.170002794401</v>
      </c>
      <c r="G31" s="114" t="n">
        <v>683.6826122838</v>
      </c>
      <c r="H31" s="114" t="n">
        <v>538.9534299356</v>
      </c>
      <c r="I31" s="114" t="n">
        <v>1867.991983556</v>
      </c>
      <c r="J31" s="114" t="n">
        <v>29007.9265739063</v>
      </c>
      <c r="K31" s="114" t="n">
        <v>7316.6661482468</v>
      </c>
      <c r="L31" s="114" t="n"/>
      <c r="M31" s="114" t="n">
        <v>396.7690537379</v>
      </c>
      <c r="N31" s="114" t="n"/>
      <c r="O31" s="114" t="n">
        <v>9683.512558214499</v>
      </c>
      <c r="P31" s="114" t="n"/>
      <c r="Q31" s="114" t="n">
        <v>1786.904224746</v>
      </c>
      <c r="R31" s="114" t="n">
        <v>1089.996679137</v>
      </c>
    </row>
    <row r="32">
      <c r="C32" s="112" t="n">
        <v>40210</v>
      </c>
      <c r="D32" s="112" t="n">
        <v>40235</v>
      </c>
      <c r="E32" s="113" t="inlineStr">
        <is>
          <t>grid_20qvjmd3.xlsx</t>
        </is>
      </c>
      <c r="F32" s="114" t="n">
        <v>9709.584802409399</v>
      </c>
      <c r="G32" s="114" t="n">
        <v>683.5694795647</v>
      </c>
      <c r="H32" s="114" t="n">
        <v>560.3004076196</v>
      </c>
      <c r="I32" s="114" t="n">
        <v>1919.179492643</v>
      </c>
      <c r="J32" s="114" t="n">
        <v>28320.1473912361</v>
      </c>
      <c r="K32" s="114" t="n">
        <v>7644.4121835278</v>
      </c>
      <c r="L32" s="114" t="n"/>
      <c r="M32" s="114" t="n">
        <v>379.3768965751</v>
      </c>
      <c r="N32" s="114" t="n"/>
      <c r="O32" s="114" t="n">
        <v>9900.1839358991</v>
      </c>
      <c r="P32" s="114" t="n"/>
      <c r="Q32" s="114" t="n">
        <v>1681.3905825473</v>
      </c>
      <c r="R32" s="114" t="n">
        <v>1118.5404848058</v>
      </c>
    </row>
    <row r="33">
      <c r="C33" s="112" t="n">
        <v>40238</v>
      </c>
      <c r="D33" s="112" t="n">
        <v>40268</v>
      </c>
      <c r="E33" s="113" t="inlineStr">
        <is>
          <t>grid_20qvjmd3.xlsx</t>
        </is>
      </c>
      <c r="F33" s="114" t="n">
        <v>10789.075082854</v>
      </c>
      <c r="G33" s="114" t="n">
        <v>690.9575538972</v>
      </c>
      <c r="H33" s="114" t="n">
        <v>567.440986895</v>
      </c>
      <c r="I33" s="114" t="n">
        <v>1841.8320069992</v>
      </c>
      <c r="J33" s="114" t="n">
        <v>29012.1788076429</v>
      </c>
      <c r="K33" s="114" t="n">
        <v>7839.9109034138</v>
      </c>
      <c r="L33" s="114" t="n"/>
      <c r="M33" s="114" t="n">
        <v>372.4844351215</v>
      </c>
      <c r="N33" s="114" t="n"/>
      <c r="O33" s="114" t="n">
        <v>12404.4742007157</v>
      </c>
      <c r="P33" s="114" t="n"/>
      <c r="Q33" s="114" t="n">
        <v>1870.9930164397</v>
      </c>
      <c r="R33" s="114" t="n">
        <v>1158.05692626</v>
      </c>
    </row>
    <row r="34">
      <c r="C34" s="112" t="n">
        <v>40269</v>
      </c>
      <c r="D34" s="112" t="n">
        <v>40298</v>
      </c>
      <c r="E34" s="113" t="inlineStr">
        <is>
          <t>grid_20qvjmd3.xlsx</t>
        </is>
      </c>
      <c r="F34" s="114" t="n">
        <v>11006.9069751206</v>
      </c>
      <c r="G34" s="114" t="n">
        <v>723.9318988663</v>
      </c>
      <c r="H34" s="114" t="n">
        <v>574.2410923822</v>
      </c>
      <c r="I34" s="114" t="n">
        <v>1910.8629555531</v>
      </c>
      <c r="J34" s="114" t="n">
        <v>29635.3195654762</v>
      </c>
      <c r="K34" s="114" t="n">
        <v>7813.2780016942</v>
      </c>
      <c r="L34" s="114" t="n"/>
      <c r="M34" s="114" t="n">
        <v>368.2508010134</v>
      </c>
      <c r="N34" s="114" t="n"/>
      <c r="O34" s="114" t="n">
        <v>13153.2641035548</v>
      </c>
      <c r="P34" s="114" t="n"/>
      <c r="Q34" s="114" t="n">
        <v>1805.2264428423</v>
      </c>
      <c r="R34" s="114" t="n">
        <v>1147.6178067416</v>
      </c>
    </row>
    <row r="35">
      <c r="C35" s="112" t="n">
        <v>40299</v>
      </c>
      <c r="D35" s="112" t="n">
        <v>40329</v>
      </c>
      <c r="E35" s="113" t="inlineStr">
        <is>
          <t>grid_20qvjmd3.xlsx</t>
        </is>
      </c>
      <c r="F35" s="114" t="n">
        <v>10281.7774589307</v>
      </c>
      <c r="G35" s="114" t="n">
        <v>691.5312637224</v>
      </c>
      <c r="H35" s="114" t="n">
        <v>603.2376509973</v>
      </c>
      <c r="I35" s="114" t="n">
        <v>1914.7374896618</v>
      </c>
      <c r="J35" s="114" t="n">
        <v>27099.4479235388</v>
      </c>
      <c r="K35" s="114" t="n">
        <v>6874.8620333292</v>
      </c>
      <c r="L35" s="114" t="n"/>
      <c r="M35" s="114" t="n">
        <v>335.7963160607</v>
      </c>
      <c r="N35" s="114" t="n"/>
      <c r="O35" s="114" t="n">
        <v>14723.7167551165</v>
      </c>
      <c r="P35" s="114" t="n"/>
      <c r="Q35" s="114" t="n">
        <v>1831.843347493</v>
      </c>
      <c r="R35" s="114" t="n">
        <v>976.925556645</v>
      </c>
    </row>
    <row r="36">
      <c r="C36" s="112" t="n">
        <v>40330</v>
      </c>
      <c r="D36" s="112" t="n">
        <v>40359</v>
      </c>
      <c r="E36" s="113" t="inlineStr">
        <is>
          <t>grid_20qvjmd3.xlsx</t>
        </is>
      </c>
      <c r="F36" s="114" t="n">
        <v>9981.908802092499</v>
      </c>
      <c r="G36" s="114" t="n">
        <v>793.6129991394</v>
      </c>
      <c r="H36" s="114" t="n">
        <v>630.8641667188</v>
      </c>
      <c r="I36" s="114" t="n">
        <v>1944.9335120771</v>
      </c>
      <c r="J36" s="114" t="n">
        <v>26950.7843853405</v>
      </c>
      <c r="K36" s="114" t="n">
        <v>6890.8878748159</v>
      </c>
      <c r="L36" s="114" t="n"/>
      <c r="M36" s="114" t="n">
        <v>349.3429815416</v>
      </c>
      <c r="N36" s="114" t="n"/>
      <c r="O36" s="114" t="n">
        <v>14978.6924384266</v>
      </c>
      <c r="P36" s="114" t="n"/>
      <c r="Q36" s="114" t="n">
        <v>1768.9044558794</v>
      </c>
      <c r="R36" s="114" t="n">
        <v>1140.9639581838</v>
      </c>
    </row>
    <row r="37">
      <c r="C37" s="112" t="n">
        <v>40360</v>
      </c>
      <c r="D37" s="112" t="n">
        <v>40389</v>
      </c>
      <c r="E37" s="113" t="inlineStr">
        <is>
          <t>grid_20qvjmd3.xlsx</t>
        </is>
      </c>
      <c r="F37" s="114" t="n">
        <v>10157.3473649416</v>
      </c>
      <c r="G37" s="114" t="n">
        <v>748.0841530662</v>
      </c>
      <c r="H37" s="114" t="n">
        <v>658.5066679494</v>
      </c>
      <c r="I37" s="114" t="n">
        <v>2013.4330910145</v>
      </c>
      <c r="J37" s="114" t="n">
        <v>27045.6020456823</v>
      </c>
      <c r="K37" s="114" t="n">
        <v>7278.446862614</v>
      </c>
      <c r="L37" s="114" t="n"/>
      <c r="M37" s="114" t="n">
        <v>346.4038837569</v>
      </c>
      <c r="N37" s="114" t="n"/>
      <c r="O37" s="114" t="n">
        <v>15976.9167406269</v>
      </c>
      <c r="P37" s="114" t="n"/>
      <c r="Q37" s="114" t="n">
        <v>1820.3868944764</v>
      </c>
      <c r="R37" s="114" t="n">
        <v>1101.0132319001</v>
      </c>
    </row>
    <row r="38">
      <c r="C38" s="112" t="n">
        <v>40391</v>
      </c>
      <c r="D38" s="112" t="n">
        <v>40421</v>
      </c>
      <c r="E38" s="113" t="inlineStr">
        <is>
          <t>grid_20qvjmd3.xlsx</t>
        </is>
      </c>
      <c r="F38" s="114" t="n">
        <v>10478.9497789164</v>
      </c>
      <c r="G38" s="114" t="n">
        <v>793.0398345656999</v>
      </c>
      <c r="H38" s="114" t="n">
        <v>693.3080616973</v>
      </c>
      <c r="I38" s="114" t="n">
        <v>2092.0383510579</v>
      </c>
      <c r="J38" s="114" t="n">
        <v>26043.1805735969</v>
      </c>
      <c r="K38" s="114" t="n">
        <v>7309.0783400432</v>
      </c>
      <c r="L38" s="114" t="n"/>
      <c r="M38" s="114" t="n">
        <v>349.1379195881</v>
      </c>
      <c r="N38" s="114" t="n"/>
      <c r="O38" s="114" t="n">
        <v>17641.2324901528</v>
      </c>
      <c r="P38" s="114" t="n"/>
      <c r="Q38" s="114" t="n">
        <v>1804.8884684769</v>
      </c>
      <c r="R38" s="114" t="n">
        <v>1063.7802752556</v>
      </c>
    </row>
    <row r="39">
      <c r="C39" s="112" t="n">
        <v>40422</v>
      </c>
      <c r="D39" s="112" t="n">
        <v>40451</v>
      </c>
      <c r="E39" s="113" t="inlineStr">
        <is>
          <t>grid_20qvjmd3.xlsx</t>
        </is>
      </c>
      <c r="F39" s="114" t="n">
        <v>11407.2372415397</v>
      </c>
      <c r="G39" s="114" t="n">
        <v>813.2931876239001</v>
      </c>
      <c r="H39" s="114" t="n">
        <v>714.3235488431</v>
      </c>
      <c r="I39" s="114" t="n">
        <v>1830.6057305408</v>
      </c>
      <c r="J39" s="114" t="n">
        <v>25585.3534653899</v>
      </c>
      <c r="K39" s="114" t="n">
        <v>7861.7464731104</v>
      </c>
      <c r="L39" s="114" t="n"/>
      <c r="M39" s="114" t="n">
        <v>388.9568936178</v>
      </c>
      <c r="N39" s="114" t="n"/>
      <c r="O39" s="114" t="n">
        <v>18750.0410601558</v>
      </c>
      <c r="P39" s="114" t="n"/>
      <c r="Q39" s="114" t="n">
        <v>1847.9593915774</v>
      </c>
      <c r="R39" s="114" t="n">
        <v>1144.7836852977</v>
      </c>
    </row>
    <row r="40">
      <c r="C40" s="112" t="n">
        <v>40452</v>
      </c>
      <c r="D40" s="112" t="n">
        <v>40480</v>
      </c>
      <c r="E40" s="113" t="inlineStr">
        <is>
          <t>grid_20qvjmd3.xlsx</t>
        </is>
      </c>
      <c r="F40" s="114" t="n">
        <v>11592.0156282558</v>
      </c>
      <c r="G40" s="114" t="n">
        <v>998.5752953865</v>
      </c>
      <c r="H40" s="114" t="n">
        <v>745.6496537702</v>
      </c>
      <c r="I40" s="114" t="n">
        <v>1988.4923283676</v>
      </c>
      <c r="J40" s="114" t="n">
        <v>25890.2192560051</v>
      </c>
      <c r="K40" s="114" t="n">
        <v>8039.1425945374</v>
      </c>
      <c r="L40" s="114" t="n"/>
      <c r="M40" s="114" t="n">
        <v>409.9445535775</v>
      </c>
      <c r="N40" s="114" t="n"/>
      <c r="O40" s="114" t="n">
        <v>19473.670049468</v>
      </c>
      <c r="P40" s="114" t="n"/>
      <c r="Q40" s="114" t="n">
        <v>1885.7993091111</v>
      </c>
      <c r="R40" s="114" t="n">
        <v>1106.566270726</v>
      </c>
    </row>
    <row r="41">
      <c r="C41" s="112" t="n">
        <v>40483</v>
      </c>
      <c r="D41" s="112" t="n">
        <v>40512</v>
      </c>
      <c r="E41" s="113" t="inlineStr">
        <is>
          <t>grid_20qvjmd3.xlsx</t>
        </is>
      </c>
      <c r="F41" s="114" t="n">
        <v>12019.0125511685</v>
      </c>
      <c r="G41" s="114" t="n">
        <v>1050.263438014</v>
      </c>
      <c r="H41" s="114" t="n">
        <v>770.5583287239</v>
      </c>
      <c r="I41" s="114" t="n">
        <v>2063.1691288027</v>
      </c>
      <c r="J41" s="114" t="n">
        <v>26577.3965953684</v>
      </c>
      <c r="K41" s="114" t="n">
        <v>8203.996103109401</v>
      </c>
      <c r="L41" s="114" t="n"/>
      <c r="M41" s="114" t="n">
        <v>429.8897877037</v>
      </c>
      <c r="N41" s="114" t="n"/>
      <c r="O41" s="114" t="n">
        <v>20625.6331557791</v>
      </c>
      <c r="P41" s="114" t="n"/>
      <c r="Q41" s="114" t="n">
        <v>1877.8978624342</v>
      </c>
      <c r="R41" s="114" t="n">
        <v>1119.1338538425</v>
      </c>
    </row>
    <row r="42">
      <c r="C42" s="112" t="n">
        <v>40513</v>
      </c>
      <c r="D42" s="112" t="n">
        <v>40543</v>
      </c>
      <c r="E42" s="113" t="inlineStr">
        <is>
          <t>grid_20qvjmd3.xlsx</t>
        </is>
      </c>
      <c r="F42" s="114" t="n">
        <v>12597.8633879485</v>
      </c>
      <c r="G42" s="114" t="n">
        <v>1081.8308536534</v>
      </c>
      <c r="H42" s="114" t="n">
        <v>796.7635569855</v>
      </c>
      <c r="I42" s="114" t="n">
        <v>2149.2761464495</v>
      </c>
      <c r="J42" s="114" t="n">
        <v>28108.4595888069</v>
      </c>
      <c r="K42" s="114" t="n">
        <v>8337.9012886036</v>
      </c>
      <c r="L42" s="114" t="n"/>
      <c r="M42" s="114" t="n">
        <v>490.4190985567</v>
      </c>
      <c r="N42" s="114" t="n"/>
      <c r="O42" s="114" t="n">
        <v>20834.8454090308</v>
      </c>
      <c r="P42" s="114" t="n"/>
      <c r="Q42" s="114" t="n">
        <v>1741.8560844764</v>
      </c>
      <c r="R42" s="114" t="n">
        <v>1154.9933405019</v>
      </c>
    </row>
    <row r="43">
      <c r="C43" s="112" t="n">
        <v>40544</v>
      </c>
      <c r="D43" s="112" t="n">
        <v>40574</v>
      </c>
      <c r="E43" s="113" t="inlineStr">
        <is>
          <t>grid_u4lflnxf.xlsx</t>
        </is>
      </c>
      <c r="F43" s="114" t="n">
        <v>13177.5163218255</v>
      </c>
      <c r="G43" s="114" t="n">
        <v>1126.5084946727</v>
      </c>
      <c r="H43" s="114" t="n">
        <v>813.823818924</v>
      </c>
      <c r="I43" s="114" t="n">
        <v>1953.6148351802</v>
      </c>
      <c r="J43" s="114" t="n">
        <v>27471.7172135821</v>
      </c>
      <c r="K43" s="114" t="n">
        <v>8650.615800925099</v>
      </c>
      <c r="L43" s="114" t="n">
        <v>554.6545479343999</v>
      </c>
      <c r="M43" s="114" t="n">
        <v>495.6393780899</v>
      </c>
      <c r="N43" s="114" t="n"/>
      <c r="O43" s="114" t="n">
        <v>21251.8723283012</v>
      </c>
      <c r="P43" s="114" t="n"/>
      <c r="Q43" s="114" t="n">
        <v>1773.2683659766</v>
      </c>
      <c r="R43" s="114" t="n">
        <v>1189.0901067774</v>
      </c>
    </row>
    <row r="44">
      <c r="C44" s="112" t="n">
        <v>40575</v>
      </c>
      <c r="D44" s="112" t="n">
        <v>40602</v>
      </c>
      <c r="E44" s="113" t="inlineStr">
        <is>
          <t>grid_u4lflnxf.xlsx</t>
        </is>
      </c>
      <c r="F44" s="114" t="n">
        <v>13431.2669381568</v>
      </c>
      <c r="G44" s="114" t="n">
        <v>1141.2273017244</v>
      </c>
      <c r="H44" s="114" t="n">
        <v>825.2048575232</v>
      </c>
      <c r="I44" s="114" t="n">
        <v>1968.4379398901</v>
      </c>
      <c r="J44" s="114" t="n">
        <v>26929.3029852374</v>
      </c>
      <c r="K44" s="114" t="n">
        <v>8864.1092810686</v>
      </c>
      <c r="L44" s="114" t="n">
        <v>554.5053686557</v>
      </c>
      <c r="M44" s="114" t="n">
        <v>496.290567899</v>
      </c>
      <c r="N44" s="114" t="n"/>
      <c r="O44" s="114" t="n">
        <v>21797.3181102446</v>
      </c>
      <c r="P44" s="114" t="n"/>
      <c r="Q44" s="114" t="n">
        <v>1900.2078528719</v>
      </c>
      <c r="R44" s="114" t="n">
        <v>1206.2501192496</v>
      </c>
    </row>
    <row r="45">
      <c r="C45" s="112" t="n">
        <v>40603</v>
      </c>
      <c r="D45" s="112" t="n">
        <v>40633</v>
      </c>
      <c r="E45" s="113" t="inlineStr">
        <is>
          <t>grid_u4lflnxf.xlsx</t>
        </is>
      </c>
      <c r="F45" s="114" t="n">
        <v>13213.0492168076</v>
      </c>
      <c r="G45" s="114" t="n">
        <v>1183.8904661743</v>
      </c>
      <c r="H45" s="114" t="n">
        <v>816.0730206979</v>
      </c>
      <c r="I45" s="114" t="n">
        <v>2026.2886476501</v>
      </c>
      <c r="J45" s="114" t="n">
        <v>27197.9224803103</v>
      </c>
      <c r="K45" s="114" t="n">
        <v>8887.4956425418</v>
      </c>
      <c r="L45" s="114" t="n">
        <v>549.8488248306001</v>
      </c>
      <c r="M45" s="114" t="n">
        <v>503.5199908637</v>
      </c>
      <c r="N45" s="114" t="n"/>
      <c r="O45" s="114" t="n">
        <v>21365.3467864683</v>
      </c>
      <c r="P45" s="114" t="n"/>
      <c r="Q45" s="114" t="n">
        <v>1844.7871981858</v>
      </c>
      <c r="R45" s="114" t="n">
        <v>1196.922704005</v>
      </c>
    </row>
    <row r="46">
      <c r="C46" s="112" t="n">
        <v>40634</v>
      </c>
      <c r="D46" s="112" t="n">
        <v>40662</v>
      </c>
      <c r="E46" s="113" t="inlineStr">
        <is>
          <t>grid_u4lflnxf.xlsx</t>
        </is>
      </c>
      <c r="F46" s="114" t="n">
        <v>13174.7446615963</v>
      </c>
      <c r="G46" s="114" t="n">
        <v>1236.4062459619</v>
      </c>
      <c r="H46" s="114" t="n">
        <v>771.0709361806</v>
      </c>
      <c r="I46" s="114" t="n">
        <v>2106.0355415409</v>
      </c>
      <c r="J46" s="114" t="n">
        <v>27678.808036833</v>
      </c>
      <c r="K46" s="114" t="n">
        <v>8780.3505616085</v>
      </c>
      <c r="L46" s="114" t="n">
        <v>561.7207984262</v>
      </c>
      <c r="M46" s="114" t="n">
        <v>537.4955870327</v>
      </c>
      <c r="N46" s="114" t="n"/>
      <c r="O46" s="114" t="n">
        <v>22602.4155235399</v>
      </c>
      <c r="P46" s="114" t="n"/>
      <c r="Q46" s="114" t="n">
        <v>1807.6411504251</v>
      </c>
      <c r="R46" s="114" t="n">
        <v>1192.0052435359</v>
      </c>
    </row>
    <row r="47">
      <c r="C47" s="112" t="n">
        <v>40664</v>
      </c>
      <c r="D47" s="112" t="n">
        <v>40694</v>
      </c>
      <c r="E47" s="113" t="inlineStr">
        <is>
          <t>grid_u4lflnxf.xlsx</t>
        </is>
      </c>
      <c r="F47" s="114" t="n">
        <v>12498.0567318548</v>
      </c>
      <c r="G47" s="114" t="n">
        <v>1319.9249367674</v>
      </c>
      <c r="H47" s="114" t="n">
        <v>790.075864851</v>
      </c>
      <c r="I47" s="114" t="n">
        <v>2435.7213562732</v>
      </c>
      <c r="J47" s="114" t="n">
        <v>26793.3038270447</v>
      </c>
      <c r="K47" s="114" t="n">
        <v>8103.5484130568</v>
      </c>
      <c r="L47" s="114" t="n">
        <v>553.0475275191</v>
      </c>
      <c r="M47" s="114" t="n">
        <v>520.8882852085</v>
      </c>
      <c r="N47" s="114" t="n"/>
      <c r="O47" s="114" t="n">
        <v>21850.6332452895</v>
      </c>
      <c r="P47" s="114" t="n"/>
      <c r="Q47" s="114" t="n">
        <v>1752.0980053611</v>
      </c>
      <c r="R47" s="114" t="n">
        <v>1139.2069275141</v>
      </c>
    </row>
    <row r="48">
      <c r="C48" s="112" t="n">
        <v>40695</v>
      </c>
      <c r="D48" s="112" t="n">
        <v>40724</v>
      </c>
      <c r="E48" s="113" t="inlineStr">
        <is>
          <t>grid_u4lflnxf.xlsx</t>
        </is>
      </c>
      <c r="F48" s="114" t="n">
        <v>13424.2893837919</v>
      </c>
      <c r="G48" s="114" t="n">
        <v>2389.7870647694</v>
      </c>
      <c r="H48" s="114" t="n">
        <v>787.4419924644</v>
      </c>
      <c r="I48" s="114" t="n">
        <v>2510.4603908635</v>
      </c>
      <c r="J48" s="114" t="n">
        <v>28449.1181149492</v>
      </c>
      <c r="K48" s="114" t="n">
        <v>9452.637213354399</v>
      </c>
      <c r="L48" s="114" t="n">
        <v>525.4246025792</v>
      </c>
      <c r="M48" s="114" t="n">
        <v>515.0624623386</v>
      </c>
      <c r="N48" s="114" t="n"/>
      <c r="O48" s="114" t="n">
        <v>22756.2240533617</v>
      </c>
      <c r="P48" s="114" t="n"/>
      <c r="Q48" s="114" t="n">
        <v>1795.0593674208</v>
      </c>
      <c r="R48" s="114" t="n">
        <v>921.371915574</v>
      </c>
    </row>
    <row r="49">
      <c r="C49" s="112" t="n">
        <v>40725</v>
      </c>
      <c r="D49" s="112" t="n">
        <v>40753</v>
      </c>
      <c r="E49" s="113" t="inlineStr">
        <is>
          <t>grid_u4lflnxf.xlsx</t>
        </is>
      </c>
      <c r="F49" s="114" t="n">
        <v>14082.4292593319</v>
      </c>
      <c r="G49" s="114" t="n">
        <v>2929.4215102342</v>
      </c>
      <c r="H49" s="114" t="n">
        <v>786.7087112514999</v>
      </c>
      <c r="I49" s="114" t="n">
        <v>2490.1949147087</v>
      </c>
      <c r="J49" s="114" t="n">
        <v>29939.8687573529</v>
      </c>
      <c r="K49" s="114" t="n">
        <v>9316.5435544272</v>
      </c>
      <c r="L49" s="114" t="n">
        <v>545.8681822075999</v>
      </c>
      <c r="M49" s="114" t="n">
        <v>494.3743968192</v>
      </c>
      <c r="N49" s="114" t="n"/>
      <c r="O49" s="114" t="n">
        <v>23901.6559763312</v>
      </c>
      <c r="P49" s="114" t="n"/>
      <c r="Q49" s="114" t="n">
        <v>1759.9508968575</v>
      </c>
      <c r="R49" s="114" t="n">
        <v>847.7228396374001</v>
      </c>
    </row>
    <row r="50">
      <c r="C50" s="112" t="n">
        <v>40756</v>
      </c>
      <c r="D50" s="112" t="n">
        <v>40786</v>
      </c>
      <c r="E50" s="113" t="inlineStr">
        <is>
          <t>grid_u4lflnxf.xlsx</t>
        </is>
      </c>
      <c r="F50" s="114" t="n">
        <v>13480.6643563939</v>
      </c>
      <c r="G50" s="114" t="n">
        <v>2994.2119113416</v>
      </c>
      <c r="H50" s="114" t="n">
        <v>768.6649492088</v>
      </c>
      <c r="I50" s="114" t="n">
        <v>2898.5980283492</v>
      </c>
      <c r="J50" s="114" t="n">
        <v>31037.4498452394</v>
      </c>
      <c r="K50" s="114" t="n">
        <v>9078.794875510701</v>
      </c>
      <c r="L50" s="114" t="n">
        <v>438.4706773333</v>
      </c>
      <c r="M50" s="114" t="n">
        <v>491.5584673562</v>
      </c>
      <c r="N50" s="114" t="n"/>
      <c r="O50" s="114" t="n">
        <v>22698.7036046967</v>
      </c>
      <c r="P50" s="114" t="n"/>
      <c r="Q50" s="114" t="n">
        <v>1807.9884465755</v>
      </c>
      <c r="R50" s="114" t="n">
        <v>826.0067197808</v>
      </c>
    </row>
    <row r="51">
      <c r="C51" s="112" t="n">
        <v>40787</v>
      </c>
      <c r="D51" s="112" t="n">
        <v>40816</v>
      </c>
      <c r="E51" s="113" t="inlineStr">
        <is>
          <t>grid_u4lflnxf.xlsx</t>
        </is>
      </c>
      <c r="F51" s="114" t="n">
        <v>13359.1834293639</v>
      </c>
      <c r="G51" s="114" t="n">
        <v>2948.7514387733</v>
      </c>
      <c r="H51" s="114" t="n">
        <v>762.2980051366</v>
      </c>
      <c r="I51" s="114" t="n">
        <v>3004.3038723871</v>
      </c>
      <c r="J51" s="114" t="n">
        <v>28543.0045469092</v>
      </c>
      <c r="K51" s="114" t="n">
        <v>9527.146913074301</v>
      </c>
      <c r="L51" s="114" t="n">
        <v>403.3323367869</v>
      </c>
      <c r="M51" s="114" t="n">
        <v>472.1628707411</v>
      </c>
      <c r="N51" s="114" t="n"/>
      <c r="O51" s="114" t="n">
        <v>21510.8729959273</v>
      </c>
      <c r="P51" s="114" t="n">
        <v>460.5195633661</v>
      </c>
      <c r="Q51" s="114" t="n">
        <v>1855.7691537075</v>
      </c>
      <c r="R51" s="114" t="n">
        <v>872.9549825486999</v>
      </c>
    </row>
    <row r="52">
      <c r="C52" s="112" t="n">
        <v>40817</v>
      </c>
      <c r="D52" s="112" t="n">
        <v>40847</v>
      </c>
      <c r="E52" s="113" t="inlineStr">
        <is>
          <t>grid_u4lflnxf.xlsx</t>
        </is>
      </c>
      <c r="F52" s="114" t="n">
        <v>12887.0678723443</v>
      </c>
      <c r="G52" s="114" t="n">
        <v>2977.0701891964</v>
      </c>
      <c r="H52" s="114" t="n">
        <v>752.1318277939999</v>
      </c>
      <c r="I52" s="114" t="n">
        <v>2899.0165610773</v>
      </c>
      <c r="J52" s="114" t="n">
        <v>26850.8698277753</v>
      </c>
      <c r="K52" s="114" t="n">
        <v>9437.524090057001</v>
      </c>
      <c r="L52" s="114" t="n">
        <v>383.61716</v>
      </c>
      <c r="M52" s="114" t="n">
        <v>466.6707162304</v>
      </c>
      <c r="N52" s="114" t="n"/>
      <c r="O52" s="114" t="n">
        <v>20890.4847280369</v>
      </c>
      <c r="P52" s="114" t="n">
        <v>475.9303413333</v>
      </c>
      <c r="Q52" s="114" t="n">
        <v>1821.7665095419</v>
      </c>
      <c r="R52" s="114" t="n">
        <v>876.1319132994</v>
      </c>
    </row>
    <row r="53">
      <c r="C53" s="112" t="n">
        <v>40848</v>
      </c>
      <c r="D53" s="112" t="n">
        <v>40877</v>
      </c>
      <c r="E53" s="113" t="inlineStr">
        <is>
          <t>grid_u4lflnxf.xlsx</t>
        </is>
      </c>
      <c r="F53" s="114" t="n">
        <v>13114.066429376</v>
      </c>
      <c r="G53" s="114" t="n">
        <v>3089.3268573958</v>
      </c>
      <c r="H53" s="114" t="n">
        <v>766.4121137702</v>
      </c>
      <c r="I53" s="114" t="n">
        <v>2909.4205591021</v>
      </c>
      <c r="J53" s="114" t="n">
        <v>27913.4061246393</v>
      </c>
      <c r="K53" s="114" t="n">
        <v>9473.346757596801</v>
      </c>
      <c r="L53" s="114" t="n">
        <v>292.5145780328</v>
      </c>
      <c r="M53" s="114" t="n">
        <v>498.0255014364</v>
      </c>
      <c r="N53" s="114" t="n"/>
      <c r="O53" s="114" t="n">
        <v>20853.4362033576</v>
      </c>
      <c r="P53" s="114" t="n">
        <v>485.3912752787</v>
      </c>
      <c r="Q53" s="114" t="n">
        <v>1773.694406585</v>
      </c>
      <c r="R53" s="114" t="n">
        <v>935.7966939423</v>
      </c>
    </row>
    <row r="54">
      <c r="C54" s="112" t="n">
        <v>40878</v>
      </c>
      <c r="D54" s="112" t="n">
        <v>40907</v>
      </c>
      <c r="E54" s="113" t="inlineStr">
        <is>
          <t>grid_u4lflnxf.xlsx</t>
        </is>
      </c>
      <c r="F54" s="114" t="n">
        <v>12652.2355261844</v>
      </c>
      <c r="G54" s="114" t="n">
        <v>3118.0787084255</v>
      </c>
      <c r="H54" s="114" t="n">
        <v>825.7391919043</v>
      </c>
      <c r="I54" s="114" t="n">
        <v>3072.8995088738</v>
      </c>
      <c r="J54" s="114" t="n">
        <v>27142.8586176216</v>
      </c>
      <c r="K54" s="114" t="n">
        <v>9585.314152709099</v>
      </c>
      <c r="L54" s="114" t="n">
        <v>293.7991712295</v>
      </c>
      <c r="M54" s="114" t="n">
        <v>537.6127846518</v>
      </c>
      <c r="N54" s="114" t="n"/>
      <c r="O54" s="114" t="n">
        <v>19816.882645873</v>
      </c>
      <c r="P54" s="114" t="n">
        <v>485.7447106448</v>
      </c>
      <c r="Q54" s="114" t="n">
        <v>1776.3334837085</v>
      </c>
      <c r="R54" s="114" t="n">
        <v>947.7228499073</v>
      </c>
    </row>
    <row r="55">
      <c r="C55" s="112" t="n">
        <v>40909</v>
      </c>
      <c r="D55" s="112" t="n">
        <v>40939</v>
      </c>
      <c r="E55" s="113" t="inlineStr">
        <is>
          <t>grid_u4lflnxf.xlsx</t>
        </is>
      </c>
      <c r="F55" s="114" t="n">
        <v>11926.744740175</v>
      </c>
      <c r="G55" s="114" t="n">
        <v>2908.9099426677</v>
      </c>
      <c r="H55" s="114" t="n">
        <v>732.4313504667</v>
      </c>
      <c r="I55" s="114" t="n">
        <v>3225.8924329365</v>
      </c>
      <c r="J55" s="114" t="n">
        <v>26838.6281662673</v>
      </c>
      <c r="K55" s="114" t="n">
        <v>9646.2865666956</v>
      </c>
      <c r="L55" s="114" t="n">
        <v>310.0059637459</v>
      </c>
      <c r="M55" s="114" t="n">
        <v>516.6192959876</v>
      </c>
      <c r="N55" s="114" t="n"/>
      <c r="O55" s="114" t="n">
        <v>19404.5594182098</v>
      </c>
      <c r="P55" s="114" t="n">
        <v>486.6882275068</v>
      </c>
      <c r="Q55" s="114" t="n">
        <v>1805.4297649589</v>
      </c>
      <c r="R55" s="114" t="n">
        <v>935.7372489183</v>
      </c>
    </row>
    <row r="56">
      <c r="C56" s="112" t="n">
        <v>40940</v>
      </c>
      <c r="D56" s="112" t="n">
        <v>40968</v>
      </c>
      <c r="E56" s="113" t="inlineStr">
        <is>
          <t>grid_u4lflnxf.xlsx</t>
        </is>
      </c>
      <c r="F56" s="114" t="n">
        <v>10690.2097017882</v>
      </c>
      <c r="G56" s="114" t="n">
        <v>2889.3263111715</v>
      </c>
      <c r="H56" s="114" t="n">
        <v>702.847124523</v>
      </c>
      <c r="I56" s="114" t="n">
        <v>3167.9589913369</v>
      </c>
      <c r="J56" s="114" t="n">
        <v>24956.1722412991</v>
      </c>
      <c r="K56" s="114" t="n">
        <v>9593.8834497402</v>
      </c>
      <c r="L56" s="114" t="n">
        <v>319.1129456323</v>
      </c>
      <c r="M56" s="114" t="n">
        <v>521.6193512906</v>
      </c>
      <c r="N56" s="114" t="n"/>
      <c r="O56" s="114" t="n">
        <v>16928.6943933842</v>
      </c>
      <c r="P56" s="114" t="n">
        <v>495.145517589</v>
      </c>
      <c r="Q56" s="114" t="n">
        <v>1838.027807418</v>
      </c>
      <c r="R56" s="114" t="n">
        <v>965.9885148848</v>
      </c>
    </row>
    <row r="57">
      <c r="C57" s="112" t="n">
        <v>40969</v>
      </c>
      <c r="D57" s="112" t="n">
        <v>40998</v>
      </c>
      <c r="E57" s="113" t="inlineStr">
        <is>
          <t>grid_u4lflnxf.xlsx</t>
        </is>
      </c>
      <c r="F57" s="114" t="n">
        <v>10556.6456148429</v>
      </c>
      <c r="G57" s="114" t="n">
        <v>2931.2008005143</v>
      </c>
      <c r="H57" s="114" t="n">
        <v>702.3997653921</v>
      </c>
      <c r="I57" s="114" t="n">
        <v>3372.5555504163</v>
      </c>
      <c r="J57" s="114" t="n">
        <v>25459.2782226215</v>
      </c>
      <c r="K57" s="114" t="n">
        <v>9669.894413981399</v>
      </c>
      <c r="L57" s="114" t="n">
        <v>321.6138760697</v>
      </c>
      <c r="M57" s="114" t="n">
        <v>568.5961008173</v>
      </c>
      <c r="N57" s="114" t="n"/>
      <c r="O57" s="114" t="n">
        <v>16516.6653132999</v>
      </c>
      <c r="P57" s="114" t="n">
        <v>508.2415005808</v>
      </c>
      <c r="Q57" s="114" t="n">
        <v>1820.2239652472</v>
      </c>
      <c r="R57" s="114" t="n">
        <v>989.9978206137</v>
      </c>
    </row>
    <row r="58">
      <c r="C58" s="112" t="n">
        <v>41000</v>
      </c>
      <c r="D58" s="112" t="n">
        <v>41029</v>
      </c>
      <c r="E58" s="113" t="inlineStr">
        <is>
          <t>grid_u4lflnxf.xlsx</t>
        </is>
      </c>
      <c r="F58" s="114" t="n">
        <v>10530.9039228188</v>
      </c>
      <c r="G58" s="114" t="n">
        <v>2191.1385106592</v>
      </c>
      <c r="H58" s="114" t="n">
        <v>677.6007227319</v>
      </c>
      <c r="I58" s="114" t="n">
        <v>3424.301090892</v>
      </c>
      <c r="J58" s="114" t="n">
        <v>25130.9387485097</v>
      </c>
      <c r="K58" s="114" t="n">
        <v>9292.8961006017</v>
      </c>
      <c r="L58" s="114" t="n">
        <v>331.5316759832</v>
      </c>
      <c r="M58" s="114" t="n">
        <v>605.5455763733</v>
      </c>
      <c r="N58" s="114" t="n"/>
      <c r="O58" s="114" t="n">
        <v>16770.3474280973</v>
      </c>
      <c r="P58" s="114" t="n">
        <v>499.7701834521</v>
      </c>
      <c r="Q58" s="114" t="n">
        <v>1928.7015057533</v>
      </c>
      <c r="R58" s="114" t="n">
        <v>980.56302797</v>
      </c>
    </row>
    <row r="59">
      <c r="C59" s="112" t="n">
        <v>41030</v>
      </c>
      <c r="D59" s="112" t="n">
        <v>41060</v>
      </c>
      <c r="E59" s="113" t="inlineStr">
        <is>
          <t>grid_u4lflnxf.xlsx</t>
        </is>
      </c>
      <c r="F59" s="114" t="n">
        <v>11208.6571100341</v>
      </c>
      <c r="G59" s="114" t="n">
        <v>2245.8628879568</v>
      </c>
      <c r="H59" s="114" t="n">
        <v>648.2209387212</v>
      </c>
      <c r="I59" s="114" t="n">
        <v>3542.586994377</v>
      </c>
      <c r="J59" s="114" t="n">
        <v>26335.9323365328</v>
      </c>
      <c r="K59" s="114" t="n">
        <v>9753.821357917101</v>
      </c>
      <c r="L59" s="114" t="n">
        <v>304.4573313572</v>
      </c>
      <c r="M59" s="114" t="n">
        <v>627.3679257466</v>
      </c>
      <c r="N59" s="114" t="n"/>
      <c r="O59" s="114" t="n">
        <v>18261.9091363536</v>
      </c>
      <c r="P59" s="114" t="n">
        <v>508.7625258082</v>
      </c>
      <c r="Q59" s="114" t="n">
        <v>1947.3732744071</v>
      </c>
      <c r="R59" s="114" t="n">
        <v>1088.3169906209</v>
      </c>
    </row>
    <row r="60">
      <c r="C60" s="112" t="n">
        <v>41061</v>
      </c>
      <c r="D60" s="112" t="n">
        <v>41089</v>
      </c>
      <c r="E60" s="113" t="inlineStr">
        <is>
          <t>grid_u4lflnxf.xlsx</t>
        </is>
      </c>
      <c r="F60" s="114" t="n">
        <v>11266.0398633244</v>
      </c>
      <c r="G60" s="114" t="n">
        <v>2193.8774464956</v>
      </c>
      <c r="H60" s="114" t="n">
        <v>606.0499594459</v>
      </c>
      <c r="I60" s="114" t="n">
        <v>3484.3771867662</v>
      </c>
      <c r="J60" s="114" t="n">
        <v>28665.6245906013</v>
      </c>
      <c r="K60" s="114" t="n">
        <v>9520.516737797399</v>
      </c>
      <c r="L60" s="114" t="n">
        <v>304.4701727359</v>
      </c>
      <c r="M60" s="114" t="n">
        <v>634.5962224384</v>
      </c>
      <c r="N60" s="114" t="n"/>
      <c r="O60" s="114" t="n">
        <v>19056.9440499983</v>
      </c>
      <c r="P60" s="114" t="n">
        <v>522.4744933699</v>
      </c>
      <c r="Q60" s="114" t="n">
        <v>1949.2126297439</v>
      </c>
      <c r="R60" s="114" t="n">
        <v>1210.8091897124</v>
      </c>
    </row>
    <row r="61">
      <c r="C61" s="112" t="n">
        <v>41091</v>
      </c>
      <c r="D61" s="112" t="n">
        <v>41121</v>
      </c>
      <c r="E61" s="113" t="inlineStr">
        <is>
          <t>grid_u4lflnxf.xlsx</t>
        </is>
      </c>
      <c r="F61" s="114" t="n">
        <v>10632.0735664755</v>
      </c>
      <c r="G61" s="114" t="n">
        <v>2073.6007834344</v>
      </c>
      <c r="H61" s="114" t="n">
        <v>575.4531073831</v>
      </c>
      <c r="I61" s="114" t="n">
        <v>3460.7078492711</v>
      </c>
      <c r="J61" s="114" t="n">
        <v>28941.7036795952</v>
      </c>
      <c r="K61" s="114" t="n">
        <v>9447.5691956875</v>
      </c>
      <c r="L61" s="114" t="n">
        <v>314.1027579228</v>
      </c>
      <c r="M61" s="114" t="n">
        <v>621.2165973102</v>
      </c>
      <c r="N61" s="114" t="n"/>
      <c r="O61" s="114" t="n">
        <v>16550.5467700511</v>
      </c>
      <c r="P61" s="114" t="n">
        <v>495.2098428493</v>
      </c>
      <c r="Q61" s="114" t="n">
        <v>2019.2053152152</v>
      </c>
      <c r="R61" s="114" t="n">
        <v>1202.328842561</v>
      </c>
    </row>
    <row r="62">
      <c r="C62" s="112" t="n">
        <v>41122</v>
      </c>
      <c r="D62" s="112" t="n">
        <v>41152</v>
      </c>
      <c r="E62" s="113" t="inlineStr">
        <is>
          <t>grid_u4lflnxf.xlsx</t>
        </is>
      </c>
      <c r="F62" s="114" t="n">
        <v>10076.8460311019</v>
      </c>
      <c r="G62" s="114" t="n">
        <v>2040.0224317226</v>
      </c>
      <c r="H62" s="114" t="n">
        <v>512.826237977</v>
      </c>
      <c r="I62" s="114" t="n">
        <v>3321.323870976</v>
      </c>
      <c r="J62" s="114" t="n">
        <v>28081.1021458037</v>
      </c>
      <c r="K62" s="114" t="n">
        <v>9605.4210955242</v>
      </c>
      <c r="L62" s="114" t="n">
        <v>309.6026801545</v>
      </c>
      <c r="M62" s="114" t="n">
        <v>617.0288215231</v>
      </c>
      <c r="N62" s="114" t="n"/>
      <c r="O62" s="114" t="n">
        <v>14858.3270310621</v>
      </c>
      <c r="P62" s="114" t="n">
        <v>536.0638379836</v>
      </c>
      <c r="Q62" s="114" t="n">
        <v>2057.5545853049</v>
      </c>
      <c r="R62" s="114" t="n">
        <v>1212.2335743693</v>
      </c>
    </row>
    <row r="63">
      <c r="C63" s="112" t="n">
        <v>41153</v>
      </c>
      <c r="D63" s="112" t="n">
        <v>41180</v>
      </c>
      <c r="E63" s="113" t="inlineStr">
        <is>
          <t>grid_u4lflnxf.xlsx</t>
        </is>
      </c>
      <c r="F63" s="114" t="n">
        <v>9786.275432270801</v>
      </c>
      <c r="G63" s="114" t="n">
        <v>2019.7029000117</v>
      </c>
      <c r="H63" s="114" t="n">
        <v>494.7069129044</v>
      </c>
      <c r="I63" s="114" t="n">
        <v>3565.4871638252</v>
      </c>
      <c r="J63" s="114" t="n">
        <v>24122.8196027727</v>
      </c>
      <c r="K63" s="114" t="n">
        <v>9009.0730719903</v>
      </c>
      <c r="L63" s="114" t="n">
        <v>321.2284057989</v>
      </c>
      <c r="M63" s="114" t="n">
        <v>611.6576914426</v>
      </c>
      <c r="N63" s="114" t="n"/>
      <c r="O63" s="114" t="n">
        <v>13508.9680288745</v>
      </c>
      <c r="P63" s="114" t="n">
        <v>531.4847659836</v>
      </c>
      <c r="Q63" s="114" t="n">
        <v>1879.5766550803</v>
      </c>
      <c r="R63" s="114" t="n">
        <v>523.5809504438</v>
      </c>
    </row>
    <row r="64">
      <c r="C64" s="112" t="n">
        <v>41183</v>
      </c>
      <c r="D64" s="112" t="n">
        <v>41213</v>
      </c>
      <c r="E64" s="113" t="inlineStr">
        <is>
          <t>grid_u4lflnxf.xlsx</t>
        </is>
      </c>
      <c r="F64" s="114" t="n">
        <v>9497.0199476158</v>
      </c>
      <c r="G64" s="114" t="n">
        <v>2076.6676887866</v>
      </c>
      <c r="H64" s="114" t="n">
        <v>491.3008075197</v>
      </c>
      <c r="I64" s="114" t="n">
        <v>3776.8462276617</v>
      </c>
      <c r="J64" s="114" t="n">
        <v>24746.3216834776</v>
      </c>
      <c r="K64" s="114" t="n">
        <v>8833.297366679401</v>
      </c>
      <c r="L64" s="114" t="n">
        <v>330.0121246723</v>
      </c>
      <c r="M64" s="114" t="n">
        <v>654.6084797295</v>
      </c>
      <c r="N64" s="114" t="n"/>
      <c r="O64" s="114" t="n">
        <v>12741.1508552738</v>
      </c>
      <c r="P64" s="114" t="n">
        <v>550.4699807562</v>
      </c>
      <c r="Q64" s="114" t="n">
        <v>1915.7295621137</v>
      </c>
      <c r="R64" s="114" t="n">
        <v>534.0000747836</v>
      </c>
    </row>
    <row r="65">
      <c r="C65" s="112" t="n">
        <v>41214</v>
      </c>
      <c r="D65" s="112" t="n">
        <v>41243</v>
      </c>
      <c r="E65" s="113" t="inlineStr">
        <is>
          <t>grid_u4lflnxf.xlsx</t>
        </is>
      </c>
      <c r="F65" s="114" t="n">
        <v>9098.057641432701</v>
      </c>
      <c r="G65" s="114" t="n">
        <v>2120.7030596364</v>
      </c>
      <c r="H65" s="114" t="n">
        <v>489.5548022528</v>
      </c>
      <c r="I65" s="114" t="n">
        <v>3812.7252148568</v>
      </c>
      <c r="J65" s="114" t="n">
        <v>24043.5654353837</v>
      </c>
      <c r="K65" s="114" t="n">
        <v>8877.659178886899</v>
      </c>
      <c r="L65" s="114" t="n">
        <v>342.0314652834</v>
      </c>
      <c r="M65" s="114" t="n">
        <v>670.1346016697</v>
      </c>
      <c r="N65" s="114" t="n"/>
      <c r="O65" s="114" t="n">
        <v>12431.3268556299</v>
      </c>
      <c r="P65" s="114" t="n">
        <v>564.6154920329</v>
      </c>
      <c r="Q65" s="114" t="n">
        <v>1474.1588906973</v>
      </c>
      <c r="R65" s="114" t="n">
        <v>544.8751417863</v>
      </c>
    </row>
    <row r="66">
      <c r="C66" s="112" t="n">
        <v>41244</v>
      </c>
      <c r="D66" s="112" t="n">
        <v>41274</v>
      </c>
      <c r="E66" s="113" t="inlineStr">
        <is>
          <t>grid_u4lflnxf.xlsx</t>
        </is>
      </c>
      <c r="F66" s="114" t="n">
        <v>9301.8568644363</v>
      </c>
      <c r="G66" s="114" t="n">
        <v>2134.2832308123</v>
      </c>
      <c r="H66" s="114" t="n">
        <v>492.7488605359</v>
      </c>
      <c r="I66" s="114" t="n">
        <v>3868.3884340718</v>
      </c>
      <c r="J66" s="114" t="n">
        <v>24629.2664472646</v>
      </c>
      <c r="K66" s="114" t="n">
        <v>8987.1072175709</v>
      </c>
      <c r="L66" s="114" t="n">
        <v>365.3233877891</v>
      </c>
      <c r="M66" s="114" t="n">
        <v>666.1292039095</v>
      </c>
      <c r="N66" s="114" t="n"/>
      <c r="O66" s="114" t="n">
        <v>12747.4096102477</v>
      </c>
      <c r="P66" s="114" t="n">
        <v>576.286016</v>
      </c>
      <c r="Q66" s="114" t="n">
        <v>1478.4958756012</v>
      </c>
      <c r="R66" s="114" t="n">
        <v>564.7779839999999</v>
      </c>
    </row>
    <row r="67">
      <c r="C67" s="112" t="n">
        <v>41275</v>
      </c>
      <c r="D67" s="112" t="n">
        <v>41305</v>
      </c>
      <c r="E67" s="113" t="inlineStr">
        <is>
          <t>grid_u4lflnxf.xlsx</t>
        </is>
      </c>
      <c r="F67" s="114" t="n">
        <v>8721.868240060699</v>
      </c>
      <c r="G67" s="114" t="n">
        <v>2078.1901142644</v>
      </c>
      <c r="H67" s="114" t="n">
        <v>500.2834897288</v>
      </c>
      <c r="I67" s="114" t="n">
        <v>4027.6209073705</v>
      </c>
      <c r="J67" s="114" t="n">
        <v>23926.6760853625</v>
      </c>
      <c r="K67" s="114" t="n">
        <v>8867.9089228475</v>
      </c>
      <c r="L67" s="114" t="n">
        <v>355.9095751728</v>
      </c>
      <c r="M67" s="114" t="n">
        <v>712.1489647819</v>
      </c>
      <c r="N67" s="114" t="n"/>
      <c r="O67" s="114" t="n">
        <v>11691.6710856971</v>
      </c>
      <c r="P67" s="114" t="n">
        <v>584.341791737</v>
      </c>
      <c r="Q67" s="114" t="n">
        <v>1239.6142553002</v>
      </c>
      <c r="R67" s="114" t="n">
        <v>572.3670703342</v>
      </c>
    </row>
    <row r="68">
      <c r="C68" s="112" t="n">
        <v>41306</v>
      </c>
      <c r="D68" s="112" t="n">
        <v>41333</v>
      </c>
      <c r="E68" s="113" t="inlineStr">
        <is>
          <t>grid_u4lflnxf.xlsx</t>
        </is>
      </c>
      <c r="F68" s="114" t="n">
        <v>8564.557840721</v>
      </c>
      <c r="G68" s="114" t="n">
        <v>2220.528215696</v>
      </c>
      <c r="H68" s="114" t="n">
        <v>483.7263884316</v>
      </c>
      <c r="I68" s="114" t="n">
        <v>4041.2124178934</v>
      </c>
      <c r="J68" s="114" t="n">
        <v>22734.3726385664</v>
      </c>
      <c r="K68" s="114" t="n">
        <v>8907.1813379542</v>
      </c>
      <c r="L68" s="114" t="n">
        <v>363.6386505006</v>
      </c>
      <c r="M68" s="114" t="n">
        <v>733.5962430722</v>
      </c>
      <c r="N68" s="114" t="n"/>
      <c r="O68" s="114" t="n">
        <v>12533.5395645364</v>
      </c>
      <c r="P68" s="114" t="n">
        <v>594.9695768548</v>
      </c>
      <c r="Q68" s="114" t="n">
        <v>1438.0107935126</v>
      </c>
      <c r="R68" s="114" t="n">
        <v>583.8380943781</v>
      </c>
    </row>
    <row r="69">
      <c r="C69" s="112" t="n">
        <v>41334</v>
      </c>
      <c r="D69" s="112" t="n">
        <v>41362</v>
      </c>
      <c r="E69" s="113" t="inlineStr">
        <is>
          <t>grid_u4lflnxf.xlsx</t>
        </is>
      </c>
      <c r="F69" s="114" t="n">
        <v>8834.0013893503</v>
      </c>
      <c r="G69" s="114" t="n">
        <v>2256.9896204269</v>
      </c>
      <c r="H69" s="114" t="n">
        <v>472.8572692698</v>
      </c>
      <c r="I69" s="114" t="n">
        <v>4078.4525157374</v>
      </c>
      <c r="J69" s="114" t="n">
        <v>25614.5324675052</v>
      </c>
      <c r="K69" s="114" t="n">
        <v>9131.3181471644</v>
      </c>
      <c r="L69" s="114" t="n">
        <v>365.0175160492</v>
      </c>
      <c r="M69" s="114" t="n">
        <v>761.8826294056</v>
      </c>
      <c r="N69" s="114" t="n"/>
      <c r="O69" s="114" t="n">
        <v>11757.7461652514</v>
      </c>
      <c r="P69" s="114" t="n">
        <v>603.661562389</v>
      </c>
      <c r="Q69" s="114" t="n">
        <v>1488.5537806868</v>
      </c>
      <c r="R69" s="114" t="n">
        <v>584.6712214795</v>
      </c>
    </row>
    <row r="70">
      <c r="C70" s="112" t="n">
        <v>41365</v>
      </c>
      <c r="D70" s="112" t="n">
        <v>41394</v>
      </c>
      <c r="E70" s="113" t="inlineStr">
        <is>
          <t>grid_u4lflnxf.xlsx</t>
        </is>
      </c>
      <c r="F70" s="114" t="n">
        <v>9500.255526634401</v>
      </c>
      <c r="G70" s="114" t="n">
        <v>2338.6433455496</v>
      </c>
      <c r="H70" s="114" t="n">
        <v>471.0635716292</v>
      </c>
      <c r="I70" s="114" t="n">
        <v>4028.9634886273</v>
      </c>
      <c r="J70" s="114" t="n">
        <v>27708.3166242333</v>
      </c>
      <c r="K70" s="114" t="n">
        <v>9033.5613442413</v>
      </c>
      <c r="L70" s="114" t="n">
        <v>368.654327119</v>
      </c>
      <c r="M70" s="114" t="n">
        <v>770.8932431916</v>
      </c>
      <c r="N70" s="114" t="n"/>
      <c r="O70" s="114" t="n">
        <v>12221.9587316094</v>
      </c>
      <c r="P70" s="114" t="n">
        <v>625.8535504658</v>
      </c>
      <c r="Q70" s="114" t="n">
        <v>1451.7871584986</v>
      </c>
      <c r="R70" s="114" t="n">
        <v>590.1753372055</v>
      </c>
    </row>
    <row r="71">
      <c r="C71" s="112" t="n">
        <v>41395</v>
      </c>
      <c r="D71" s="112" t="n">
        <v>41425</v>
      </c>
      <c r="E71" s="113" t="inlineStr">
        <is>
          <t>grid_u4lflnxf.xlsx</t>
        </is>
      </c>
      <c r="F71" s="114" t="n">
        <v>9065.5175875768</v>
      </c>
      <c r="G71" s="114" t="n">
        <v>2187.3733693276</v>
      </c>
      <c r="H71" s="114" t="n">
        <v>410.7915235656</v>
      </c>
      <c r="I71" s="114" t="n">
        <v>3835.2336206894</v>
      </c>
      <c r="J71" s="114" t="n">
        <v>24667.149536862</v>
      </c>
      <c r="K71" s="114" t="n">
        <v>9443.5089783577</v>
      </c>
      <c r="L71" s="114" t="n">
        <v>362.7173266929</v>
      </c>
      <c r="M71" s="114" t="n">
        <v>820.6422467219001</v>
      </c>
      <c r="N71" s="114" t="n"/>
      <c r="O71" s="114" t="n">
        <v>11752.1107111209</v>
      </c>
      <c r="P71" s="114" t="n">
        <v>522.9467774578</v>
      </c>
      <c r="Q71" s="114" t="n">
        <v>1386.1759549246</v>
      </c>
      <c r="R71" s="114" t="n">
        <v>585.998867463</v>
      </c>
    </row>
    <row r="72">
      <c r="C72" s="112" t="n">
        <v>41426</v>
      </c>
      <c r="D72" s="112" t="n">
        <v>41453</v>
      </c>
      <c r="E72" s="113" t="inlineStr">
        <is>
          <t>grid_u4lflnxf.xlsx</t>
        </is>
      </c>
      <c r="F72" s="114" t="n">
        <v>8839.8019737839</v>
      </c>
      <c r="G72" s="114" t="n">
        <v>2180.4286953939</v>
      </c>
      <c r="H72" s="114" t="n">
        <v>431.7721243375</v>
      </c>
      <c r="I72" s="114" t="n">
        <v>4000.9288690379</v>
      </c>
      <c r="J72" s="114" t="n">
        <v>25703.1926968445</v>
      </c>
      <c r="K72" s="114" t="n">
        <v>9351.075053316299</v>
      </c>
      <c r="L72" s="114" t="n">
        <v>346.7067918402</v>
      </c>
      <c r="M72" s="114" t="n">
        <v>887.4316189195</v>
      </c>
      <c r="N72" s="114" t="n"/>
      <c r="O72" s="114" t="n">
        <v>11999.2722469657</v>
      </c>
      <c r="P72" s="114" t="n">
        <v>520.1135906039</v>
      </c>
      <c r="Q72" s="114" t="n">
        <v>1490.2990928503</v>
      </c>
      <c r="R72" s="114" t="n">
        <v>596.5340393205</v>
      </c>
    </row>
    <row r="73">
      <c r="C73" s="112" t="n">
        <v>41456</v>
      </c>
      <c r="D73" s="112" t="n">
        <v>41486</v>
      </c>
      <c r="E73" s="113" t="inlineStr">
        <is>
          <t>grid_u4lflnxf.xlsx</t>
        </is>
      </c>
      <c r="F73" s="114" t="n">
        <v>8638.2208788512</v>
      </c>
      <c r="G73" s="114" t="n">
        <v>2094.3018835893</v>
      </c>
      <c r="H73" s="114" t="n">
        <v>445.6313637991</v>
      </c>
      <c r="I73" s="114" t="n">
        <v>4181.2497094962</v>
      </c>
      <c r="J73" s="114" t="n">
        <v>24974.4183713068</v>
      </c>
      <c r="K73" s="114" t="n">
        <v>9343.4537147637</v>
      </c>
      <c r="L73" s="114" t="n">
        <v>359.0984878469</v>
      </c>
      <c r="M73" s="114" t="n">
        <v>862.4438740913</v>
      </c>
      <c r="N73" s="114" t="n"/>
      <c r="O73" s="114" t="n">
        <v>11546.9979740734</v>
      </c>
      <c r="P73" s="114" t="n">
        <v>497.3851313212</v>
      </c>
      <c r="Q73" s="114" t="n">
        <v>1497.1272791384</v>
      </c>
      <c r="R73" s="114" t="n">
        <v>579.7873902466</v>
      </c>
    </row>
    <row r="74">
      <c r="C74" s="112" t="n">
        <v>41487</v>
      </c>
      <c r="D74" s="112" t="n">
        <v>41516</v>
      </c>
      <c r="E74" s="113" t="inlineStr">
        <is>
          <t>grid_u4lflnxf.xlsx</t>
        </is>
      </c>
      <c r="F74" s="114" t="n">
        <v>8762.831273411501</v>
      </c>
      <c r="G74" s="114" t="n">
        <v>2130.4458969</v>
      </c>
      <c r="H74" s="114" t="n">
        <v>450.5176339959</v>
      </c>
      <c r="I74" s="114" t="n">
        <v>4202.7839698254</v>
      </c>
      <c r="J74" s="114" t="n">
        <v>28533.0969193723</v>
      </c>
      <c r="K74" s="114" t="n">
        <v>9405.3133664328</v>
      </c>
      <c r="L74" s="114" t="n">
        <v>361.7633262917</v>
      </c>
      <c r="M74" s="114" t="n">
        <v>811.0513916658</v>
      </c>
      <c r="N74" s="114" t="n"/>
      <c r="O74" s="114" t="n">
        <v>11099.5355012367</v>
      </c>
      <c r="P74" s="114" t="n">
        <v>498.1243909236</v>
      </c>
      <c r="Q74" s="114" t="n">
        <v>1434.417457186</v>
      </c>
      <c r="R74" s="114" t="n">
        <v>587.6580491397</v>
      </c>
    </row>
    <row r="75">
      <c r="C75" s="112" t="n">
        <v>41518</v>
      </c>
      <c r="D75" s="112" t="n">
        <v>41547</v>
      </c>
      <c r="E75" s="113" t="inlineStr">
        <is>
          <t>grid_u4lflnxf.xlsx</t>
        </is>
      </c>
      <c r="F75" s="114" t="n">
        <v>8556.5196115296</v>
      </c>
      <c r="G75" s="114" t="n">
        <v>1819.2841975912</v>
      </c>
      <c r="H75" s="114" t="n">
        <v>448.5617909639</v>
      </c>
      <c r="I75" s="114" t="n">
        <v>4179.5858057917</v>
      </c>
      <c r="J75" s="114" t="n">
        <v>23538.6862699703</v>
      </c>
      <c r="K75" s="114" t="n">
        <v>9583.5919754196</v>
      </c>
      <c r="L75" s="114" t="n">
        <v>375.7508343243</v>
      </c>
      <c r="M75" s="114" t="n">
        <v>777.7208881065</v>
      </c>
      <c r="N75" s="114" t="n"/>
      <c r="O75" s="114" t="n">
        <v>11767.3299107645</v>
      </c>
      <c r="P75" s="114" t="n">
        <v>508.0164345439</v>
      </c>
      <c r="Q75" s="114" t="n">
        <v>1482.533605963</v>
      </c>
      <c r="R75" s="114" t="n">
        <v>604.6098873863</v>
      </c>
    </row>
    <row r="76">
      <c r="C76" s="112" t="n">
        <v>41548</v>
      </c>
      <c r="D76" s="112" t="n">
        <v>41578</v>
      </c>
      <c r="E76" s="113" t="inlineStr">
        <is>
          <t>grid_u4lflnxf.xlsx</t>
        </is>
      </c>
      <c r="F76" s="114" t="n">
        <v>8664.923766604799</v>
      </c>
      <c r="G76" s="114" t="n">
        <v>1743.7489699416</v>
      </c>
      <c r="H76" s="114" t="n">
        <v>451.0040942718</v>
      </c>
      <c r="I76" s="114" t="n">
        <v>4285.0501436336</v>
      </c>
      <c r="J76" s="114" t="n">
        <v>24035.4780736236</v>
      </c>
      <c r="K76" s="114" t="n">
        <v>9697.002219595601</v>
      </c>
      <c r="L76" s="114" t="n">
        <v>386.0181280152</v>
      </c>
      <c r="M76" s="114" t="n">
        <v>795.3577684588</v>
      </c>
      <c r="N76" s="114" t="n"/>
      <c r="O76" s="114" t="n">
        <v>11330.4070557485</v>
      </c>
      <c r="P76" s="114" t="n">
        <v>489.6837839829</v>
      </c>
      <c r="Q76" s="114" t="n">
        <v>1480.8775236615</v>
      </c>
      <c r="R76" s="114" t="n">
        <v>576.5774265863</v>
      </c>
    </row>
    <row r="77">
      <c r="C77" s="112" t="n">
        <v>41579</v>
      </c>
      <c r="D77" s="112" t="n">
        <v>41607</v>
      </c>
      <c r="E77" s="113" t="inlineStr">
        <is>
          <t>grid_u4lflnxf.xlsx</t>
        </is>
      </c>
      <c r="F77" s="114" t="n">
        <v>9251.224139747899</v>
      </c>
      <c r="G77" s="114" t="n">
        <v>1669.831172512</v>
      </c>
      <c r="H77" s="114" t="n">
        <v>452.9724576136</v>
      </c>
      <c r="I77" s="114" t="n">
        <v>4547.1632789581</v>
      </c>
      <c r="J77" s="114" t="n">
        <v>29458.659328</v>
      </c>
      <c r="K77" s="114" t="n">
        <v>9762.853047835601</v>
      </c>
      <c r="L77" s="114" t="n">
        <v>389.1676215366</v>
      </c>
      <c r="M77" s="114" t="n">
        <v>836.7662567708001</v>
      </c>
      <c r="N77" s="114" t="n"/>
      <c r="O77" s="114" t="n">
        <v>12223.521234596</v>
      </c>
      <c r="P77" s="114" t="n">
        <v>498.3902654547</v>
      </c>
      <c r="Q77" s="114" t="n">
        <v>1486.7814653657</v>
      </c>
      <c r="R77" s="114" t="n">
        <v>570.3773801205</v>
      </c>
    </row>
    <row r="78">
      <c r="C78" s="112" t="n">
        <v>41609</v>
      </c>
      <c r="D78" s="112" t="n">
        <v>41639</v>
      </c>
      <c r="E78" s="113" t="inlineStr">
        <is>
          <t>grid_u4lflnxf.xlsx</t>
        </is>
      </c>
      <c r="F78" s="114" t="n">
        <v>9121.4767045524</v>
      </c>
      <c r="G78" s="114" t="n">
        <v>1656.5205863382</v>
      </c>
      <c r="H78" s="114" t="n">
        <v>427.956792038</v>
      </c>
      <c r="I78" s="114" t="n">
        <v>4627.1785643606</v>
      </c>
      <c r="J78" s="114" t="n">
        <v>30840.199168</v>
      </c>
      <c r="K78" s="114" t="n">
        <v>9853.0191125744</v>
      </c>
      <c r="L78" s="114" t="n">
        <v>370.1177205208</v>
      </c>
      <c r="M78" s="114" t="n">
        <v>841.273995525</v>
      </c>
      <c r="N78" s="114" t="n"/>
      <c r="O78" s="114" t="n">
        <v>11864.0310398074</v>
      </c>
      <c r="P78" s="114" t="n">
        <v>489.6129788538</v>
      </c>
      <c r="Q78" s="114" t="n">
        <v>1534.2181854245</v>
      </c>
      <c r="R78" s="114" t="n">
        <v>550.8999679999999</v>
      </c>
    </row>
    <row r="79">
      <c r="C79" s="112" t="n">
        <v>41640</v>
      </c>
      <c r="D79" s="112" t="n">
        <v>41670</v>
      </c>
      <c r="E79" s="113" t="inlineStr">
        <is>
          <t>grid_vtqvtw11.xlsx</t>
        </is>
      </c>
      <c r="F79" s="114" t="n">
        <v>10506.2989409663</v>
      </c>
      <c r="G79" s="114" t="n">
        <v>2217.0558954619</v>
      </c>
      <c r="H79" s="114" t="n">
        <v>544.8385351719</v>
      </c>
      <c r="I79" s="114" t="n">
        <v>6098.7104827689</v>
      </c>
      <c r="J79" s="114" t="n">
        <v>30005.7002657315</v>
      </c>
      <c r="K79" s="114" t="n">
        <v>10362.9416715802</v>
      </c>
      <c r="L79" s="114" t="n">
        <v>343.9345138931</v>
      </c>
      <c r="M79" s="114" t="n">
        <v>935.8736486291</v>
      </c>
      <c r="N79" s="114" t="n"/>
      <c r="O79" s="114" t="n">
        <v>15018.6781221746</v>
      </c>
      <c r="P79" s="114" t="n">
        <v>478.7313054443</v>
      </c>
      <c r="Q79" s="114" t="n">
        <v>1603.9574434008</v>
      </c>
      <c r="R79" s="114" t="n">
        <v>579.900032</v>
      </c>
    </row>
    <row r="80">
      <c r="C80" s="112" t="n">
        <v>41671</v>
      </c>
      <c r="D80" s="112" t="n">
        <v>41698</v>
      </c>
      <c r="E80" s="113" t="inlineStr">
        <is>
          <t>grid_vtqvtw11.xlsx</t>
        </is>
      </c>
      <c r="F80" s="114" t="n">
        <v>10482.9544789228</v>
      </c>
      <c r="G80" s="114" t="n">
        <v>2300.3766486163</v>
      </c>
      <c r="H80" s="114" t="n">
        <v>562.7980593323</v>
      </c>
      <c r="I80" s="114" t="n">
        <v>6356.0262866302</v>
      </c>
      <c r="J80" s="114" t="n">
        <v>29106.510373874</v>
      </c>
      <c r="K80" s="114" t="n">
        <v>10730.7931040729</v>
      </c>
      <c r="L80" s="114" t="n">
        <v>367.9751733775</v>
      </c>
      <c r="M80" s="114" t="n">
        <v>925.5430001999</v>
      </c>
      <c r="N80" s="114" t="n"/>
      <c r="O80" s="114" t="n">
        <v>15376.0576398182</v>
      </c>
      <c r="P80" s="114" t="n">
        <v>466.1257280754</v>
      </c>
      <c r="Q80" s="114" t="n">
        <v>1662.9233017543</v>
      </c>
      <c r="R80" s="114" t="n">
        <v>598.2841312437999</v>
      </c>
    </row>
    <row r="81">
      <c r="C81" s="112" t="n">
        <v>41699</v>
      </c>
      <c r="D81" s="112" t="n">
        <v>41729</v>
      </c>
      <c r="E81" s="113" t="inlineStr">
        <is>
          <t>grid_vtqvtw11.xlsx</t>
        </is>
      </c>
      <c r="F81" s="114" t="n">
        <v>10863.9912019571</v>
      </c>
      <c r="G81" s="114" t="n">
        <v>2366.3601855804</v>
      </c>
      <c r="H81" s="114" t="n">
        <v>574.3929835435</v>
      </c>
      <c r="I81" s="114" t="n">
        <v>6327.371621166</v>
      </c>
      <c r="J81" s="114" t="n">
        <v>30657.6193227397</v>
      </c>
      <c r="K81" s="114" t="n">
        <v>10844.8228729468</v>
      </c>
      <c r="L81" s="114" t="n">
        <v>389.1965056023</v>
      </c>
      <c r="M81" s="114" t="n">
        <v>926.1905581096</v>
      </c>
      <c r="N81" s="114" t="n"/>
      <c r="O81" s="114" t="n">
        <v>15761.2900745958</v>
      </c>
      <c r="P81" s="114" t="n">
        <v>449.0479385791</v>
      </c>
      <c r="Q81" s="114" t="n">
        <v>1621.8200856881</v>
      </c>
      <c r="R81" s="114" t="n">
        <v>638.0673955068</v>
      </c>
    </row>
    <row r="82">
      <c r="C82" s="112" t="n">
        <v>41730</v>
      </c>
      <c r="D82" s="112" t="n">
        <v>41759</v>
      </c>
      <c r="E82" s="113" t="inlineStr">
        <is>
          <t>grid_vtqvtw11.xlsx</t>
        </is>
      </c>
      <c r="F82" s="114" t="n">
        <v>10885.2706433431</v>
      </c>
      <c r="G82" s="114" t="n">
        <v>2481.8657394069</v>
      </c>
      <c r="H82" s="114" t="n">
        <v>606.8221968339</v>
      </c>
      <c r="I82" s="114" t="n">
        <v>6078.2468224603</v>
      </c>
      <c r="J82" s="114" t="n">
        <v>30669.2978323288</v>
      </c>
      <c r="K82" s="114" t="n">
        <v>10959.2250728488</v>
      </c>
      <c r="L82" s="114" t="n">
        <v>400.0020868126</v>
      </c>
      <c r="M82" s="114" t="n">
        <v>882.8342524257</v>
      </c>
      <c r="N82" s="114" t="n"/>
      <c r="O82" s="114" t="n">
        <v>15136.2516694793</v>
      </c>
      <c r="P82" s="114" t="n">
        <v>454.3254869148</v>
      </c>
      <c r="Q82" s="114" t="n">
        <v>1617.2054238197</v>
      </c>
      <c r="R82" s="114" t="n">
        <v>632.7287566026999</v>
      </c>
    </row>
    <row r="83">
      <c r="C83" s="112" t="n">
        <v>41760</v>
      </c>
      <c r="D83" s="112" t="n">
        <v>41789</v>
      </c>
      <c r="E83" s="113" t="inlineStr">
        <is>
          <t>grid_vtqvtw11.xlsx</t>
        </is>
      </c>
      <c r="F83" s="114" t="n">
        <v>11182.40257315</v>
      </c>
      <c r="G83" s="114" t="n">
        <v>2320.881941142</v>
      </c>
      <c r="H83" s="114" t="n">
        <v>776.387068045</v>
      </c>
      <c r="I83" s="114" t="n">
        <v>6958.0675949768</v>
      </c>
      <c r="J83" s="114" t="n">
        <v>29465.0029659178</v>
      </c>
      <c r="K83" s="114" t="n">
        <v>11576.8862615042</v>
      </c>
      <c r="L83" s="114" t="n">
        <v>419.9544362485</v>
      </c>
      <c r="M83" s="114" t="n">
        <v>1062.9503105065</v>
      </c>
      <c r="N83" s="114" t="n"/>
      <c r="O83" s="114" t="n">
        <v>15189.5957193358</v>
      </c>
      <c r="P83" s="114" t="n">
        <v>460.288424968</v>
      </c>
      <c r="Q83" s="114" t="n">
        <v>1680.9332855544</v>
      </c>
      <c r="R83" s="114" t="n">
        <v>621.5219498082</v>
      </c>
    </row>
    <row r="84">
      <c r="C84" s="112" t="n">
        <v>41791</v>
      </c>
      <c r="D84" s="112" t="n">
        <v>41820</v>
      </c>
      <c r="E84" s="113" t="inlineStr">
        <is>
          <t>grid_vtqvtw11.xlsx</t>
        </is>
      </c>
      <c r="F84" s="114" t="n">
        <v>11057.4390682972</v>
      </c>
      <c r="G84" s="114" t="n">
        <v>2242.8833558709</v>
      </c>
      <c r="H84" s="114" t="n">
        <v>785.8531081201</v>
      </c>
      <c r="I84" s="114" t="n">
        <v>6873.0722207775</v>
      </c>
      <c r="J84" s="114" t="n">
        <v>29770.9642794082</v>
      </c>
      <c r="K84" s="114" t="n">
        <v>11532.1500530231</v>
      </c>
      <c r="L84" s="114" t="n">
        <v>437.7315750285</v>
      </c>
      <c r="M84" s="114" t="n">
        <v>1068.0072689881</v>
      </c>
      <c r="N84" s="114" t="n"/>
      <c r="O84" s="114" t="n">
        <v>14246.6447168459</v>
      </c>
      <c r="P84" s="114" t="n">
        <v>455.0172497733</v>
      </c>
      <c r="Q84" s="114" t="n">
        <v>1647.6332806597</v>
      </c>
      <c r="R84" s="114" t="n">
        <v>619.3792256</v>
      </c>
    </row>
    <row r="85">
      <c r="C85" s="112" t="n">
        <v>41821</v>
      </c>
      <c r="D85" s="112" t="n">
        <v>41851</v>
      </c>
      <c r="E85" s="113" t="inlineStr">
        <is>
          <t>grid_vtqvtw11.xlsx</t>
        </is>
      </c>
      <c r="F85" s="114" t="n">
        <v>11294.3084906075</v>
      </c>
      <c r="G85" s="114" t="n">
        <v>2383.8869700001</v>
      </c>
      <c r="H85" s="114" t="n">
        <v>897.2003639366</v>
      </c>
      <c r="I85" s="114" t="n">
        <v>6823.6122665237</v>
      </c>
      <c r="J85" s="114" t="n">
        <v>28583.3419509479</v>
      </c>
      <c r="K85" s="114" t="n">
        <v>12040.0999955774</v>
      </c>
      <c r="L85" s="114" t="n">
        <v>430.2905774864</v>
      </c>
      <c r="M85" s="114" t="n">
        <v>1045.7926678823</v>
      </c>
      <c r="N85" s="114" t="n"/>
      <c r="O85" s="114" t="n">
        <v>13715.5468828686</v>
      </c>
      <c r="P85" s="114" t="n">
        <v>428.4147459639</v>
      </c>
      <c r="Q85" s="114" t="n">
        <v>1677.360736744</v>
      </c>
      <c r="R85" s="114" t="n">
        <v>614.8418111123</v>
      </c>
    </row>
    <row r="86">
      <c r="C86" s="112" t="n">
        <v>41852</v>
      </c>
      <c r="D86" s="112" t="n">
        <v>41880</v>
      </c>
      <c r="E86" s="113" t="inlineStr">
        <is>
          <t>grid_vtqvtw11.xlsx</t>
        </is>
      </c>
      <c r="F86" s="114" t="n">
        <v>11753.2473417033</v>
      </c>
      <c r="G86" s="114" t="n">
        <v>2415.1660942547</v>
      </c>
      <c r="H86" s="114" t="n">
        <v>945.9606636331</v>
      </c>
      <c r="I86" s="114" t="n">
        <v>6699.956426619</v>
      </c>
      <c r="J86" s="114" t="n">
        <v>29197.0874382027</v>
      </c>
      <c r="K86" s="114" t="n">
        <v>12690.9758036338</v>
      </c>
      <c r="L86" s="114" t="n">
        <v>440.4477258883</v>
      </c>
      <c r="M86" s="114" t="n">
        <v>1069.7254734829</v>
      </c>
      <c r="N86" s="114" t="n"/>
      <c r="O86" s="114" t="n">
        <v>12891.6446237666</v>
      </c>
      <c r="P86" s="114" t="n">
        <v>446.8031508064</v>
      </c>
      <c r="Q86" s="114" t="n">
        <v>1643.8974283499</v>
      </c>
      <c r="R86" s="114" t="n">
        <v>627.1698579288</v>
      </c>
    </row>
    <row r="87">
      <c r="C87" s="112" t="n">
        <v>41883</v>
      </c>
      <c r="D87" s="112" t="n">
        <v>41912</v>
      </c>
      <c r="E87" s="113" t="inlineStr">
        <is>
          <t>grid_vtqvtw11.xlsx</t>
        </is>
      </c>
      <c r="F87" s="114" t="n">
        <v>11234.3311949312</v>
      </c>
      <c r="G87" s="114" t="n">
        <v>2296.77982715</v>
      </c>
      <c r="H87" s="114" t="n">
        <v>1054.2665389471</v>
      </c>
      <c r="I87" s="114" t="n">
        <v>7680.7672522751</v>
      </c>
      <c r="J87" s="114" t="n">
        <v>29713.5725974795</v>
      </c>
      <c r="K87" s="114" t="n">
        <v>12795.4638664821</v>
      </c>
      <c r="L87" s="114" t="n">
        <v>449.5983144911</v>
      </c>
      <c r="M87" s="114" t="n">
        <v>1019.5630386395</v>
      </c>
      <c r="N87" s="114" t="n"/>
      <c r="O87" s="114" t="n">
        <v>12200.8363913755</v>
      </c>
      <c r="P87" s="114" t="n">
        <v>441.9182962321</v>
      </c>
      <c r="Q87" s="114" t="n">
        <v>1592.3189648589</v>
      </c>
      <c r="R87" s="114" t="n">
        <v>624.0881379945</v>
      </c>
    </row>
    <row r="88">
      <c r="C88" s="112" t="n">
        <v>41913</v>
      </c>
      <c r="D88" s="112" t="n">
        <v>41943</v>
      </c>
      <c r="E88" s="113" t="inlineStr">
        <is>
          <t>grid_vtqvtw11.xlsx</t>
        </is>
      </c>
      <c r="F88" s="114" t="n">
        <v>10491.6850864606</v>
      </c>
      <c r="G88" s="114" t="n">
        <v>2454.6360928029</v>
      </c>
      <c r="H88" s="114" t="n">
        <v>1081.044390754</v>
      </c>
      <c r="I88" s="114" t="n">
        <v>7712.1478804979</v>
      </c>
      <c r="J88" s="114" t="n">
        <v>28417.5929961206</v>
      </c>
      <c r="K88" s="114" t="n">
        <v>13258.2800457483</v>
      </c>
      <c r="L88" s="114" t="n">
        <v>444.0714746357</v>
      </c>
      <c r="M88" s="114" t="n">
        <v>1041.9849552417</v>
      </c>
      <c r="N88" s="114" t="n"/>
      <c r="O88" s="114" t="n">
        <v>9470.876620581001</v>
      </c>
      <c r="P88" s="114" t="n">
        <v>439.1541102851</v>
      </c>
      <c r="Q88" s="114" t="n">
        <v>1534.6234954672</v>
      </c>
      <c r="R88" s="114" t="n">
        <v>626.384391189</v>
      </c>
    </row>
    <row r="89">
      <c r="C89" s="112" t="n">
        <v>41944</v>
      </c>
      <c r="D89" s="112" t="n">
        <v>41971</v>
      </c>
      <c r="E89" s="113" t="inlineStr">
        <is>
          <t>grid_vtqvtw11.xlsx</t>
        </is>
      </c>
      <c r="F89" s="114" t="n">
        <v>10142.2526218231</v>
      </c>
      <c r="G89" s="114" t="n">
        <v>2534.6012865672</v>
      </c>
      <c r="H89" s="114" t="n">
        <v>1106.3130747439</v>
      </c>
      <c r="I89" s="114" t="n">
        <v>7789.9257048311</v>
      </c>
      <c r="J89" s="114" t="n">
        <v>27400.5037392658</v>
      </c>
      <c r="K89" s="114" t="n">
        <v>13612.9470398772</v>
      </c>
      <c r="L89" s="114" t="n">
        <v>449.6162060784</v>
      </c>
      <c r="M89" s="114" t="n">
        <v>1040.2284473555</v>
      </c>
      <c r="N89" s="114" t="n"/>
      <c r="O89" s="114" t="n">
        <v>8739.252474508899</v>
      </c>
      <c r="P89" s="114" t="n">
        <v>434.0656482666</v>
      </c>
      <c r="Q89" s="114" t="n">
        <v>1490.3702400347</v>
      </c>
      <c r="R89" s="114" t="n">
        <v>639.6067941699</v>
      </c>
    </row>
    <row r="90">
      <c r="C90" s="112" t="n">
        <v>41974</v>
      </c>
      <c r="D90" s="112" t="n">
        <v>42004</v>
      </c>
      <c r="E90" s="113" t="inlineStr">
        <is>
          <t>grid_vtqvtw11.xlsx</t>
        </is>
      </c>
      <c r="F90" s="114" t="n">
        <v>9390.8632256243</v>
      </c>
      <c r="G90" s="114" t="n">
        <v>2676.4442043206</v>
      </c>
      <c r="H90" s="114" t="n">
        <v>1134.9091320951</v>
      </c>
      <c r="I90" s="114" t="n">
        <v>7950.7332334595</v>
      </c>
      <c r="J90" s="114" t="n">
        <v>23751.70048</v>
      </c>
      <c r="K90" s="114" t="n">
        <v>13651.9512513187</v>
      </c>
      <c r="L90" s="114" t="n">
        <v>463.0895115539</v>
      </c>
      <c r="M90" s="114" t="n">
        <v>1040.2284085031</v>
      </c>
      <c r="N90" s="114" t="n"/>
      <c r="O90" s="114" t="n">
        <v>6996.2449053129</v>
      </c>
      <c r="P90" s="114" t="n">
        <v>397.0420998047</v>
      </c>
      <c r="Q90" s="114" t="n">
        <v>1301.7570078925</v>
      </c>
      <c r="R90" s="114" t="n">
        <v>623.308032</v>
      </c>
    </row>
    <row r="91">
      <c r="C91" s="112" t="n">
        <v>42005</v>
      </c>
      <c r="D91" s="112" t="n">
        <v>42034</v>
      </c>
      <c r="E91" s="113" t="inlineStr">
        <is>
          <t>grid_vtqvtw11.xlsx</t>
        </is>
      </c>
      <c r="F91" s="114" t="n">
        <v>9114.363816116</v>
      </c>
      <c r="G91" s="114" t="n">
        <v>2848.7598265335</v>
      </c>
      <c r="H91" s="114" t="n">
        <v>1133.7665435737</v>
      </c>
      <c r="I91" s="114" t="n">
        <v>8057.1785996218</v>
      </c>
      <c r="J91" s="114" t="n">
        <v>20076.1406055519</v>
      </c>
      <c r="K91" s="114" t="n">
        <v>13884.5490066146</v>
      </c>
      <c r="L91" s="114" t="n">
        <v>476.2729639585</v>
      </c>
      <c r="M91" s="114" t="n">
        <v>1058.1115302883</v>
      </c>
      <c r="N91" s="114" t="n"/>
      <c r="O91" s="114" t="n">
        <v>5847.1793102156</v>
      </c>
      <c r="P91" s="114" t="n">
        <v>390.6746525056</v>
      </c>
      <c r="Q91" s="114" t="n">
        <v>1254.0923125393</v>
      </c>
      <c r="R91" s="114" t="n">
        <v>629.684221377</v>
      </c>
    </row>
    <row r="92">
      <c r="C92" s="112" t="n">
        <v>42036</v>
      </c>
      <c r="D92" s="112" t="n">
        <v>42062</v>
      </c>
      <c r="E92" s="113" t="inlineStr">
        <is>
          <t>grid_vtqvtw11.xlsx</t>
        </is>
      </c>
      <c r="F92" s="114" t="n">
        <v>9196.574527373899</v>
      </c>
      <c r="G92" s="114" t="n">
        <v>2694.709516968</v>
      </c>
      <c r="H92" s="114" t="n">
        <v>1117.1346095351</v>
      </c>
      <c r="I92" s="114" t="n">
        <v>8142.0168035586</v>
      </c>
      <c r="J92" s="114" t="n">
        <v>19511.5314304699</v>
      </c>
      <c r="K92" s="114" t="n">
        <v>14153.4766633183</v>
      </c>
      <c r="L92" s="114" t="n">
        <v>488.7994696266</v>
      </c>
      <c r="M92" s="114" t="n">
        <v>1092.7092195935</v>
      </c>
      <c r="N92" s="114" t="n"/>
      <c r="O92" s="114" t="n">
        <v>4952.1543350566</v>
      </c>
      <c r="P92" s="114" t="n">
        <v>394.0506840262</v>
      </c>
      <c r="Q92" s="114" t="n">
        <v>1162.477483913</v>
      </c>
      <c r="R92" s="114" t="n">
        <v>645.9197457486</v>
      </c>
    </row>
    <row r="93">
      <c r="C93" s="112" t="n">
        <v>42064</v>
      </c>
      <c r="D93" s="112" t="n">
        <v>42094</v>
      </c>
      <c r="E93" s="113" t="inlineStr">
        <is>
          <t>grid_vtqvtw11.xlsx</t>
        </is>
      </c>
      <c r="F93" s="114" t="n">
        <v>8856.060053531501</v>
      </c>
      <c r="G93" s="114" t="n">
        <v>2864.3412858384</v>
      </c>
      <c r="H93" s="114" t="n">
        <v>1104.8580316702</v>
      </c>
      <c r="I93" s="114" t="n">
        <v>8339.378132476601</v>
      </c>
      <c r="J93" s="114" t="n">
        <v>17652.234827541</v>
      </c>
      <c r="K93" s="114" t="n">
        <v>14109.7900143743</v>
      </c>
      <c r="L93" s="114" t="n">
        <v>503.7505478857</v>
      </c>
      <c r="M93" s="114" t="n">
        <v>1040.5298541559</v>
      </c>
      <c r="N93" s="114" t="n"/>
      <c r="O93" s="114" t="n">
        <v>3013.5822492068</v>
      </c>
      <c r="P93" s="114" t="n">
        <v>387.7624182975</v>
      </c>
      <c r="Q93" s="114" t="n">
        <v>1140.5924268993</v>
      </c>
      <c r="R93" s="114" t="n">
        <v>644.6636980109</v>
      </c>
    </row>
    <row r="94">
      <c r="C94" s="112" t="n">
        <v>42095</v>
      </c>
      <c r="D94" s="112" t="n">
        <v>42124</v>
      </c>
      <c r="E94" s="113" t="inlineStr">
        <is>
          <t>grid_vtqvtw11.xlsx</t>
        </is>
      </c>
      <c r="F94" s="114" t="n">
        <v>8613.748554895699</v>
      </c>
      <c r="G94" s="114" t="n">
        <v>2981.1549052123</v>
      </c>
      <c r="H94" s="114" t="n">
        <v>1098.971224631</v>
      </c>
      <c r="I94" s="114" t="n">
        <v>8359.825462903</v>
      </c>
      <c r="J94" s="114" t="n">
        <v>15999.5204770273</v>
      </c>
      <c r="K94" s="114" t="n">
        <v>14174.2117786923</v>
      </c>
      <c r="L94" s="114" t="n">
        <v>491.3495387964</v>
      </c>
      <c r="M94" s="114" t="n">
        <v>1041.4961065038</v>
      </c>
      <c r="N94" s="114" t="n"/>
      <c r="O94" s="114" t="n">
        <v>-60.3152694177</v>
      </c>
      <c r="P94" s="114" t="n">
        <v>400.7149012924</v>
      </c>
      <c r="Q94" s="114" t="n">
        <v>1157.9095744623</v>
      </c>
      <c r="R94" s="114" t="n">
        <v>646.1236146011</v>
      </c>
    </row>
    <row r="95">
      <c r="C95" s="112" t="n">
        <v>42125</v>
      </c>
      <c r="D95" s="112" t="n">
        <v>42153</v>
      </c>
      <c r="E95" s="113" t="inlineStr">
        <is>
          <t>grid_vtqvtw11.xlsx</t>
        </is>
      </c>
      <c r="F95" s="114" t="n">
        <v>8798.736616374001</v>
      </c>
      <c r="G95" s="114" t="n">
        <v>3102.27513338</v>
      </c>
      <c r="H95" s="114" t="n">
        <v>1146.6358181114</v>
      </c>
      <c r="I95" s="114" t="n">
        <v>8336.832232413</v>
      </c>
      <c r="J95" s="114" t="n">
        <v>18243.9263853115</v>
      </c>
      <c r="K95" s="114" t="n">
        <v>14268.2613472436</v>
      </c>
      <c r="L95" s="114" t="n">
        <v>505.8764112024</v>
      </c>
      <c r="M95" s="114" t="n">
        <v>1033.6459338986</v>
      </c>
      <c r="N95" s="114" t="n"/>
      <c r="O95" s="114" t="n">
        <v>393.8514822066</v>
      </c>
      <c r="P95" s="114" t="n">
        <v>389.6463603153</v>
      </c>
      <c r="Q95" s="114" t="n">
        <v>1191.9810985571</v>
      </c>
      <c r="R95" s="114" t="n">
        <v>643.5410979672</v>
      </c>
    </row>
    <row r="96">
      <c r="C96" s="112" t="n">
        <v>42156</v>
      </c>
      <c r="D96" s="112" t="n">
        <v>42185</v>
      </c>
      <c r="E96" s="113" t="inlineStr">
        <is>
          <t>grid_vtqvtw11.xlsx</t>
        </is>
      </c>
      <c r="F96" s="114" t="n">
        <v>9112.892491001399</v>
      </c>
      <c r="G96" s="114" t="n">
        <v>3300.2141903726</v>
      </c>
      <c r="H96" s="114" t="n">
        <v>1158.2906012687</v>
      </c>
      <c r="I96" s="114" t="n">
        <v>8640.416568524801</v>
      </c>
      <c r="J96" s="114" t="n">
        <v>18968.5828154754</v>
      </c>
      <c r="K96" s="114" t="n">
        <v>14194.0819613056</v>
      </c>
      <c r="L96" s="114" t="n">
        <v>500.7913552055</v>
      </c>
      <c r="M96" s="114" t="n">
        <v>1047.2482616424</v>
      </c>
      <c r="N96" s="114" t="n"/>
      <c r="O96" s="114" t="n">
        <v>603.5467178886</v>
      </c>
      <c r="P96" s="114" t="n">
        <v>381.5063338689</v>
      </c>
      <c r="Q96" s="114" t="n">
        <v>1152.4499135431</v>
      </c>
      <c r="R96" s="114" t="n">
        <v>656.3378535519</v>
      </c>
    </row>
    <row r="97">
      <c r="C97" s="112" t="n">
        <v>42186</v>
      </c>
      <c r="D97" s="112" t="n">
        <v>42216</v>
      </c>
      <c r="E97" s="113" t="inlineStr">
        <is>
          <t>grid_vtqvtw11.xlsx</t>
        </is>
      </c>
      <c r="F97" s="114" t="n">
        <v>9058.7488773921</v>
      </c>
      <c r="G97" s="114" t="n">
        <v>3511.4549665028</v>
      </c>
      <c r="H97" s="114" t="n">
        <v>1174.5676108923</v>
      </c>
      <c r="I97" s="114" t="n">
        <v>8717.2163936256</v>
      </c>
      <c r="J97" s="114" t="n">
        <v>19366.2877460984</v>
      </c>
      <c r="K97" s="114" t="n">
        <v>14264.2044334025</v>
      </c>
      <c r="L97" s="114" t="n">
        <v>494.1655252629</v>
      </c>
      <c r="M97" s="114" t="n">
        <v>1111.19370241</v>
      </c>
      <c r="N97" s="114" t="n"/>
      <c r="O97" s="114" t="n">
        <v>980.6855623377</v>
      </c>
      <c r="P97" s="114" t="n">
        <v>359.0307338642</v>
      </c>
      <c r="Q97" s="114" t="n">
        <v>1178.5148474707</v>
      </c>
      <c r="R97" s="114" t="n">
        <v>646.0913673443</v>
      </c>
    </row>
    <row r="98">
      <c r="C98" s="112" t="n">
        <v>42217</v>
      </c>
      <c r="D98" s="112" t="n">
        <v>42247</v>
      </c>
      <c r="E98" s="113" t="inlineStr">
        <is>
          <t>grid_vtqvtw11.xlsx</t>
        </is>
      </c>
      <c r="F98" s="114" t="n">
        <v>8887.3233965241</v>
      </c>
      <c r="G98" s="114" t="n">
        <v>3509.5249716736</v>
      </c>
      <c r="H98" s="114" t="n">
        <v>1193.4206736645</v>
      </c>
      <c r="I98" s="114" t="n">
        <v>8871.7763969639</v>
      </c>
      <c r="J98" s="114" t="n">
        <v>18126.2329173333</v>
      </c>
      <c r="K98" s="114" t="n">
        <v>14234.8830636896</v>
      </c>
      <c r="L98" s="114" t="n">
        <v>493.1880043071</v>
      </c>
      <c r="M98" s="114" t="n">
        <v>1131.7438539944</v>
      </c>
      <c r="N98" s="114" t="n"/>
      <c r="O98" s="114" t="n">
        <v>1409.7014534541</v>
      </c>
      <c r="P98" s="114" t="n">
        <v>372.7102823394</v>
      </c>
      <c r="Q98" s="114" t="n">
        <v>1164.1415661716</v>
      </c>
      <c r="R98" s="114" t="n">
        <v>607.5556586667</v>
      </c>
    </row>
    <row r="99">
      <c r="C99" s="112" t="n">
        <v>42248</v>
      </c>
      <c r="D99" s="112" t="n">
        <v>42277</v>
      </c>
      <c r="E99" s="113" t="inlineStr">
        <is>
          <t>grid_vtqvtw11.xlsx</t>
        </is>
      </c>
      <c r="F99" s="114" t="n">
        <v>8191.0133325573</v>
      </c>
      <c r="G99" s="114" t="n">
        <v>3781.1001990538</v>
      </c>
      <c r="H99" s="114" t="n">
        <v>1236.8333462898</v>
      </c>
      <c r="I99" s="114" t="n">
        <v>8234.3600124856</v>
      </c>
      <c r="J99" s="114" t="n">
        <v>15299.9049428634</v>
      </c>
      <c r="K99" s="114" t="n">
        <v>14319.2340845897</v>
      </c>
      <c r="L99" s="114" t="n">
        <v>505.4647809293</v>
      </c>
      <c r="M99" s="114" t="n">
        <v>1188.1178968818</v>
      </c>
      <c r="N99" s="114" t="n"/>
      <c r="O99" s="114" t="n">
        <v>922.2648969144</v>
      </c>
      <c r="P99" s="114" t="n">
        <v>363.5689398415</v>
      </c>
      <c r="Q99" s="114" t="n">
        <v>1094.8456729428</v>
      </c>
      <c r="R99" s="114" t="n">
        <v>603.9115275191</v>
      </c>
    </row>
    <row r="100">
      <c r="C100" s="112" t="n">
        <v>42278</v>
      </c>
      <c r="D100" s="112" t="n">
        <v>42307</v>
      </c>
      <c r="E100" s="113" t="inlineStr">
        <is>
          <t>grid_vtqvtw11.xlsx</t>
        </is>
      </c>
      <c r="F100" s="114" t="n">
        <v>8130.8556847328</v>
      </c>
      <c r="G100" s="114" t="n">
        <v>3723.9411115586</v>
      </c>
      <c r="H100" s="114" t="n">
        <v>1263.1481604969</v>
      </c>
      <c r="I100" s="114" t="n">
        <v>9055.211047929601</v>
      </c>
      <c r="J100" s="114" t="n">
        <v>15234.394984918</v>
      </c>
      <c r="K100" s="114" t="n">
        <v>13622.517972111</v>
      </c>
      <c r="L100" s="114" t="n">
        <v>501.6680417943</v>
      </c>
      <c r="M100" s="114" t="n">
        <v>1247.786270152</v>
      </c>
      <c r="N100" s="114" t="n"/>
      <c r="O100" s="114" t="n">
        <v>1984.0613017326</v>
      </c>
      <c r="P100" s="114" t="n">
        <v>345.2505239293</v>
      </c>
      <c r="Q100" s="114" t="n">
        <v>1093.329328633</v>
      </c>
      <c r="R100" s="114" t="n">
        <v>604.964154929</v>
      </c>
    </row>
    <row r="101">
      <c r="C101" s="112" t="n">
        <v>42309</v>
      </c>
      <c r="D101" s="112" t="n">
        <v>42338</v>
      </c>
      <c r="E101" s="113" t="inlineStr">
        <is>
          <t>grid_vtqvtw11.xlsx</t>
        </is>
      </c>
      <c r="F101" s="114" t="n">
        <v>8169.2485399133</v>
      </c>
      <c r="G101" s="114" t="n">
        <v>3753.2710936132</v>
      </c>
      <c r="H101" s="114" t="n">
        <v>1262.0837969494</v>
      </c>
      <c r="I101" s="114" t="n">
        <v>9171.321813195</v>
      </c>
      <c r="J101" s="114" t="n">
        <v>14499.3757446995</v>
      </c>
      <c r="K101" s="114" t="n">
        <v>13461.9921084516</v>
      </c>
      <c r="L101" s="114" t="n">
        <v>523.9164231128</v>
      </c>
      <c r="M101" s="114" t="n">
        <v>1295.213691616</v>
      </c>
      <c r="N101" s="114" t="n"/>
      <c r="O101" s="114" t="n">
        <v>2283.3070470645</v>
      </c>
      <c r="P101" s="114" t="n">
        <v>358.5119324995</v>
      </c>
      <c r="Q101" s="114" t="n">
        <v>1067.6208479316</v>
      </c>
      <c r="R101" s="114" t="n">
        <v>606.7589642842</v>
      </c>
    </row>
    <row r="102">
      <c r="C102" s="112" t="n">
        <v>42339</v>
      </c>
      <c r="D102" s="112" t="n">
        <v>42369</v>
      </c>
      <c r="E102" s="113" t="inlineStr">
        <is>
          <t>grid_vtqvtw11.xlsx</t>
        </is>
      </c>
      <c r="F102" s="114" t="n">
        <v>7931.4097729592</v>
      </c>
      <c r="G102" s="114" t="n">
        <v>3703.0030560887</v>
      </c>
      <c r="H102" s="114" t="n">
        <v>1292.5355465378</v>
      </c>
      <c r="I102" s="114" t="n">
        <v>8290.0178301828</v>
      </c>
      <c r="J102" s="114" t="n">
        <v>13689.700352</v>
      </c>
      <c r="K102" s="114" t="n">
        <v>13234.84099825</v>
      </c>
      <c r="L102" s="114" t="n">
        <v>569.531837934</v>
      </c>
      <c r="M102" s="114" t="n">
        <v>1308.6548876809</v>
      </c>
      <c r="N102" s="114" t="n"/>
      <c r="O102" s="114" t="n">
        <v>2889.2048254966</v>
      </c>
      <c r="P102" s="114" t="n">
        <v>396.5867758281</v>
      </c>
      <c r="Q102" s="114" t="n">
        <v>1072.8324830486</v>
      </c>
      <c r="R102" s="114" t="n">
        <v>612.385024</v>
      </c>
    </row>
    <row r="103">
      <c r="C103" s="112" t="n">
        <v>42370</v>
      </c>
      <c r="D103" s="112" t="n">
        <v>42398</v>
      </c>
      <c r="E103" s="113" t="inlineStr">
        <is>
          <t>grid_vtqvtw11.xlsx</t>
        </is>
      </c>
      <c r="F103" s="114" t="n">
        <v>7605.2224976921</v>
      </c>
      <c r="G103" s="114" t="n">
        <v>3604.6957779234</v>
      </c>
      <c r="H103" s="114" t="n">
        <v>1269.41599951</v>
      </c>
      <c r="I103" s="114" t="n">
        <v>8718.980666048899</v>
      </c>
      <c r="J103" s="114" t="n">
        <v>10267.6395358685</v>
      </c>
      <c r="K103" s="114" t="n">
        <v>13122.83584687</v>
      </c>
      <c r="L103" s="114" t="n">
        <v>571.9692782267</v>
      </c>
      <c r="M103" s="114" t="n">
        <v>1318.0605098524</v>
      </c>
      <c r="N103" s="114" t="n"/>
      <c r="O103" s="114" t="n">
        <v>1559.1636864597</v>
      </c>
      <c r="P103" s="114" t="n">
        <v>391.8260576795</v>
      </c>
      <c r="Q103" s="114" t="n">
        <v>1144.4583367589</v>
      </c>
      <c r="R103" s="114" t="n">
        <v>568.0978688</v>
      </c>
    </row>
    <row r="104">
      <c r="C104" s="112" t="n">
        <v>42401</v>
      </c>
      <c r="D104" s="112" t="n">
        <v>42429</v>
      </c>
      <c r="E104" s="113" t="inlineStr">
        <is>
          <t>grid_vtqvtw11.xlsx</t>
        </is>
      </c>
      <c r="F104" s="114" t="n">
        <v>7277.6524141503</v>
      </c>
      <c r="G104" s="114" t="n">
        <v>3740.2014527829</v>
      </c>
      <c r="H104" s="114" t="n">
        <v>1314.7406247819</v>
      </c>
      <c r="I104" s="114" t="n">
        <v>8249.3632969789</v>
      </c>
      <c r="J104" s="114" t="n">
        <v>9491.041972953401</v>
      </c>
      <c r="K104" s="114" t="n">
        <v>12939.0541641612</v>
      </c>
      <c r="L104" s="114" t="n">
        <v>615.5801102523</v>
      </c>
      <c r="M104" s="114" t="n">
        <v>1298.3239183884</v>
      </c>
      <c r="N104" s="114" t="n"/>
      <c r="O104" s="114" t="n">
        <v>793.3364900584</v>
      </c>
      <c r="P104" s="114" t="n">
        <v>381.0400051041</v>
      </c>
      <c r="Q104" s="114" t="n">
        <v>1149.7864311212</v>
      </c>
      <c r="R104" s="114" t="n">
        <v>556.1534511342001</v>
      </c>
    </row>
    <row r="105">
      <c r="C105" s="112" t="n">
        <v>42430</v>
      </c>
      <c r="D105" s="112" t="n">
        <v>42460</v>
      </c>
      <c r="E105" s="113" t="inlineStr">
        <is>
          <t>grid_vtqvtw11.xlsx</t>
        </is>
      </c>
      <c r="F105" s="114" t="n">
        <v>7329.8031638422</v>
      </c>
      <c r="G105" s="114" t="n">
        <v>3855.0382345307</v>
      </c>
      <c r="H105" s="114" t="n">
        <v>1334.4215612292</v>
      </c>
      <c r="I105" s="114" t="n">
        <v>8168.3620627214</v>
      </c>
      <c r="J105" s="114" t="n">
        <v>6269.2521591233</v>
      </c>
      <c r="K105" s="114" t="n">
        <v>12837.2885027491</v>
      </c>
      <c r="L105" s="114" t="n">
        <v>646.0396272847</v>
      </c>
      <c r="M105" s="114" t="n">
        <v>1208.5700476116</v>
      </c>
      <c r="N105" s="114" t="n"/>
      <c r="O105" s="114" t="n">
        <v>1706.9820030533</v>
      </c>
      <c r="P105" s="114" t="n">
        <v>396.2189422135</v>
      </c>
      <c r="Q105" s="114" t="n">
        <v>1167.2419113125</v>
      </c>
      <c r="R105" s="114" t="n">
        <v>493.9915870685</v>
      </c>
    </row>
    <row r="106">
      <c r="C106" s="112" t="n">
        <v>42461</v>
      </c>
      <c r="D106" s="112" t="n">
        <v>42489</v>
      </c>
      <c r="E106" s="113" t="inlineStr">
        <is>
          <t>grid_vtqvtw11.xlsx</t>
        </is>
      </c>
      <c r="F106" s="114" t="n">
        <v>7289.7894669903</v>
      </c>
      <c r="G106" s="114" t="n">
        <v>3886.4631177521</v>
      </c>
      <c r="H106" s="114" t="n">
        <v>1366.2931589482</v>
      </c>
      <c r="I106" s="114" t="n">
        <v>8352.2568585069</v>
      </c>
      <c r="J106" s="114" t="n">
        <v>6718.6066193534</v>
      </c>
      <c r="K106" s="114" t="n">
        <v>12708.8738445236</v>
      </c>
      <c r="L106" s="114" t="n">
        <v>689.8226771352</v>
      </c>
      <c r="M106" s="114" t="n">
        <v>1156.2730967097</v>
      </c>
      <c r="N106" s="114" t="n"/>
      <c r="O106" s="114" t="n">
        <v>1698.4829109243</v>
      </c>
      <c r="P106" s="114" t="n">
        <v>417.5572177815</v>
      </c>
      <c r="Q106" s="114" t="n">
        <v>1238.2587978392</v>
      </c>
      <c r="R106" s="114" t="n">
        <v>477.053753337</v>
      </c>
    </row>
    <row r="107">
      <c r="C107" s="112" t="n">
        <v>42491</v>
      </c>
      <c r="D107" s="112" t="n">
        <v>42521</v>
      </c>
      <c r="E107" s="113" t="inlineStr">
        <is>
          <t>grid_vtqvtw11.xlsx</t>
        </is>
      </c>
      <c r="F107" s="114" t="n">
        <v>7621.2464267266</v>
      </c>
      <c r="G107" s="114" t="n">
        <v>4033.9505156309</v>
      </c>
      <c r="H107" s="114" t="n">
        <v>1391.2302233044</v>
      </c>
      <c r="I107" s="114" t="n">
        <v>8721.776248714499</v>
      </c>
      <c r="J107" s="114" t="n">
        <v>8149.2303367014</v>
      </c>
      <c r="K107" s="114" t="n">
        <v>12419.4938679665</v>
      </c>
      <c r="L107" s="114" t="n">
        <v>726.1940373937</v>
      </c>
      <c r="M107" s="114" t="n">
        <v>1176.3820662136</v>
      </c>
      <c r="N107" s="114" t="n"/>
      <c r="O107" s="114" t="n">
        <v>3559.8752108191</v>
      </c>
      <c r="P107" s="114" t="n">
        <v>414.6191655209</v>
      </c>
      <c r="Q107" s="114" t="n">
        <v>1271.8589514545</v>
      </c>
      <c r="R107" s="114" t="n">
        <v>442.9838115068</v>
      </c>
    </row>
    <row r="108">
      <c r="C108" s="112" t="n">
        <v>42522</v>
      </c>
      <c r="D108" s="112" t="n">
        <v>42551</v>
      </c>
      <c r="E108" s="113" t="inlineStr">
        <is>
          <t>grid_vtqvtw11.xlsx</t>
        </is>
      </c>
      <c r="F108" s="114" t="n">
        <v>7725.2043395212</v>
      </c>
      <c r="G108" s="114" t="n">
        <v>4102.8098499709</v>
      </c>
      <c r="H108" s="114" t="n">
        <v>1394.9308065127</v>
      </c>
      <c r="I108" s="114" t="n">
        <v>8580.313935930601</v>
      </c>
      <c r="J108" s="114" t="n">
        <v>9287.0021568877</v>
      </c>
      <c r="K108" s="114" t="n">
        <v>12396.2043646597</v>
      </c>
      <c r="L108" s="114" t="n">
        <v>709.6652612444</v>
      </c>
      <c r="M108" s="114" t="n">
        <v>1172.508663623</v>
      </c>
      <c r="N108" s="114" t="n"/>
      <c r="O108" s="114" t="n">
        <v>3997.2299518046</v>
      </c>
      <c r="P108" s="114" t="n">
        <v>418.7292862327</v>
      </c>
      <c r="Q108" s="114" t="n">
        <v>1276.3135460738</v>
      </c>
      <c r="R108" s="114" t="n">
        <v>455.100927474</v>
      </c>
    </row>
    <row r="109">
      <c r="C109" s="112" t="n">
        <v>42552</v>
      </c>
      <c r="D109" s="112" t="n">
        <v>42580</v>
      </c>
      <c r="E109" s="113" t="inlineStr">
        <is>
          <t>grid_vtqvtw11.xlsx</t>
        </is>
      </c>
      <c r="F109" s="114" t="n">
        <v>7804.089718712</v>
      </c>
      <c r="G109" s="114" t="n">
        <v>3906.2807318923</v>
      </c>
      <c r="H109" s="114" t="n">
        <v>1397.5213714808</v>
      </c>
      <c r="I109" s="114" t="n">
        <v>8082.1929960304</v>
      </c>
      <c r="J109" s="114" t="n">
        <v>11264.5449012603</v>
      </c>
      <c r="K109" s="114" t="n">
        <v>12495.5822885256</v>
      </c>
      <c r="L109" s="114" t="n">
        <v>725.0396504614999</v>
      </c>
      <c r="M109" s="114" t="n">
        <v>1122.5793569239</v>
      </c>
      <c r="N109" s="114" t="n"/>
      <c r="O109" s="114" t="n">
        <v>3374.7867072261</v>
      </c>
      <c r="P109" s="114" t="n">
        <v>405.5884184332</v>
      </c>
      <c r="Q109" s="114" t="n">
        <v>1289.3132730686</v>
      </c>
      <c r="R109" s="114" t="n">
        <v>501.2406290411</v>
      </c>
    </row>
    <row r="110">
      <c r="C110" s="112" t="n">
        <v>42583</v>
      </c>
      <c r="D110" s="112" t="n">
        <v>42613</v>
      </c>
      <c r="E110" s="113" t="inlineStr">
        <is>
          <t>grid_vtqvtw11.xlsx</t>
        </is>
      </c>
      <c r="F110" s="114" t="n">
        <v>8319.4965152189</v>
      </c>
      <c r="G110" s="114" t="n">
        <v>3922.1108663837</v>
      </c>
      <c r="H110" s="114" t="n">
        <v>1406.4054673756</v>
      </c>
      <c r="I110" s="114" t="n">
        <v>7939.8779965136</v>
      </c>
      <c r="J110" s="114" t="n">
        <v>13743.1301077918</v>
      </c>
      <c r="K110" s="114" t="n">
        <v>12924.8901751549</v>
      </c>
      <c r="L110" s="114" t="n">
        <v>722.0453071102</v>
      </c>
      <c r="M110" s="114" t="n">
        <v>1087.6776044775</v>
      </c>
      <c r="N110" s="114" t="n"/>
      <c r="O110" s="114" t="n">
        <v>3638.5681868464</v>
      </c>
      <c r="P110" s="114" t="n">
        <v>400.7266974636</v>
      </c>
      <c r="Q110" s="114" t="n">
        <v>1339.1184895892</v>
      </c>
      <c r="R110" s="114" t="n">
        <v>565.683142137</v>
      </c>
    </row>
    <row r="111">
      <c r="C111" s="112" t="n">
        <v>42614</v>
      </c>
      <c r="D111" s="112" t="n">
        <v>42643</v>
      </c>
      <c r="E111" s="113" t="inlineStr">
        <is>
          <t>grid_vtqvtw11.xlsx</t>
        </is>
      </c>
      <c r="F111" s="114" t="n">
        <v>8466.243264931099</v>
      </c>
      <c r="G111" s="114" t="n">
        <v>3907.9306900546</v>
      </c>
      <c r="H111" s="114" t="n">
        <v>1437.2745984504</v>
      </c>
      <c r="I111" s="114" t="n">
        <v>8311.099859887099</v>
      </c>
      <c r="J111" s="114" t="n">
        <v>12995.8300068822</v>
      </c>
      <c r="K111" s="114" t="n">
        <v>13004.4826825188</v>
      </c>
      <c r="L111" s="114" t="n">
        <v>761.8876305721</v>
      </c>
      <c r="M111" s="114" t="n">
        <v>1098.5226581169</v>
      </c>
      <c r="N111" s="114" t="n"/>
      <c r="O111" s="114" t="n">
        <v>4597.905812389</v>
      </c>
      <c r="P111" s="114" t="n">
        <v>388.6934704704</v>
      </c>
      <c r="Q111" s="114" t="n">
        <v>1443.768562532</v>
      </c>
      <c r="R111" s="114" t="n">
        <v>580.9849554411001</v>
      </c>
    </row>
    <row r="112">
      <c r="C112" s="112" t="n">
        <v>42644</v>
      </c>
      <c r="D112" s="112" t="n">
        <v>42674</v>
      </c>
      <c r="E112" s="113" t="inlineStr">
        <is>
          <t>grid_vtqvtw11.xlsx</t>
        </is>
      </c>
      <c r="F112" s="114" t="n">
        <v>8744.3312115641</v>
      </c>
      <c r="G112" s="114" t="n">
        <v>3778.7244657294</v>
      </c>
      <c r="H112" s="114" t="n">
        <v>1460.3482449802</v>
      </c>
      <c r="I112" s="114" t="n">
        <v>7776.9995100317</v>
      </c>
      <c r="J112" s="114" t="n">
        <v>13090.9735136438</v>
      </c>
      <c r="K112" s="114" t="n">
        <v>13538.221446471</v>
      </c>
      <c r="L112" s="114" t="n">
        <v>754.9511614294</v>
      </c>
      <c r="M112" s="114" t="n">
        <v>1097.1428038983</v>
      </c>
      <c r="N112" s="114" t="n"/>
      <c r="O112" s="114" t="n">
        <v>4502.0987865149</v>
      </c>
      <c r="P112" s="114" t="n">
        <v>364.5108630334</v>
      </c>
      <c r="Q112" s="114" t="n">
        <v>1482.1043940517</v>
      </c>
      <c r="R112" s="114" t="n">
        <v>604.7547520877</v>
      </c>
    </row>
    <row r="113">
      <c r="C113" s="112" t="n">
        <v>42675</v>
      </c>
      <c r="D113" s="112" t="n">
        <v>42704</v>
      </c>
      <c r="E113" s="113" t="inlineStr">
        <is>
          <t>grid_vtqvtw11.xlsx</t>
        </is>
      </c>
      <c r="F113" s="114" t="n">
        <v>8959.2442892621</v>
      </c>
      <c r="G113" s="114" t="n">
        <v>3890.7851741151</v>
      </c>
      <c r="H113" s="114" t="n">
        <v>1475.1834897532</v>
      </c>
      <c r="I113" s="114" t="n">
        <v>7507.4655706775</v>
      </c>
      <c r="J113" s="114" t="n">
        <v>13235.4292019507</v>
      </c>
      <c r="K113" s="114" t="n">
        <v>14189.321221201</v>
      </c>
      <c r="L113" s="114" t="n">
        <v>772.5924283955</v>
      </c>
      <c r="M113" s="114" t="n">
        <v>1076.4976462258</v>
      </c>
      <c r="N113" s="114" t="n"/>
      <c r="O113" s="114" t="n">
        <v>5212.9091218744</v>
      </c>
      <c r="P113" s="114" t="n">
        <v>365.8790526433</v>
      </c>
      <c r="Q113" s="114" t="n">
        <v>1495.5364882</v>
      </c>
      <c r="R113" s="114" t="n">
        <v>593.6484951671</v>
      </c>
    </row>
    <row r="114">
      <c r="C114" s="112" t="n">
        <v>42705</v>
      </c>
      <c r="D114" s="112" t="n">
        <v>42734</v>
      </c>
      <c r="E114" s="113" t="inlineStr">
        <is>
          <t>grid_vtqvtw11.xlsx</t>
        </is>
      </c>
      <c r="F114" s="114" t="n">
        <v>9312.0446931239</v>
      </c>
      <c r="G114" s="114" t="n">
        <v>4070.3687240816</v>
      </c>
      <c r="H114" s="114" t="n">
        <v>1443.7708303249</v>
      </c>
      <c r="I114" s="114" t="n">
        <v>7451.2783605964</v>
      </c>
      <c r="J114" s="114" t="n">
        <v>13903.0569731507</v>
      </c>
      <c r="K114" s="114" t="n">
        <v>14258.8118949961</v>
      </c>
      <c r="L114" s="114" t="n">
        <v>789.1910859222</v>
      </c>
      <c r="M114" s="114" t="n">
        <v>1078.4990294078</v>
      </c>
      <c r="N114" s="114" t="n"/>
      <c r="O114" s="114" t="n">
        <v>7908.1606794906</v>
      </c>
      <c r="P114" s="114" t="n">
        <v>368.3940289866</v>
      </c>
      <c r="Q114" s="114" t="n">
        <v>1435.0006352413</v>
      </c>
      <c r="R114" s="114" t="n">
        <v>596.7356513315</v>
      </c>
    </row>
    <row r="115">
      <c r="C115" s="112" t="n">
        <v>42736</v>
      </c>
      <c r="D115" s="112" t="n">
        <v>42766</v>
      </c>
      <c r="E115" s="113" t="inlineStr">
        <is>
          <t>grid_ovzcidwu.xlsx</t>
        </is>
      </c>
      <c r="F115" s="114" t="n">
        <v>10103.2008931023</v>
      </c>
      <c r="G115" s="114" t="n">
        <v>4040.7494212189</v>
      </c>
      <c r="H115" s="114" t="n">
        <v>1437.2110730117</v>
      </c>
      <c r="I115" s="114" t="n">
        <v>7671.0948527501</v>
      </c>
      <c r="J115" s="114" t="n">
        <v>16266.5727635288</v>
      </c>
      <c r="K115" s="114" t="n">
        <v>14610.4659886263</v>
      </c>
      <c r="L115" s="114" t="n">
        <v>806.9059618571</v>
      </c>
      <c r="M115" s="114" t="n">
        <v>1109.0610283109</v>
      </c>
      <c r="N115" s="114" t="n"/>
      <c r="O115" s="114" t="n">
        <v>10295.4283505522</v>
      </c>
      <c r="P115" s="114" t="n">
        <v>381.4965190197</v>
      </c>
      <c r="Q115" s="114" t="n">
        <v>1487.2348821743</v>
      </c>
      <c r="R115" s="114" t="n">
        <v>580.6759967562</v>
      </c>
    </row>
    <row r="116">
      <c r="C116" s="112" t="n">
        <v>42767</v>
      </c>
      <c r="D116" s="112" t="n">
        <v>42794</v>
      </c>
      <c r="E116" s="113" t="inlineStr">
        <is>
          <t>grid_ovzcidwu.xlsx</t>
        </is>
      </c>
      <c r="F116" s="114" t="n">
        <v>10542.281555421</v>
      </c>
      <c r="G116" s="114" t="n">
        <v>3994.1579904778</v>
      </c>
      <c r="H116" s="114" t="n">
        <v>1421.2664063465</v>
      </c>
      <c r="I116" s="114" t="n">
        <v>7999.3130073169</v>
      </c>
      <c r="J116" s="114" t="n">
        <v>17396.0789398795</v>
      </c>
      <c r="K116" s="114" t="n">
        <v>14842.2328824586</v>
      </c>
      <c r="L116" s="114" t="n">
        <v>810.8651470147</v>
      </c>
      <c r="M116" s="114" t="n">
        <v>1187.4984100786</v>
      </c>
      <c r="N116" s="114" t="n"/>
      <c r="O116" s="114" t="n">
        <v>11561.4254883061</v>
      </c>
      <c r="P116" s="114" t="n">
        <v>401.444926972</v>
      </c>
      <c r="Q116" s="114" t="n">
        <v>1629.1252310325</v>
      </c>
      <c r="R116" s="114" t="n">
        <v>599.9233409753</v>
      </c>
    </row>
    <row r="117">
      <c r="C117" s="112" t="n">
        <v>42795</v>
      </c>
      <c r="D117" s="112" t="n">
        <v>42825</v>
      </c>
      <c r="E117" s="113" t="inlineStr">
        <is>
          <t>grid_ovzcidwu.xlsx</t>
        </is>
      </c>
      <c r="F117" s="114" t="n">
        <v>10715.6458658162</v>
      </c>
      <c r="G117" s="114" t="n">
        <v>4061.6093460328</v>
      </c>
      <c r="H117" s="114" t="n">
        <v>1421.5148571786</v>
      </c>
      <c r="I117" s="114" t="n">
        <v>7926.0616240377</v>
      </c>
      <c r="J117" s="114" t="n">
        <v>17036.398662137</v>
      </c>
      <c r="K117" s="114" t="n">
        <v>15164.7222772364</v>
      </c>
      <c r="L117" s="114" t="n">
        <v>816.7770157231</v>
      </c>
      <c r="M117" s="114" t="n">
        <v>1111.5542486412</v>
      </c>
      <c r="N117" s="114" t="n"/>
      <c r="O117" s="114" t="n">
        <v>13847.1619777538</v>
      </c>
      <c r="P117" s="114" t="n">
        <v>416.5773843293</v>
      </c>
      <c r="Q117" s="114" t="n">
        <v>1702.8969856977</v>
      </c>
      <c r="R117" s="114" t="n">
        <v>624.4481560548001</v>
      </c>
    </row>
    <row r="118">
      <c r="C118" s="112" t="n">
        <v>42826</v>
      </c>
      <c r="D118" s="112" t="n">
        <v>42853</v>
      </c>
      <c r="E118" s="113" t="inlineStr">
        <is>
          <t>grid_ovzcidwu.xlsx</t>
        </is>
      </c>
      <c r="F118" s="114" t="n">
        <v>10418.1689107697</v>
      </c>
      <c r="G118" s="114" t="n">
        <v>3644.9622531389</v>
      </c>
      <c r="H118" s="114" t="n">
        <v>1403.7970679287</v>
      </c>
      <c r="I118" s="114" t="n">
        <v>7556.5445903447</v>
      </c>
      <c r="J118" s="114" t="n">
        <v>15244.3545571945</v>
      </c>
      <c r="K118" s="114" t="n">
        <v>15232.2335431195</v>
      </c>
      <c r="L118" s="114" t="n">
        <v>814.8834739471999</v>
      </c>
      <c r="M118" s="114" t="n">
        <v>1126.3943335982</v>
      </c>
      <c r="N118" s="114" t="n"/>
      <c r="O118" s="114" t="n">
        <v>13609.2247734656</v>
      </c>
      <c r="P118" s="114" t="n">
        <v>423.6219709827</v>
      </c>
      <c r="Q118" s="114" t="n">
        <v>1700.7642448891</v>
      </c>
      <c r="R118" s="114" t="n">
        <v>653.5663535341999</v>
      </c>
    </row>
    <row r="119">
      <c r="C119" s="112" t="n">
        <v>42856</v>
      </c>
      <c r="D119" s="112" t="n">
        <v>42886</v>
      </c>
      <c r="E119" s="113" t="inlineStr">
        <is>
          <t>grid_ovzcidwu.xlsx</t>
        </is>
      </c>
      <c r="F119" s="114" t="n">
        <v>10324.1600814848</v>
      </c>
      <c r="G119" s="114" t="n">
        <v>3769.7508504044</v>
      </c>
      <c r="H119" s="114" t="n">
        <v>1457.6921246901</v>
      </c>
      <c r="I119" s="114" t="n">
        <v>7224.7203018303</v>
      </c>
      <c r="J119" s="114" t="n">
        <v>18633.4273816548</v>
      </c>
      <c r="K119" s="114" t="n">
        <v>15014.9684469844</v>
      </c>
      <c r="L119" s="114" t="n">
        <v>795.1670338845</v>
      </c>
      <c r="M119" s="114" t="n">
        <v>1139.016144764</v>
      </c>
      <c r="N119" s="114" t="n"/>
      <c r="O119" s="114" t="n">
        <v>13271.0890101337</v>
      </c>
      <c r="P119" s="114" t="n">
        <v>435.6891558284</v>
      </c>
      <c r="Q119" s="114" t="n">
        <v>1575.6372320554</v>
      </c>
      <c r="R119" s="114" t="n">
        <v>692.9701803836</v>
      </c>
    </row>
    <row r="120">
      <c r="C120" s="112" t="n">
        <v>42887</v>
      </c>
      <c r="D120" s="112" t="n">
        <v>42916</v>
      </c>
      <c r="E120" s="113" t="inlineStr">
        <is>
          <t>grid_ovzcidwu.xlsx</t>
        </is>
      </c>
      <c r="F120" s="114" t="n">
        <v>10304.3419245021</v>
      </c>
      <c r="G120" s="114" t="n">
        <v>3801.7095298905</v>
      </c>
      <c r="H120" s="114" t="n">
        <v>1462.0662407885</v>
      </c>
      <c r="I120" s="114" t="n">
        <v>7570.0241979264</v>
      </c>
      <c r="J120" s="114" t="n">
        <v>18081.3291183342</v>
      </c>
      <c r="K120" s="114" t="n">
        <v>15131.0219673878</v>
      </c>
      <c r="L120" s="114" t="n">
        <v>795.8410885208</v>
      </c>
      <c r="M120" s="114" t="n">
        <v>1155.2084371111</v>
      </c>
      <c r="N120" s="114" t="n"/>
      <c r="O120" s="114" t="n">
        <v>12296.1385478934</v>
      </c>
      <c r="P120" s="114" t="n">
        <v>476.148401956</v>
      </c>
      <c r="Q120" s="114" t="n">
        <v>1890.1354826939</v>
      </c>
      <c r="R120" s="114" t="n">
        <v>744.9672384877</v>
      </c>
    </row>
    <row r="121">
      <c r="C121" s="112" t="n">
        <v>42917</v>
      </c>
      <c r="D121" s="112" t="n">
        <v>42947</v>
      </c>
      <c r="E121" s="113" t="inlineStr">
        <is>
          <t>grid_ovzcidwu.xlsx</t>
        </is>
      </c>
      <c r="F121" s="114" t="n">
        <v>10260.0104573124</v>
      </c>
      <c r="G121" s="114" t="n">
        <v>3757.9631642963</v>
      </c>
      <c r="H121" s="114" t="n">
        <v>1437.0602182607</v>
      </c>
      <c r="I121" s="114" t="n">
        <v>7556.2725673278</v>
      </c>
      <c r="J121" s="114" t="n">
        <v>18690.5115886466</v>
      </c>
      <c r="K121" s="114" t="n">
        <v>15242.9749021804</v>
      </c>
      <c r="L121" s="114" t="n">
        <v>790.9630446899</v>
      </c>
      <c r="M121" s="114" t="n">
        <v>1168.7369732283</v>
      </c>
      <c r="N121" s="114" t="n"/>
      <c r="O121" s="114" t="n">
        <v>11421.8821434595</v>
      </c>
      <c r="P121" s="114" t="n">
        <v>494.3730562729</v>
      </c>
      <c r="Q121" s="114" t="n">
        <v>1858.418012947</v>
      </c>
      <c r="R121" s="114" t="n">
        <v>726.2926379836</v>
      </c>
    </row>
    <row r="122">
      <c r="C122" s="112" t="n">
        <v>42948</v>
      </c>
      <c r="D122" s="112" t="n">
        <v>42978</v>
      </c>
      <c r="E122" s="113" t="inlineStr">
        <is>
          <t>grid_ovzcidwu.xlsx</t>
        </is>
      </c>
      <c r="F122" s="114" t="n">
        <v>10304.735824013</v>
      </c>
      <c r="G122" s="114" t="n">
        <v>3783.7180273885</v>
      </c>
      <c r="H122" s="114" t="n">
        <v>1452.9058426107</v>
      </c>
      <c r="I122" s="114" t="n">
        <v>7510.6289946823</v>
      </c>
      <c r="J122" s="114" t="n">
        <v>17463.8731432329</v>
      </c>
      <c r="K122" s="114" t="n">
        <v>15608.1778151665</v>
      </c>
      <c r="L122" s="114" t="n">
        <v>809.7386356574</v>
      </c>
      <c r="M122" s="114" t="n">
        <v>1148.5089060795</v>
      </c>
      <c r="N122" s="114" t="n"/>
      <c r="O122" s="114" t="n">
        <v>11588.0195852606</v>
      </c>
      <c r="P122" s="114" t="n">
        <v>507.2480284642</v>
      </c>
      <c r="Q122" s="114" t="n">
        <v>1900.6667789723</v>
      </c>
      <c r="R122" s="114" t="n">
        <v>732.5986514410999</v>
      </c>
    </row>
    <row r="123">
      <c r="C123" s="112" t="n">
        <v>42979</v>
      </c>
      <c r="D123" s="112" t="n">
        <v>43007</v>
      </c>
      <c r="E123" s="113" t="inlineStr">
        <is>
          <t>grid_ovzcidwu.xlsx</t>
        </is>
      </c>
      <c r="F123" s="114" t="n">
        <v>10082.2129125069</v>
      </c>
      <c r="G123" s="114" t="n">
        <v>3734.6573127869</v>
      </c>
      <c r="H123" s="114" t="n">
        <v>1462.956131122</v>
      </c>
      <c r="I123" s="114" t="n">
        <v>7466.9661435084</v>
      </c>
      <c r="J123" s="114" t="n">
        <v>16782.7974284274</v>
      </c>
      <c r="K123" s="114" t="n">
        <v>15417.8638194822</v>
      </c>
      <c r="L123" s="114" t="n">
        <v>797.0846162409</v>
      </c>
      <c r="M123" s="114" t="n">
        <v>1118.8177048162</v>
      </c>
      <c r="N123" s="114" t="n"/>
      <c r="O123" s="114" t="n">
        <v>11356.493849653</v>
      </c>
      <c r="P123" s="114" t="n">
        <v>499.5568304204</v>
      </c>
      <c r="Q123" s="114" t="n">
        <v>1908.7450800269</v>
      </c>
      <c r="R123" s="114" t="n">
        <v>744.3843809315</v>
      </c>
    </row>
    <row r="124">
      <c r="C124" s="112" t="n">
        <v>43009</v>
      </c>
      <c r="D124" s="112" t="n">
        <v>43039</v>
      </c>
      <c r="E124" s="113" t="inlineStr">
        <is>
          <t>grid_ovzcidwu.xlsx</t>
        </is>
      </c>
      <c r="F124" s="114" t="n">
        <v>10148.8659376692</v>
      </c>
      <c r="G124" s="114" t="n">
        <v>3751.889625756</v>
      </c>
      <c r="H124" s="114" t="n">
        <v>1493.9334916565</v>
      </c>
      <c r="I124" s="114" t="n">
        <v>7569.9662988744</v>
      </c>
      <c r="J124" s="114" t="n">
        <v>16084.9583370521</v>
      </c>
      <c r="K124" s="114" t="n">
        <v>15838.9705253571</v>
      </c>
      <c r="L124" s="114" t="n">
        <v>825.5980832826</v>
      </c>
      <c r="M124" s="114" t="n">
        <v>1088.8064392186</v>
      </c>
      <c r="N124" s="114" t="n"/>
      <c r="O124" s="114" t="n">
        <v>10705.8069193946</v>
      </c>
      <c r="P124" s="114" t="n">
        <v>510.2665312498</v>
      </c>
      <c r="Q124" s="114" t="n">
        <v>1946.2613808308</v>
      </c>
      <c r="R124" s="114" t="n">
        <v>796.8395254356</v>
      </c>
    </row>
    <row r="125">
      <c r="C125" s="112" t="n">
        <v>43040</v>
      </c>
      <c r="D125" s="112" t="n">
        <v>43069</v>
      </c>
      <c r="E125" s="113" t="inlineStr">
        <is>
          <t>grid_ovzcidwu.xlsx</t>
        </is>
      </c>
      <c r="F125" s="114" t="n">
        <v>10459.4927583063</v>
      </c>
      <c r="G125" s="114" t="n">
        <v>3806.3764215815</v>
      </c>
      <c r="H125" s="114" t="n">
        <v>1503.0783133529</v>
      </c>
      <c r="I125" s="114" t="n">
        <v>7776.9107545905</v>
      </c>
      <c r="J125" s="114" t="n">
        <v>16380.8046570959</v>
      </c>
      <c r="K125" s="114" t="n">
        <v>15830.9379494143</v>
      </c>
      <c r="L125" s="114" t="n">
        <v>854.8128530274</v>
      </c>
      <c r="M125" s="114" t="n">
        <v>1077.9312188927</v>
      </c>
      <c r="N125" s="114" t="n"/>
      <c r="O125" s="114" t="n">
        <v>12515.4563406604</v>
      </c>
      <c r="P125" s="114" t="n">
        <v>528.5690759277001</v>
      </c>
      <c r="Q125" s="114" t="n">
        <v>1961.903815409</v>
      </c>
      <c r="R125" s="114" t="n">
        <v>783.2264545315001</v>
      </c>
    </row>
    <row r="126">
      <c r="C126" s="112" t="n">
        <v>43070</v>
      </c>
      <c r="D126" s="112" t="n">
        <v>43098</v>
      </c>
      <c r="E126" s="113" t="inlineStr">
        <is>
          <t>grid_ovzcidwu.xlsx</t>
        </is>
      </c>
      <c r="F126" s="114" t="n">
        <v>10870.1018472739</v>
      </c>
      <c r="G126" s="114" t="n">
        <v>3807.6416141301</v>
      </c>
      <c r="H126" s="114" t="n">
        <v>1453.7145367329</v>
      </c>
      <c r="I126" s="114" t="n">
        <v>7818.5437198685</v>
      </c>
      <c r="J126" s="114" t="n">
        <v>18573.9865438685</v>
      </c>
      <c r="K126" s="114" t="n">
        <v>15865.9778521574</v>
      </c>
      <c r="L126" s="114" t="n">
        <v>746.2353934091</v>
      </c>
      <c r="M126" s="114" t="n">
        <v>1058.7203421533</v>
      </c>
      <c r="N126" s="114" t="n"/>
      <c r="O126" s="114" t="n">
        <v>14506.0468376959</v>
      </c>
      <c r="P126" s="114" t="n">
        <v>489.1018869411</v>
      </c>
      <c r="Q126" s="114" t="n">
        <v>2068.5747023119</v>
      </c>
      <c r="R126" s="114" t="n">
        <v>884.2650248767</v>
      </c>
    </row>
    <row r="127">
      <c r="C127" s="112" t="n">
        <v>43101</v>
      </c>
      <c r="D127" s="112" t="n">
        <v>43131</v>
      </c>
      <c r="E127" s="113" t="inlineStr">
        <is>
          <t>grid_ovzcidwu.xlsx</t>
        </is>
      </c>
      <c r="F127" s="114" t="n">
        <v>11794.4992474787</v>
      </c>
      <c r="G127" s="114" t="n">
        <v>3917.9497637439</v>
      </c>
      <c r="H127" s="114" t="n">
        <v>1437.0492520269</v>
      </c>
      <c r="I127" s="114" t="n">
        <v>8409.452486983701</v>
      </c>
      <c r="J127" s="114" t="n">
        <v>20675.2763455123</v>
      </c>
      <c r="K127" s="114" t="n">
        <v>16381.214486984</v>
      </c>
      <c r="L127" s="114" t="n">
        <v>750.5395018066999</v>
      </c>
      <c r="M127" s="114" t="n">
        <v>1074.0911080536</v>
      </c>
      <c r="N127" s="114" t="n"/>
      <c r="O127" s="114" t="n">
        <v>14742.1961575031</v>
      </c>
      <c r="P127" s="114" t="n">
        <v>491.9225059847</v>
      </c>
      <c r="Q127" s="114" t="n">
        <v>2045.1840364805</v>
      </c>
      <c r="R127" s="114" t="n">
        <v>790.8117644274</v>
      </c>
    </row>
    <row r="128">
      <c r="C128" s="112" t="n">
        <v>43132</v>
      </c>
      <c r="D128" s="112" t="n">
        <v>43159</v>
      </c>
      <c r="E128" s="113" t="inlineStr">
        <is>
          <t>grid_ovzcidwu.xlsx</t>
        </is>
      </c>
      <c r="F128" s="114" t="n">
        <v>12755.1722610102</v>
      </c>
      <c r="G128" s="114" t="n">
        <v>3877.0050861263</v>
      </c>
      <c r="H128" s="114" t="n">
        <v>1402.4955719909</v>
      </c>
      <c r="I128" s="114" t="n">
        <v>8783.9437495812</v>
      </c>
      <c r="J128" s="114" t="n">
        <v>24672.9254098411</v>
      </c>
      <c r="K128" s="114" t="n">
        <v>17105.2102924272</v>
      </c>
      <c r="L128" s="114" t="n">
        <v>770.4731227642</v>
      </c>
      <c r="M128" s="114" t="n">
        <v>1012.4466683518</v>
      </c>
      <c r="N128" s="114" t="n"/>
      <c r="O128" s="114" t="n">
        <v>15237.2600302465</v>
      </c>
      <c r="P128" s="114" t="n">
        <v>492.0770739819</v>
      </c>
      <c r="Q128" s="114" t="n">
        <v>2151.2494836569</v>
      </c>
      <c r="R128" s="114" t="n">
        <v>812.4194009425</v>
      </c>
    </row>
    <row r="129">
      <c r="C129" s="112" t="n">
        <v>43160</v>
      </c>
      <c r="D129" s="112" t="n">
        <v>43189</v>
      </c>
      <c r="E129" s="113" t="inlineStr">
        <is>
          <t>grid_ovzcidwu.xlsx</t>
        </is>
      </c>
      <c r="F129" s="114" t="n">
        <v>13303.4039465067</v>
      </c>
      <c r="G129" s="114" t="n">
        <v>3967.3604281085</v>
      </c>
      <c r="H129" s="114" t="n">
        <v>1380.270204812</v>
      </c>
      <c r="I129" s="114" t="n">
        <v>9548.7169830157</v>
      </c>
      <c r="J129" s="114" t="n">
        <v>26057.1317121753</v>
      </c>
      <c r="K129" s="114" t="n">
        <v>17581.410549852</v>
      </c>
      <c r="L129" s="114" t="n">
        <v>792.9809252382</v>
      </c>
      <c r="M129" s="114" t="n">
        <v>1031.6940715993</v>
      </c>
      <c r="N129" s="114" t="n"/>
      <c r="O129" s="114" t="n">
        <v>15565.0150288443</v>
      </c>
      <c r="P129" s="114" t="n">
        <v>493.3293164024</v>
      </c>
      <c r="Q129" s="114" t="n">
        <v>1769.5437004435</v>
      </c>
      <c r="R129" s="114" t="n">
        <v>843.8252908712</v>
      </c>
    </row>
    <row r="130">
      <c r="C130" s="112" t="n">
        <v>43191</v>
      </c>
      <c r="D130" s="112" t="n">
        <v>43220</v>
      </c>
      <c r="E130" s="113" t="inlineStr">
        <is>
          <t>grid_ovzcidwu.xlsx</t>
        </is>
      </c>
      <c r="F130" s="114" t="n">
        <v>13819.4205542614</v>
      </c>
      <c r="G130" s="114" t="n">
        <v>3764.4228083508</v>
      </c>
      <c r="H130" s="114" t="n">
        <v>1348.4428404249</v>
      </c>
      <c r="I130" s="114" t="n">
        <v>9406.6258765287</v>
      </c>
      <c r="J130" s="114" t="n">
        <v>27653.0278961096</v>
      </c>
      <c r="K130" s="114" t="n">
        <v>17701.1233000243</v>
      </c>
      <c r="L130" s="114" t="n">
        <v>780.9443603231</v>
      </c>
      <c r="M130" s="114" t="n">
        <v>1040.4729363552</v>
      </c>
      <c r="N130" s="114" t="n"/>
      <c r="O130" s="114" t="n">
        <v>16837.4873753812</v>
      </c>
      <c r="P130" s="114" t="n">
        <v>498.248165369</v>
      </c>
      <c r="Q130" s="114" t="n">
        <v>1827.8864812788</v>
      </c>
      <c r="R130" s="114" t="n">
        <v>852.7819230685</v>
      </c>
    </row>
    <row r="131">
      <c r="C131" s="112" t="n">
        <v>43221</v>
      </c>
      <c r="D131" s="112" t="n">
        <v>43251</v>
      </c>
      <c r="E131" s="113" t="inlineStr">
        <is>
          <t>grid_ovzcidwu.xlsx</t>
        </is>
      </c>
      <c r="F131" s="114" t="n">
        <v>14154.7305930742</v>
      </c>
      <c r="G131" s="114" t="n">
        <v>3908.5031711461</v>
      </c>
      <c r="H131" s="114" t="n">
        <v>1187.5078128937</v>
      </c>
      <c r="I131" s="114" t="n">
        <v>9146.8443844185</v>
      </c>
      <c r="J131" s="114" t="n">
        <v>31242.9382838356</v>
      </c>
      <c r="K131" s="114" t="n">
        <v>17881.4724578467</v>
      </c>
      <c r="L131" s="114" t="n">
        <v>785.4189797446001</v>
      </c>
      <c r="M131" s="114" t="n">
        <v>1029.3460623878</v>
      </c>
      <c r="N131" s="114" t="n"/>
      <c r="O131" s="114" t="n">
        <v>18121.3588735215</v>
      </c>
      <c r="P131" s="114" t="n">
        <v>519.0089397926</v>
      </c>
      <c r="Q131" s="114" t="n">
        <v>2079.9186699432</v>
      </c>
      <c r="R131" s="114" t="n">
        <v>961.2017534247</v>
      </c>
    </row>
    <row r="132">
      <c r="C132" s="112" t="n">
        <v>43252</v>
      </c>
      <c r="D132" s="112" t="n">
        <v>43280</v>
      </c>
      <c r="E132" s="113" t="inlineStr">
        <is>
          <t>grid_ovzcidwu.xlsx</t>
        </is>
      </c>
      <c r="F132" s="114" t="n">
        <v>14190.3357213692</v>
      </c>
      <c r="G132" s="114" t="n">
        <v>4016.182167168</v>
      </c>
      <c r="H132" s="114" t="n">
        <v>1148.7267066224</v>
      </c>
      <c r="I132" s="114" t="n">
        <v>8697.991766044101</v>
      </c>
      <c r="J132" s="114" t="n">
        <v>32289.096914411</v>
      </c>
      <c r="K132" s="114" t="n">
        <v>17910.9787322471</v>
      </c>
      <c r="L132" s="114" t="n">
        <v>776.3767924401</v>
      </c>
      <c r="M132" s="114" t="n">
        <v>1043.1233318335</v>
      </c>
      <c r="N132" s="114" t="n"/>
      <c r="O132" s="114" t="n">
        <v>18675.0731665971</v>
      </c>
      <c r="P132" s="114" t="n">
        <v>530.9224095577</v>
      </c>
      <c r="Q132" s="114" t="n">
        <v>1981.7505838179</v>
      </c>
      <c r="R132" s="114" t="n">
        <v>938.3520227945</v>
      </c>
    </row>
    <row r="133">
      <c r="C133" s="112" t="n">
        <v>43282</v>
      </c>
      <c r="D133" s="112" t="n">
        <v>43312</v>
      </c>
      <c r="E133" s="113" t="inlineStr">
        <is>
          <t>grid_ovzcidwu.xlsx</t>
        </is>
      </c>
      <c r="F133" s="114" t="n">
        <v>14998.6007179106</v>
      </c>
      <c r="G133" s="114" t="n">
        <v>4058.0753032076</v>
      </c>
      <c r="H133" s="114" t="n">
        <v>1136.6958790169</v>
      </c>
      <c r="I133" s="114" t="n">
        <v>8544.8759495136</v>
      </c>
      <c r="J133" s="114" t="n">
        <v>33905.8481628932</v>
      </c>
      <c r="K133" s="114" t="n">
        <v>18346.416166241</v>
      </c>
      <c r="L133" s="114" t="n">
        <v>775.0168835706</v>
      </c>
      <c r="M133" s="114" t="n">
        <v>1079.1145080752</v>
      </c>
      <c r="N133" s="114" t="n"/>
      <c r="O133" s="114" t="n">
        <v>19668.1079422898</v>
      </c>
      <c r="P133" s="114" t="n">
        <v>528.654169016</v>
      </c>
      <c r="Q133" s="114" t="n">
        <v>2139.7072396312</v>
      </c>
      <c r="R133" s="114" t="n">
        <v>923.795066389</v>
      </c>
    </row>
    <row r="134">
      <c r="C134" s="112" t="n">
        <v>43313</v>
      </c>
      <c r="D134" s="112" t="n">
        <v>43343</v>
      </c>
      <c r="E134" s="113" t="inlineStr">
        <is>
          <t>grid_ovzcidwu.xlsx</t>
        </is>
      </c>
      <c r="F134" s="114" t="n">
        <v>15506.1863331426</v>
      </c>
      <c r="G134" s="114" t="n">
        <v>4024.4922325292</v>
      </c>
      <c r="H134" s="114" t="n">
        <v>1119.1379328983</v>
      </c>
      <c r="I134" s="114" t="n">
        <v>8646.012217044299</v>
      </c>
      <c r="J134" s="114" t="n">
        <v>37167.0989838027</v>
      </c>
      <c r="K134" s="114" t="n">
        <v>18524.3726818369</v>
      </c>
      <c r="L134" s="114" t="n">
        <v>806.46547573</v>
      </c>
      <c r="M134" s="114" t="n">
        <v>1046.6328477927</v>
      </c>
      <c r="N134" s="114" t="n"/>
      <c r="O134" s="114" t="n">
        <v>19633.4435411989</v>
      </c>
      <c r="P134" s="114" t="n">
        <v>535.4769382304</v>
      </c>
      <c r="Q134" s="114" t="n">
        <v>2187.813701661</v>
      </c>
      <c r="R134" s="114" t="n">
        <v>941.1255783452</v>
      </c>
    </row>
    <row r="135">
      <c r="C135" s="112" t="n">
        <v>43344</v>
      </c>
      <c r="D135" s="112" t="n">
        <v>43371</v>
      </c>
      <c r="E135" s="113" t="inlineStr">
        <is>
          <t>grid_ovzcidwu.xlsx</t>
        </is>
      </c>
      <c r="F135" s="114" t="n">
        <v>17153.3111884182</v>
      </c>
      <c r="G135" s="114" t="n">
        <v>4102.5563396785</v>
      </c>
      <c r="H135" s="114" t="n">
        <v>1104.7890832192</v>
      </c>
      <c r="I135" s="114" t="n">
        <v>8536.584749510999</v>
      </c>
      <c r="J135" s="114" t="n">
        <v>40215.8085330411</v>
      </c>
      <c r="K135" s="114" t="n">
        <v>18888.2115831403</v>
      </c>
      <c r="L135" s="114" t="n">
        <v>845.0120018552</v>
      </c>
      <c r="M135" s="114" t="n">
        <v>1059.2427592631</v>
      </c>
      <c r="N135" s="114" t="n"/>
      <c r="O135" s="114" t="n">
        <v>22585.5465644345</v>
      </c>
      <c r="P135" s="114" t="n">
        <v>533.2558565727001</v>
      </c>
      <c r="Q135" s="114" t="n">
        <v>2265.7050177318</v>
      </c>
      <c r="R135" s="114" t="n">
        <v>895.176377863</v>
      </c>
    </row>
    <row r="136">
      <c r="C136" s="112" t="n">
        <v>43374</v>
      </c>
      <c r="D136" s="112" t="n">
        <v>43404</v>
      </c>
      <c r="E136" s="113" t="inlineStr">
        <is>
          <t>grid_ovzcidwu.xlsx</t>
        </is>
      </c>
      <c r="F136" s="114" t="n">
        <v>18211.6287511249</v>
      </c>
      <c r="G136" s="114" t="n">
        <v>4244.9186340672</v>
      </c>
      <c r="H136" s="114" t="n">
        <v>1073.7252438648</v>
      </c>
      <c r="I136" s="114" t="n">
        <v>7830.2039033739</v>
      </c>
      <c r="J136" s="114" t="n">
        <v>46121.9973316384</v>
      </c>
      <c r="K136" s="114" t="n">
        <v>18674.4510934492</v>
      </c>
      <c r="L136" s="114" t="n">
        <v>863.4666681804</v>
      </c>
      <c r="M136" s="114" t="n">
        <v>1045.7545012878</v>
      </c>
      <c r="N136" s="114" t="n"/>
      <c r="O136" s="114" t="n">
        <v>23015.7634175755</v>
      </c>
      <c r="P136" s="114" t="n">
        <v>539.4573479032</v>
      </c>
      <c r="Q136" s="114" t="n">
        <v>2138.1840307135</v>
      </c>
      <c r="R136" s="114" t="n">
        <v>849.3981999342</v>
      </c>
    </row>
    <row r="137">
      <c r="C137" s="112" t="n">
        <v>43405</v>
      </c>
      <c r="D137" s="112" t="n">
        <v>43434</v>
      </c>
      <c r="E137" s="113" t="inlineStr">
        <is>
          <t>grid_ovzcidwu.xlsx</t>
        </is>
      </c>
      <c r="F137" s="114" t="n">
        <v>17635.5556792081</v>
      </c>
      <c r="G137" s="114" t="n">
        <v>4240.5226701042</v>
      </c>
      <c r="H137" s="114" t="n">
        <v>1057.9607827281</v>
      </c>
      <c r="I137" s="114" t="n">
        <v>7816.1401362399</v>
      </c>
      <c r="J137" s="114" t="n">
        <v>44268.5998851507</v>
      </c>
      <c r="K137" s="114" t="n">
        <v>19257.2258735154</v>
      </c>
      <c r="L137" s="114" t="n">
        <v>869.2167252149</v>
      </c>
      <c r="M137" s="114" t="n">
        <v>1105.7651379988</v>
      </c>
      <c r="N137" s="114" t="n"/>
      <c r="O137" s="114" t="n">
        <v>22868.3569943729</v>
      </c>
      <c r="P137" s="114" t="n">
        <v>549.0555821766</v>
      </c>
      <c r="Q137" s="114" t="n">
        <v>1840.2323908846</v>
      </c>
      <c r="R137" s="114" t="n">
        <v>852.3320547945</v>
      </c>
    </row>
    <row r="138">
      <c r="C138" s="112" t="n">
        <v>43435</v>
      </c>
      <c r="D138" s="112" t="n">
        <v>43465</v>
      </c>
      <c r="E138" s="113" t="inlineStr">
        <is>
          <t>grid_ovzcidwu.xlsx</t>
        </is>
      </c>
      <c r="F138" s="114" t="n">
        <v>17236.6533938273</v>
      </c>
      <c r="G138" s="114" t="n">
        <v>4146.1348304143</v>
      </c>
      <c r="H138" s="114" t="n">
        <v>1052.4229896887</v>
      </c>
      <c r="I138" s="114" t="n">
        <v>7722.4040923415</v>
      </c>
      <c r="J138" s="114" t="n">
        <v>40895.598592</v>
      </c>
      <c r="K138" s="114" t="n">
        <v>19961.3784453342</v>
      </c>
      <c r="L138" s="114" t="n">
        <v>867.8860797215</v>
      </c>
      <c r="M138" s="114" t="n">
        <v>1108.4125972761</v>
      </c>
      <c r="N138" s="114" t="n"/>
      <c r="O138" s="114" t="n">
        <v>23680.192177158</v>
      </c>
      <c r="P138" s="114" t="n">
        <v>538.5203678211</v>
      </c>
      <c r="Q138" s="114" t="n">
        <v>1857.2010212854</v>
      </c>
      <c r="R138" s="114" t="n">
        <v>828.7779839999999</v>
      </c>
    </row>
    <row r="139">
      <c r="C139" s="112" t="n">
        <v>43466</v>
      </c>
      <c r="D139" s="112" t="n">
        <v>43496</v>
      </c>
      <c r="E139" s="113" t="inlineStr">
        <is>
          <t>grid_ovzcidwu.xlsx</t>
        </is>
      </c>
      <c r="F139" s="114" t="n">
        <v>16360.5918978485</v>
      </c>
      <c r="G139" s="114" t="n">
        <v>4192.1319018759</v>
      </c>
      <c r="H139" s="114" t="n">
        <v>1151.9989029969</v>
      </c>
      <c r="I139" s="114" t="n">
        <v>7784.4236929503</v>
      </c>
      <c r="J139" s="114" t="n">
        <v>38261.2847297049</v>
      </c>
      <c r="K139" s="114" t="n">
        <v>19387.8135386264</v>
      </c>
      <c r="L139" s="114" t="n">
        <v>849.2759789153</v>
      </c>
      <c r="M139" s="114" t="n">
        <v>1044.8560208317</v>
      </c>
      <c r="N139" s="114" t="n"/>
      <c r="O139" s="114" t="n">
        <v>22978.3397112039</v>
      </c>
      <c r="P139" s="114" t="n">
        <v>541.200905549</v>
      </c>
      <c r="Q139" s="114" t="n">
        <v>2667.4904537648</v>
      </c>
      <c r="R139" s="114" t="n">
        <v>837.9181352568</v>
      </c>
    </row>
    <row r="140">
      <c r="C140" s="112" t="n">
        <v>43497</v>
      </c>
      <c r="D140" s="112" t="n">
        <v>43524</v>
      </c>
      <c r="E140" s="113" t="inlineStr">
        <is>
          <t>grid_ovzcidwu.xlsx</t>
        </is>
      </c>
      <c r="F140" s="114" t="n">
        <v>17049.7278266039</v>
      </c>
      <c r="G140" s="114" t="n">
        <v>4206.4177658397</v>
      </c>
      <c r="H140" s="114" t="n">
        <v>1163.7210955408</v>
      </c>
      <c r="I140" s="114" t="n">
        <v>7547.5733690077</v>
      </c>
      <c r="J140" s="114" t="n">
        <v>40482.485096918</v>
      </c>
      <c r="K140" s="114" t="n">
        <v>19862.3006263094</v>
      </c>
      <c r="L140" s="114" t="n">
        <v>848.1129072052</v>
      </c>
      <c r="M140" s="114" t="n">
        <v>1083.6223639185</v>
      </c>
      <c r="N140" s="114" t="n"/>
      <c r="O140" s="114" t="n">
        <v>23527.9294315916</v>
      </c>
      <c r="P140" s="114" t="n">
        <v>534.261233569</v>
      </c>
      <c r="Q140" s="114" t="n">
        <v>2675.1205639691</v>
      </c>
      <c r="R140" s="114" t="n">
        <v>826.0914497049</v>
      </c>
    </row>
    <row r="141">
      <c r="C141" s="112" t="n">
        <v>43525</v>
      </c>
      <c r="D141" s="112" t="n">
        <v>43553</v>
      </c>
      <c r="E141" s="113" t="inlineStr">
        <is>
          <t>grid_ovzcidwu.xlsx</t>
        </is>
      </c>
      <c r="F141" s="114" t="n">
        <v>17523.374060413</v>
      </c>
      <c r="G141" s="114" t="n">
        <v>4172.8340773622</v>
      </c>
      <c r="H141" s="114" t="n">
        <v>1172.2316283944</v>
      </c>
      <c r="I141" s="114" t="n">
        <v>7344.7529701282</v>
      </c>
      <c r="J141" s="114" t="n">
        <v>39610.4062517159</v>
      </c>
      <c r="K141" s="114" t="n">
        <v>20372.17101362</v>
      </c>
      <c r="L141" s="114" t="n">
        <v>830.2591197462</v>
      </c>
      <c r="M141" s="114" t="n">
        <v>1077.5207547073</v>
      </c>
      <c r="N141" s="114" t="n"/>
      <c r="O141" s="114" t="n">
        <v>24101.6975566171</v>
      </c>
      <c r="P141" s="114" t="n">
        <v>540.5052659104</v>
      </c>
      <c r="Q141" s="114" t="n">
        <v>3099.815620977</v>
      </c>
      <c r="R141" s="114" t="n">
        <v>782.4965618361</v>
      </c>
    </row>
    <row r="142">
      <c r="C142" s="112" t="n">
        <v>43556</v>
      </c>
      <c r="D142" s="112" t="n">
        <v>43585</v>
      </c>
      <c r="E142" s="113" t="inlineStr">
        <is>
          <t>grid_ovzcidwu.xlsx</t>
        </is>
      </c>
      <c r="F142" s="114" t="n">
        <v>17325.3866335705</v>
      </c>
      <c r="G142" s="114" t="n">
        <v>4170.9792197756</v>
      </c>
      <c r="H142" s="114" t="n">
        <v>1163.4430363841</v>
      </c>
      <c r="I142" s="114" t="n">
        <v>7409.5844203374</v>
      </c>
      <c r="J142" s="114" t="n">
        <v>39509.657163541</v>
      </c>
      <c r="K142" s="114" t="n">
        <v>20600.7263621038</v>
      </c>
      <c r="L142" s="114" t="n">
        <v>838.6734380701999</v>
      </c>
      <c r="M142" s="114" t="n">
        <v>1090.849362797</v>
      </c>
      <c r="N142" s="114" t="n"/>
      <c r="O142" s="114" t="n">
        <v>24644.7883387269</v>
      </c>
      <c r="P142" s="114" t="n">
        <v>540.5511699799</v>
      </c>
      <c r="Q142" s="114" t="n">
        <v>2916.3905704079</v>
      </c>
      <c r="R142" s="114" t="n">
        <v>766.9142543388</v>
      </c>
    </row>
    <row r="143">
      <c r="C143" s="112" t="n">
        <v>43586</v>
      </c>
      <c r="D143" s="112" t="n">
        <v>43616</v>
      </c>
      <c r="E143" s="113" t="inlineStr">
        <is>
          <t>grid_ovzcidwu.xlsx</t>
        </is>
      </c>
      <c r="F143" s="114" t="n">
        <v>16818.031872114</v>
      </c>
      <c r="G143" s="114" t="n">
        <v>4206.348441702</v>
      </c>
      <c r="H143" s="114" t="n">
        <v>1198.0832614206</v>
      </c>
      <c r="I143" s="114" t="n">
        <v>7356.8511703412</v>
      </c>
      <c r="J143" s="114" t="n">
        <v>40185.3242810055</v>
      </c>
      <c r="K143" s="114" t="n">
        <v>20013.5691492237</v>
      </c>
      <c r="L143" s="114" t="n">
        <v>863.4005632288</v>
      </c>
      <c r="M143" s="114" t="n">
        <v>1089.7336399539</v>
      </c>
      <c r="N143" s="114" t="n"/>
      <c r="O143" s="114" t="n">
        <v>23172.2407628447</v>
      </c>
      <c r="P143" s="114" t="n">
        <v>544.6983465268</v>
      </c>
      <c r="Q143" s="114" t="n">
        <v>2937.0509904182</v>
      </c>
      <c r="R143" s="114" t="n">
        <v>788.4136631257001</v>
      </c>
    </row>
    <row r="144">
      <c r="C144" s="112" t="n">
        <v>43617</v>
      </c>
      <c r="D144" s="112" t="n">
        <v>43644</v>
      </c>
      <c r="E144" s="113" t="inlineStr">
        <is>
          <t>grid_ovzcidwu.xlsx</t>
        </is>
      </c>
      <c r="F144" s="114" t="n">
        <v>16933.5806126257</v>
      </c>
      <c r="G144" s="114" t="n">
        <v>4203.6362085139</v>
      </c>
      <c r="H144" s="114" t="n">
        <v>1164.6832055785</v>
      </c>
      <c r="I144" s="114" t="n">
        <v>7375.5179113326</v>
      </c>
      <c r="J144" s="114" t="n">
        <v>41076.0062405246</v>
      </c>
      <c r="K144" s="114" t="n">
        <v>20030.1513050832</v>
      </c>
      <c r="L144" s="114" t="n">
        <v>834.8562377479</v>
      </c>
      <c r="M144" s="114" t="n">
        <v>1139.3270657268</v>
      </c>
      <c r="N144" s="114" t="n"/>
      <c r="O144" s="114" t="n">
        <v>22812.368367869</v>
      </c>
      <c r="P144" s="114" t="n">
        <v>548.2689006456</v>
      </c>
      <c r="Q144" s="114" t="n">
        <v>2975.5797673739</v>
      </c>
      <c r="R144" s="114" t="n">
        <v>774.8830573115</v>
      </c>
    </row>
    <row r="145">
      <c r="C145" s="112" t="n">
        <v>43647</v>
      </c>
      <c r="D145" s="112" t="n">
        <v>43677</v>
      </c>
      <c r="E145" s="113" t="inlineStr">
        <is>
          <t>grid_ovzcidwu.xlsx</t>
        </is>
      </c>
      <c r="F145" s="114" t="n">
        <v>16307.7223540856</v>
      </c>
      <c r="G145" s="114" t="n">
        <v>4328.9945834239</v>
      </c>
      <c r="H145" s="114" t="n">
        <v>1135.320139392</v>
      </c>
      <c r="I145" s="114" t="n">
        <v>7571.1281379758</v>
      </c>
      <c r="J145" s="114" t="n">
        <v>40935.2073148852</v>
      </c>
      <c r="K145" s="114" t="n">
        <v>19414.5681598399</v>
      </c>
      <c r="L145" s="114" t="n">
        <v>831.6471658987</v>
      </c>
      <c r="M145" s="114" t="n">
        <v>1205.027146405</v>
      </c>
      <c r="N145" s="114" t="n"/>
      <c r="O145" s="114" t="n">
        <v>24301.0452470616</v>
      </c>
      <c r="P145" s="114" t="n">
        <v>552.8842385004</v>
      </c>
      <c r="Q145" s="114" t="n">
        <v>2729.9412130244</v>
      </c>
      <c r="R145" s="114" t="n">
        <v>797.8515320656001</v>
      </c>
    </row>
    <row r="146">
      <c r="C146" s="112" t="n">
        <v>43678</v>
      </c>
      <c r="D146" s="112" t="n">
        <v>43707</v>
      </c>
      <c r="E146" s="113" t="inlineStr">
        <is>
          <t>grid_ovzcidwu.xlsx</t>
        </is>
      </c>
      <c r="F146" s="114" t="n">
        <v>15482.5294414579</v>
      </c>
      <c r="G146" s="114" t="n">
        <v>4414.8987353376</v>
      </c>
      <c r="H146" s="114" t="n">
        <v>1201.6112158825</v>
      </c>
      <c r="I146" s="114" t="n">
        <v>7412.1551987335</v>
      </c>
      <c r="J146" s="114" t="n">
        <v>36937.3267934426</v>
      </c>
      <c r="K146" s="114" t="n">
        <v>19295.2846870222</v>
      </c>
      <c r="L146" s="114" t="n">
        <v>827.2416020862</v>
      </c>
      <c r="M146" s="114" t="n">
        <v>1274.9378393957</v>
      </c>
      <c r="N146" s="114" t="n"/>
      <c r="O146" s="114" t="n">
        <v>23977.2813869106</v>
      </c>
      <c r="P146" s="114" t="n">
        <v>560.5912135534001</v>
      </c>
      <c r="Q146" s="114" t="n">
        <v>3210.8470128352</v>
      </c>
      <c r="R146" s="114" t="n">
        <v>828.4602371148</v>
      </c>
    </row>
    <row r="147">
      <c r="C147" s="112" t="n">
        <v>43709</v>
      </c>
      <c r="D147" s="112" t="n">
        <v>43738</v>
      </c>
      <c r="E147" s="113" t="inlineStr">
        <is>
          <t>grid_ovzcidwu.xlsx</t>
        </is>
      </c>
      <c r="F147" s="114" t="n">
        <v>15535.9462691453</v>
      </c>
      <c r="G147" s="114" t="n">
        <v>4408.1529964442</v>
      </c>
      <c r="H147" s="114" t="n">
        <v>1148.2444709603</v>
      </c>
      <c r="I147" s="114" t="n">
        <v>7672.6960295924</v>
      </c>
      <c r="J147" s="114" t="n">
        <v>37058.5714374645</v>
      </c>
      <c r="K147" s="114" t="n">
        <v>19060.2563109972</v>
      </c>
      <c r="L147" s="114" t="n">
        <v>795.9576903814</v>
      </c>
      <c r="M147" s="114" t="n">
        <v>1293.2055411744</v>
      </c>
      <c r="N147" s="114" t="n"/>
      <c r="O147" s="114" t="n">
        <v>23944.8879406736</v>
      </c>
      <c r="P147" s="114" t="n">
        <v>563.983027813</v>
      </c>
      <c r="Q147" s="114" t="n">
        <v>2922.9744638067</v>
      </c>
      <c r="R147" s="114" t="n">
        <v>828.5753155847</v>
      </c>
    </row>
    <row r="148">
      <c r="C148" s="112" t="n">
        <v>43739</v>
      </c>
      <c r="D148" s="112" t="n">
        <v>43769</v>
      </c>
      <c r="E148" s="113" t="inlineStr">
        <is>
          <t>grid_ovzcidwu.xlsx</t>
        </is>
      </c>
      <c r="F148" s="114" t="n">
        <v>15437.0951305221</v>
      </c>
      <c r="G148" s="114" t="n">
        <v>4442.5568938845</v>
      </c>
      <c r="H148" s="114" t="n">
        <v>1105.9974828224</v>
      </c>
      <c r="I148" s="114" t="n">
        <v>7543.8468509773</v>
      </c>
      <c r="J148" s="114" t="n">
        <v>34620.2671786667</v>
      </c>
      <c r="K148" s="114" t="n">
        <v>19138.3545213275</v>
      </c>
      <c r="L148" s="114" t="n">
        <v>797.7205656283001</v>
      </c>
      <c r="M148" s="114" t="n">
        <v>1300.1381482877</v>
      </c>
      <c r="N148" s="114" t="n"/>
      <c r="O148" s="114" t="n">
        <v>23229.5063085779</v>
      </c>
      <c r="P148" s="114" t="n">
        <v>578.8309770179</v>
      </c>
      <c r="Q148" s="114" t="n">
        <v>2923.1929334475</v>
      </c>
      <c r="R148" s="114" t="n">
        <v>811.9551893333</v>
      </c>
    </row>
    <row r="149">
      <c r="C149" s="112" t="n">
        <v>43770</v>
      </c>
      <c r="D149" s="112" t="n">
        <v>43798</v>
      </c>
      <c r="E149" s="113" t="inlineStr">
        <is>
          <t>grid_ovzcidwu.xlsx</t>
        </is>
      </c>
      <c r="F149" s="114" t="n">
        <v>15152.2360377196</v>
      </c>
      <c r="G149" s="114" t="n">
        <v>4375.1680803185</v>
      </c>
      <c r="H149" s="114" t="n">
        <v>1088.7000292652</v>
      </c>
      <c r="I149" s="114" t="n">
        <v>7736.0177025665</v>
      </c>
      <c r="J149" s="114" t="n">
        <v>35830.8080388197</v>
      </c>
      <c r="K149" s="114" t="n">
        <v>18858.334741242</v>
      </c>
      <c r="L149" s="114" t="n">
        <v>795.596114916</v>
      </c>
      <c r="M149" s="114" t="n">
        <v>1340.4424205942</v>
      </c>
      <c r="N149" s="114" t="n"/>
      <c r="O149" s="114" t="n">
        <v>22665.141570971</v>
      </c>
      <c r="P149" s="114" t="n">
        <v>590.0876866533</v>
      </c>
      <c r="Q149" s="114" t="n">
        <v>2661.2376206739</v>
      </c>
      <c r="R149" s="114" t="n">
        <v>834.1985196066</v>
      </c>
    </row>
    <row r="150">
      <c r="C150" s="112" t="n">
        <v>43800</v>
      </c>
      <c r="D150" s="112" t="n">
        <v>43830</v>
      </c>
      <c r="E150" s="113" t="inlineStr">
        <is>
          <t>grid_ovzcidwu.xlsx</t>
        </is>
      </c>
      <c r="F150" s="114" t="n">
        <v>15200.4732763017</v>
      </c>
      <c r="G150" s="114" t="n">
        <v>4291.4923965061</v>
      </c>
      <c r="H150" s="114" t="n">
        <v>1074.4851137622</v>
      </c>
      <c r="I150" s="114" t="n">
        <v>7417.5590219328</v>
      </c>
      <c r="J150" s="114" t="n">
        <v>36095.299584</v>
      </c>
      <c r="K150" s="114" t="n">
        <v>19373.3148117545</v>
      </c>
      <c r="L150" s="114" t="n">
        <v>805.7406978087</v>
      </c>
      <c r="M150" s="114" t="n">
        <v>1372.9495111483</v>
      </c>
      <c r="N150" s="114" t="n"/>
      <c r="O150" s="114" t="n">
        <v>23500.0777462258</v>
      </c>
      <c r="P150" s="114" t="n">
        <v>578.8325750208</v>
      </c>
      <c r="Q150" s="114" t="n">
        <v>2642.5136589508</v>
      </c>
      <c r="R150" s="114" t="n">
        <v>850.499968</v>
      </c>
    </row>
    <row r="151">
      <c r="C151" s="112" t="n">
        <v>43831</v>
      </c>
      <c r="D151" s="112" t="n">
        <v>43861</v>
      </c>
      <c r="E151" s="113" t="inlineStr">
        <is>
          <t>grid_1mk3z2wn.xlsx</t>
        </is>
      </c>
      <c r="F151" s="114" t="n">
        <v>14075.1634121047</v>
      </c>
      <c r="G151" s="114" t="n">
        <v>4265.2069193499</v>
      </c>
      <c r="H151" s="114" t="n">
        <v>1062.9496251142</v>
      </c>
      <c r="I151" s="114" t="n">
        <v>6820.1075757997</v>
      </c>
      <c r="J151" s="114" t="n">
        <v>36691.5466730959</v>
      </c>
      <c r="K151" s="114" t="n">
        <v>18147.4234275607</v>
      </c>
      <c r="L151" s="114" t="n">
        <v>842.964425612</v>
      </c>
      <c r="M151" s="114" t="n">
        <v>1382.8478360092</v>
      </c>
      <c r="N151" s="114" t="n">
        <v>342.3995686575</v>
      </c>
      <c r="O151" s="114" t="n">
        <v>23493.0291934303</v>
      </c>
      <c r="P151" s="114" t="n">
        <v>601.5160140237</v>
      </c>
      <c r="Q151" s="114" t="n">
        <v>2738.5197108862</v>
      </c>
      <c r="R151" s="114" t="n">
        <v>862.6165084931999</v>
      </c>
    </row>
    <row r="152">
      <c r="C152" s="112" t="n">
        <v>43862</v>
      </c>
      <c r="D152" s="112" t="n">
        <v>43889</v>
      </c>
      <c r="E152" s="113" t="inlineStr">
        <is>
          <t>grid_1mk3z2wn.xlsx</t>
        </is>
      </c>
      <c r="F152" s="114" t="n">
        <v>13998.7570471167</v>
      </c>
      <c r="G152" s="114" t="n">
        <v>4170.3282600522</v>
      </c>
      <c r="H152" s="114" t="n">
        <v>1051.7615093429</v>
      </c>
      <c r="I152" s="114" t="n">
        <v>6335.7452077999</v>
      </c>
      <c r="J152" s="114" t="n">
        <v>36448.8134936548</v>
      </c>
      <c r="K152" s="114" t="n">
        <v>18278.6903734988</v>
      </c>
      <c r="L152" s="114" t="n">
        <v>881.3987363053</v>
      </c>
      <c r="M152" s="114" t="n">
        <v>1446.4256342301</v>
      </c>
      <c r="N152" s="114" t="n">
        <v>347.1980821918</v>
      </c>
      <c r="O152" s="114" t="n">
        <v>23371.9761249199</v>
      </c>
      <c r="P152" s="114" t="n">
        <v>630.8782666313</v>
      </c>
      <c r="Q152" s="114" t="n">
        <v>2835.0403608688</v>
      </c>
      <c r="R152" s="114" t="n">
        <v>899.666450411</v>
      </c>
    </row>
    <row r="153">
      <c r="C153" s="112" t="n">
        <v>43891</v>
      </c>
      <c r="D153" s="112" t="n">
        <v>43921</v>
      </c>
      <c r="E153" s="113" t="inlineStr">
        <is>
          <t>grid_1mk3z2wn.xlsx</t>
        </is>
      </c>
      <c r="F153" s="114" t="n">
        <v>12131.0251006431</v>
      </c>
      <c r="G153" s="114" t="n">
        <v>4350.7815029527</v>
      </c>
      <c r="H153" s="114" t="n">
        <v>882.3351127022</v>
      </c>
      <c r="I153" s="114" t="n">
        <v>5745.0428304698</v>
      </c>
      <c r="J153" s="114" t="n">
        <v>13820.3484721096</v>
      </c>
      <c r="K153" s="114" t="n">
        <v>18100.1159495801</v>
      </c>
      <c r="L153" s="114" t="n">
        <v>902.5309766113</v>
      </c>
      <c r="M153" s="114" t="n">
        <v>1376.0069901547</v>
      </c>
      <c r="N153" s="114" t="n">
        <v>341.9428747397</v>
      </c>
      <c r="O153" s="114" t="n">
        <v>24994.9253083713</v>
      </c>
      <c r="P153" s="114" t="n">
        <v>446.2254926475</v>
      </c>
      <c r="Q153" s="114" t="n">
        <v>2871.6139709025</v>
      </c>
      <c r="R153" s="114" t="n">
        <v>894.2632837260001</v>
      </c>
    </row>
    <row r="154">
      <c r="C154" s="112" t="n">
        <v>43922</v>
      </c>
      <c r="D154" s="112" t="n">
        <v>43951</v>
      </c>
      <c r="E154" s="113" t="inlineStr">
        <is>
          <t>grid_1mk3z2wn.xlsx</t>
        </is>
      </c>
      <c r="F154" s="114" t="n">
        <v>10238.6557084517</v>
      </c>
      <c r="G154" s="114" t="n">
        <v>4202.8748658855</v>
      </c>
      <c r="H154" s="114" t="n">
        <v>764.4135790295001</v>
      </c>
      <c r="I154" s="114" t="n">
        <v>5002.4242889915</v>
      </c>
      <c r="J154" s="114" t="n">
        <v>6703.7099936438</v>
      </c>
      <c r="K154" s="114" t="n">
        <v>16567.0845276421</v>
      </c>
      <c r="L154" s="114" t="n">
        <v>871.3128270528</v>
      </c>
      <c r="M154" s="114" t="n">
        <v>1097.4056858103</v>
      </c>
      <c r="N154" s="114" t="n">
        <v>347.0444383562</v>
      </c>
      <c r="O154" s="114" t="n">
        <v>22781.8836047971</v>
      </c>
      <c r="P154" s="114" t="n">
        <v>349.7435352182</v>
      </c>
      <c r="Q154" s="114" t="n">
        <v>2750.2464470685</v>
      </c>
      <c r="R154" s="114" t="n">
        <v>827.8164795616</v>
      </c>
    </row>
    <row r="155">
      <c r="C155" s="112" t="n">
        <v>43952</v>
      </c>
      <c r="D155" s="112" t="n">
        <v>43980</v>
      </c>
      <c r="E155" s="113" t="inlineStr">
        <is>
          <t>grid_1mk3z2wn.xlsx</t>
        </is>
      </c>
      <c r="F155" s="114" t="n">
        <v>9576.366582599099</v>
      </c>
      <c r="G155" s="114" t="n">
        <v>4139.725467046</v>
      </c>
      <c r="H155" s="114" t="n">
        <v>742.4964928428</v>
      </c>
      <c r="I155" s="114" t="n">
        <v>4706.4042477116</v>
      </c>
      <c r="J155" s="114" t="n">
        <v>2076.5146799343</v>
      </c>
      <c r="K155" s="114" t="n">
        <v>15067.2971190411</v>
      </c>
      <c r="L155" s="114" t="n">
        <v>846.0113201612</v>
      </c>
      <c r="M155" s="114" t="n">
        <v>929.3403218891</v>
      </c>
      <c r="N155" s="114" t="n">
        <v>357.7873539507</v>
      </c>
      <c r="O155" s="114" t="n">
        <v>25110.3909901832</v>
      </c>
      <c r="P155" s="114" t="n">
        <v>364.2928642911</v>
      </c>
      <c r="Q155" s="114" t="n">
        <v>2412.2060083943</v>
      </c>
      <c r="R155" s="114" t="n">
        <v>890.9945063452</v>
      </c>
    </row>
    <row r="156">
      <c r="C156" s="112" t="n">
        <v>43983</v>
      </c>
      <c r="D156" s="112" t="n">
        <v>44012</v>
      </c>
      <c r="E156" s="113" t="inlineStr">
        <is>
          <t>grid_1mk3z2wn.xlsx</t>
        </is>
      </c>
      <c r="F156" s="114" t="n">
        <v>8906.9785976356</v>
      </c>
      <c r="G156" s="114" t="n">
        <v>4043.9670060888</v>
      </c>
      <c r="H156" s="114" t="n">
        <v>711.4350480318</v>
      </c>
      <c r="I156" s="114" t="n">
        <v>4715.4941536829</v>
      </c>
      <c r="J156" s="114" t="n">
        <v>-1170.5429174356</v>
      </c>
      <c r="K156" s="114" t="n">
        <v>13286.8351350122</v>
      </c>
      <c r="L156" s="114" t="n">
        <v>860.780125071</v>
      </c>
      <c r="M156" s="114" t="n">
        <v>847.107910557</v>
      </c>
      <c r="N156" s="114" t="n">
        <v>356.7541016548</v>
      </c>
      <c r="O156" s="114" t="n">
        <v>26414.7809162923</v>
      </c>
      <c r="P156" s="114" t="n">
        <v>404.4980460533</v>
      </c>
      <c r="Q156" s="114" t="n">
        <v>2660.9603980588</v>
      </c>
      <c r="R156" s="114" t="n">
        <v>880.6419175452</v>
      </c>
    </row>
    <row r="157">
      <c r="C157" s="112" t="n">
        <v>44013</v>
      </c>
      <c r="D157" s="112" t="n">
        <v>44043</v>
      </c>
      <c r="E157" s="113" t="inlineStr">
        <is>
          <t>grid_1mk3z2wn.xlsx</t>
        </is>
      </c>
      <c r="F157" s="114" t="n">
        <v>9429.473603554599</v>
      </c>
      <c r="G157" s="114" t="n">
        <v>3809.0112618196</v>
      </c>
      <c r="H157" s="114" t="n">
        <v>751.048091712</v>
      </c>
      <c r="I157" s="114" t="n">
        <v>4503.9625425043</v>
      </c>
      <c r="J157" s="114" t="n">
        <v>2054.6892954301</v>
      </c>
      <c r="K157" s="114" t="n">
        <v>12861.200068555</v>
      </c>
      <c r="L157" s="114" t="n">
        <v>853.1480285741</v>
      </c>
      <c r="M157" s="114" t="n">
        <v>1030.1114584043</v>
      </c>
      <c r="N157" s="114" t="n">
        <v>363.5456807452</v>
      </c>
      <c r="O157" s="114" t="n">
        <v>28718.0367399989</v>
      </c>
      <c r="P157" s="114" t="n">
        <v>413.9411654045</v>
      </c>
      <c r="Q157" s="114" t="n">
        <v>2767.0510014124</v>
      </c>
      <c r="R157" s="114" t="n">
        <v>950.3896914411</v>
      </c>
    </row>
    <row r="158">
      <c r="C158" s="112" t="n">
        <v>44044</v>
      </c>
      <c r="D158" s="112" t="n">
        <v>44074</v>
      </c>
      <c r="E158" s="113" t="inlineStr">
        <is>
          <t>grid_1mk3z2wn.xlsx</t>
        </is>
      </c>
      <c r="F158" s="114" t="n">
        <v>10412.2704765741</v>
      </c>
      <c r="G158" s="114" t="n">
        <v>3997.8642415748</v>
      </c>
      <c r="H158" s="114" t="n">
        <v>759.2673938340999</v>
      </c>
      <c r="I158" s="114" t="n">
        <v>4586.6888817771</v>
      </c>
      <c r="J158" s="114" t="n">
        <v>6956.8558234301</v>
      </c>
      <c r="K158" s="114" t="n">
        <v>13010.7524204717</v>
      </c>
      <c r="L158" s="114" t="n">
        <v>845.4653413874</v>
      </c>
      <c r="M158" s="114" t="n">
        <v>1052.5887600021</v>
      </c>
      <c r="N158" s="114" t="n">
        <v>352.2202625753</v>
      </c>
      <c r="O158" s="114" t="n">
        <v>30758.19146183</v>
      </c>
      <c r="P158" s="114" t="n">
        <v>419.4177792786</v>
      </c>
      <c r="Q158" s="114" t="n">
        <v>3080.7230669866</v>
      </c>
      <c r="R158" s="114" t="n">
        <v>976.0799161863</v>
      </c>
    </row>
    <row r="159">
      <c r="C159" s="112" t="n">
        <v>44075</v>
      </c>
      <c r="D159" s="112" t="n">
        <v>44104</v>
      </c>
      <c r="E159" s="113" t="inlineStr">
        <is>
          <t>grid_1mk3z2wn.xlsx</t>
        </is>
      </c>
      <c r="F159" s="114" t="n">
        <v>11661.7103528959</v>
      </c>
      <c r="G159" s="114" t="n">
        <v>4032.6939602093</v>
      </c>
      <c r="H159" s="114" t="n">
        <v>815.6705699671001</v>
      </c>
      <c r="I159" s="114" t="n">
        <v>4663.070717679</v>
      </c>
      <c r="J159" s="114" t="n">
        <v>10949.8817375326</v>
      </c>
      <c r="K159" s="114" t="n">
        <v>13822.7881923937</v>
      </c>
      <c r="L159" s="114" t="n">
        <v>843.8582570641</v>
      </c>
      <c r="M159" s="114" t="n">
        <v>1190.8300541429</v>
      </c>
      <c r="N159" s="114" t="n">
        <v>348.4200369096</v>
      </c>
      <c r="O159" s="114" t="n">
        <v>35406.7081873853</v>
      </c>
      <c r="P159" s="114" t="n">
        <v>384.7650732531</v>
      </c>
      <c r="Q159" s="114" t="n">
        <v>2919.8038385941</v>
      </c>
      <c r="R159" s="114" t="n">
        <v>979.9379855781</v>
      </c>
    </row>
    <row r="160">
      <c r="C160" s="112" t="n">
        <v>44105</v>
      </c>
      <c r="D160" s="112" t="n">
        <v>44134</v>
      </c>
      <c r="E160" s="113" t="inlineStr">
        <is>
          <t>grid_1mk3z2wn.xlsx</t>
        </is>
      </c>
      <c r="F160" s="114" t="n">
        <v>14070.5989312673</v>
      </c>
      <c r="G160" s="114" t="n">
        <v>4176.3403848375</v>
      </c>
      <c r="H160" s="114" t="n">
        <v>822.9926628527001</v>
      </c>
      <c r="I160" s="114" t="n">
        <v>4797.9613025005</v>
      </c>
      <c r="J160" s="114" t="n">
        <v>19121.6516448055</v>
      </c>
      <c r="K160" s="114" t="n">
        <v>14682.199107123</v>
      </c>
      <c r="L160" s="114" t="n">
        <v>891.0679967797</v>
      </c>
      <c r="M160" s="114" t="n">
        <v>1396.6688641269</v>
      </c>
      <c r="N160" s="114" t="n">
        <v>381.8673972603</v>
      </c>
      <c r="O160" s="114" t="n">
        <v>42781.3998337149</v>
      </c>
      <c r="P160" s="114" t="n">
        <v>451.8720378314</v>
      </c>
      <c r="Q160" s="114" t="n">
        <v>2916.6318334937</v>
      </c>
      <c r="R160" s="114" t="n">
        <v>1105.2987602411</v>
      </c>
    </row>
    <row r="161">
      <c r="C161" s="112" t="n">
        <v>44136</v>
      </c>
      <c r="D161" s="112" t="n">
        <v>44165</v>
      </c>
      <c r="E161" s="113" t="inlineStr">
        <is>
          <t>grid_1mk3z2wn.xlsx</t>
        </is>
      </c>
      <c r="F161" s="114" t="n">
        <v>16663.0220148499</v>
      </c>
      <c r="G161" s="114" t="n">
        <v>4089.6057316331</v>
      </c>
      <c r="H161" s="114" t="n">
        <v>914.181422443</v>
      </c>
      <c r="I161" s="114" t="n">
        <v>5000.6226275674</v>
      </c>
      <c r="J161" s="114" t="n">
        <v>26183.0264269763</v>
      </c>
      <c r="K161" s="114" t="n">
        <v>15810.4978158414</v>
      </c>
      <c r="L161" s="114" t="n">
        <v>919.0893309236</v>
      </c>
      <c r="M161" s="114" t="n">
        <v>1339.292785433</v>
      </c>
      <c r="N161" s="114" t="n">
        <v>392.0487671233</v>
      </c>
      <c r="O161" s="114" t="n">
        <v>47451.5724827805</v>
      </c>
      <c r="P161" s="114" t="n">
        <v>476.0886406648</v>
      </c>
      <c r="Q161" s="114" t="n">
        <v>2827.0741681183</v>
      </c>
      <c r="R161" s="114" t="n">
        <v>1092.7449457973</v>
      </c>
    </row>
    <row r="162">
      <c r="C162" s="112" t="n">
        <v>44166</v>
      </c>
      <c r="D162" s="112" t="n">
        <v>44196</v>
      </c>
      <c r="E162" s="113" t="inlineStr">
        <is>
          <t>grid_1mk3z2wn.xlsx</t>
        </is>
      </c>
      <c r="F162" s="114" t="n">
        <v>17136.888024143</v>
      </c>
      <c r="G162" s="114" t="n">
        <v>4461.2084906991</v>
      </c>
      <c r="H162" s="114" t="n">
        <v>942.3162233599001</v>
      </c>
      <c r="I162" s="114" t="n">
        <v>5296.9762350193</v>
      </c>
      <c r="J162" s="114" t="n">
        <v>33166.803124274</v>
      </c>
      <c r="K162" s="114" t="n">
        <v>15882.5306125575</v>
      </c>
      <c r="L162" s="114" t="n">
        <v>979.6606531793</v>
      </c>
      <c r="M162" s="114" t="n">
        <v>1429.5835969189</v>
      </c>
      <c r="N162" s="114" t="n">
        <v>402</v>
      </c>
      <c r="O162" s="114" t="n">
        <v>47321.9549363728</v>
      </c>
      <c r="P162" s="114" t="n">
        <v>452.3689278678</v>
      </c>
      <c r="Q162" s="114" t="n">
        <v>2982.2683717983</v>
      </c>
      <c r="R162" s="114" t="n">
        <v>981.839925364</v>
      </c>
    </row>
    <row r="163">
      <c r="C163" s="112" t="n">
        <v>44197</v>
      </c>
      <c r="D163" s="112" t="n">
        <v>44225</v>
      </c>
      <c r="E163" s="113" t="inlineStr">
        <is>
          <t>grid_1mk3z2wn.xlsx</t>
        </is>
      </c>
      <c r="F163" s="114" t="n">
        <v>19470.4803433839</v>
      </c>
      <c r="G163" s="114" t="n">
        <v>4462.5877508408</v>
      </c>
      <c r="H163" s="114" t="n">
        <v>938.0612310088</v>
      </c>
      <c r="I163" s="114" t="n">
        <v>5383.8648767405</v>
      </c>
      <c r="J163" s="114" t="n">
        <v>34392.6143611611</v>
      </c>
      <c r="K163" s="114" t="n">
        <v>16060.9906654107</v>
      </c>
      <c r="L163" s="114" t="n">
        <v>1029.8150995486</v>
      </c>
      <c r="M163" s="114" t="n">
        <v>1566.3242028094</v>
      </c>
      <c r="N163" s="114" t="n">
        <v>395.2858389918</v>
      </c>
      <c r="O163" s="114" t="n">
        <v>56913.4443497374</v>
      </c>
      <c r="P163" s="114" t="n">
        <v>445.3990670951</v>
      </c>
      <c r="Q163" s="114" t="n">
        <v>2845.5883685777</v>
      </c>
      <c r="R163" s="114" t="n">
        <v>929.8861120688</v>
      </c>
    </row>
    <row r="164">
      <c r="C164" s="112" t="n">
        <v>44228</v>
      </c>
      <c r="D164" s="112" t="n">
        <v>44253</v>
      </c>
      <c r="E164" s="113" t="inlineStr">
        <is>
          <t>grid_1mk3z2wn.xlsx</t>
        </is>
      </c>
      <c r="F164" s="114" t="n">
        <v>21360.5583328133</v>
      </c>
      <c r="G164" s="114" t="n">
        <v>4423.1890469846</v>
      </c>
      <c r="H164" s="114" t="n">
        <v>951.4289856997</v>
      </c>
      <c r="I164" s="114" t="n">
        <v>5372.0792249762</v>
      </c>
      <c r="J164" s="114" t="n">
        <v>37844.58279833</v>
      </c>
      <c r="K164" s="114" t="n">
        <v>16292.9692674595</v>
      </c>
      <c r="L164" s="114" t="n">
        <v>1011.0536195969</v>
      </c>
      <c r="M164" s="114" t="n">
        <v>1535.7878755787</v>
      </c>
      <c r="N164" s="114" t="n">
        <v>411.2137372055</v>
      </c>
      <c r="O164" s="114" t="n">
        <v>59664.0830509036</v>
      </c>
      <c r="P164" s="114" t="n">
        <v>431.9960316735</v>
      </c>
      <c r="Q164" s="114" t="n">
        <v>2991.3358570304</v>
      </c>
      <c r="R164" s="114" t="n">
        <v>936.1737389716</v>
      </c>
    </row>
    <row r="165">
      <c r="C165" s="112" t="n">
        <v>44256</v>
      </c>
      <c r="D165" s="112" t="n">
        <v>44286</v>
      </c>
      <c r="E165" s="113" t="inlineStr">
        <is>
          <t>grid_1mk3z2wn.xlsx</t>
        </is>
      </c>
      <c r="F165" s="114" t="n">
        <v>24107.4802086203</v>
      </c>
      <c r="G165" s="114" t="n">
        <v>4505.0303415891</v>
      </c>
      <c r="H165" s="114" t="n">
        <v>1045.4709736035</v>
      </c>
      <c r="I165" s="114" t="n">
        <v>5521.0875396384</v>
      </c>
      <c r="J165" s="114" t="n">
        <v>43905.3574941516</v>
      </c>
      <c r="K165" s="114" t="n">
        <v>16904.5043085343</v>
      </c>
      <c r="L165" s="114" t="n">
        <v>1072.9063073512</v>
      </c>
      <c r="M165" s="114" t="n">
        <v>1461.2506473994</v>
      </c>
      <c r="N165" s="114" t="n">
        <v>424.5923936438</v>
      </c>
      <c r="O165" s="114" t="n">
        <v>68660.40480401411</v>
      </c>
      <c r="P165" s="114" t="n">
        <v>422.3651998586</v>
      </c>
      <c r="Q165" s="114" t="n">
        <v>3058.8639916516</v>
      </c>
      <c r="R165" s="114" t="n">
        <v>855.9277889505</v>
      </c>
    </row>
    <row r="166">
      <c r="C166" s="112" t="n">
        <v>44287</v>
      </c>
      <c r="D166" s="112" t="n">
        <v>44316</v>
      </c>
      <c r="E166" s="113" t="inlineStr">
        <is>
          <t>grid_1mk3z2wn.xlsx</t>
        </is>
      </c>
      <c r="F166" s="114" t="n">
        <v>27876.2453567844</v>
      </c>
      <c r="G166" s="114" t="n">
        <v>4621.1617873415</v>
      </c>
      <c r="H166" s="114" t="n">
        <v>1024.7779326862</v>
      </c>
      <c r="I166" s="114" t="n">
        <v>5694.2008134486</v>
      </c>
      <c r="J166" s="114" t="n">
        <v>55462.9627999883</v>
      </c>
      <c r="K166" s="114" t="n">
        <v>17042.3440931236</v>
      </c>
      <c r="L166" s="114" t="n">
        <v>1040.6791437053</v>
      </c>
      <c r="M166" s="114" t="n">
        <v>1524.3539192599</v>
      </c>
      <c r="N166" s="114" t="n">
        <v>427.1506849315</v>
      </c>
      <c r="O166" s="114" t="n">
        <v>77029.9665891475</v>
      </c>
      <c r="P166" s="114" t="n">
        <v>393.9433696055</v>
      </c>
      <c r="Q166" s="114" t="n">
        <v>3117.6831402369</v>
      </c>
      <c r="R166" s="114" t="n">
        <v>885.689999767</v>
      </c>
    </row>
    <row r="167">
      <c r="C167" s="112" t="n">
        <v>44317</v>
      </c>
      <c r="D167" s="112" t="n">
        <v>44347</v>
      </c>
      <c r="E167" s="113" t="inlineStr">
        <is>
          <t>grid_1mk3z2wn.xlsx</t>
        </is>
      </c>
      <c r="F167" s="114" t="n">
        <v>26368.0874790811</v>
      </c>
      <c r="G167" s="114" t="n">
        <v>4447.5884872304</v>
      </c>
      <c r="H167" s="114" t="n">
        <v>1141.1816591686</v>
      </c>
      <c r="I167" s="114" t="n">
        <v>5988.8091451336</v>
      </c>
      <c r="J167" s="114" t="n">
        <v>55670.2483266638</v>
      </c>
      <c r="K167" s="114" t="n">
        <v>16844.3107936194</v>
      </c>
      <c r="L167" s="114" t="n">
        <v>1039.193522749</v>
      </c>
      <c r="M167" s="114" t="n">
        <v>1493.6949343333</v>
      </c>
      <c r="N167" s="114" t="n">
        <v>294.5098930081</v>
      </c>
      <c r="O167" s="114" t="n">
        <v>76456.7505052911</v>
      </c>
      <c r="P167" s="114" t="n">
        <v>415.6247765978</v>
      </c>
      <c r="Q167" s="114" t="n">
        <v>3362.3009404875</v>
      </c>
      <c r="R167" s="114" t="n">
        <v>791.925405494</v>
      </c>
    </row>
    <row r="168">
      <c r="C168" s="112" t="n">
        <v>44348</v>
      </c>
      <c r="D168" s="112" t="n">
        <v>44377</v>
      </c>
      <c r="E168" s="113" t="inlineStr">
        <is>
          <t>grid_1mk3z2wn.xlsx</t>
        </is>
      </c>
      <c r="F168" s="114" t="n">
        <v>27658.9707358983</v>
      </c>
      <c r="G168" s="114" t="n">
        <v>4559.0773039864</v>
      </c>
      <c r="H168" s="114" t="n">
        <v>1197.1443763513</v>
      </c>
      <c r="I168" s="114" t="n">
        <v>5834.9497941742</v>
      </c>
      <c r="J168" s="114" t="n">
        <v>62837.152712688</v>
      </c>
      <c r="K168" s="114" t="n">
        <v>16962.8147479647</v>
      </c>
      <c r="L168" s="114" t="n">
        <v>1040.1509545181</v>
      </c>
      <c r="M168" s="114" t="n">
        <v>1510.6252527212</v>
      </c>
      <c r="N168" s="114" t="n">
        <v>306.2855006806</v>
      </c>
      <c r="O168" s="114" t="n">
        <v>78671.3769113553</v>
      </c>
      <c r="P168" s="114" t="n">
        <v>443.5235615404</v>
      </c>
      <c r="Q168" s="114" t="n">
        <v>3496.0782588486</v>
      </c>
      <c r="R168" s="114" t="n">
        <v>658.5578126692</v>
      </c>
    </row>
    <row r="169">
      <c r="C169" s="112" t="n">
        <v>44378</v>
      </c>
      <c r="D169" s="112" t="n">
        <v>44407</v>
      </c>
      <c r="E169" s="113" t="inlineStr">
        <is>
          <t>grid_1mk3z2wn.xlsx</t>
        </is>
      </c>
      <c r="F169" s="114" t="n">
        <v>29127.3175263349</v>
      </c>
      <c r="G169" s="114" t="n">
        <v>4626.0733155786</v>
      </c>
      <c r="H169" s="114" t="n">
        <v>1328.370900173</v>
      </c>
      <c r="I169" s="114" t="n">
        <v>6191.2046535825</v>
      </c>
      <c r="J169" s="114" t="n">
        <v>63328.9639817172</v>
      </c>
      <c r="K169" s="114" t="n">
        <v>17480.2609399887</v>
      </c>
      <c r="L169" s="114" t="n">
        <v>1150.5323427855</v>
      </c>
      <c r="M169" s="114" t="n">
        <v>1653.2352896328</v>
      </c>
      <c r="N169" s="114" t="n">
        <v>436.9924967452</v>
      </c>
      <c r="O169" s="114" t="n">
        <v>85533.62808177339</v>
      </c>
      <c r="P169" s="114" t="n">
        <v>445.3145833217</v>
      </c>
      <c r="Q169" s="114" t="n">
        <v>3575.09332386</v>
      </c>
      <c r="R169" s="114" t="n">
        <v>679.4171915973</v>
      </c>
    </row>
    <row r="170">
      <c r="C170" s="112" t="n">
        <v>44409</v>
      </c>
      <c r="D170" s="112" t="n">
        <v>44439</v>
      </c>
      <c r="E170" s="113" t="inlineStr">
        <is>
          <t>grid_1mk3z2wn.xlsx</t>
        </is>
      </c>
      <c r="F170" s="114" t="n">
        <v>28384.9395133663</v>
      </c>
      <c r="G170" s="114" t="n">
        <v>4748.6747341066</v>
      </c>
      <c r="H170" s="114" t="n">
        <v>1340.7910781049</v>
      </c>
      <c r="I170" s="114" t="n">
        <v>6148.2606479707</v>
      </c>
      <c r="J170" s="114" t="n">
        <v>67138.0184479993</v>
      </c>
      <c r="K170" s="114" t="n">
        <v>18087.6190740055</v>
      </c>
      <c r="L170" s="114" t="n">
        <v>1206.4962308592</v>
      </c>
      <c r="M170" s="114" t="n">
        <v>1695.9953967108</v>
      </c>
      <c r="N170" s="114" t="n">
        <v>409.7452054795</v>
      </c>
      <c r="O170" s="114" t="n">
        <v>79486.7044871851</v>
      </c>
      <c r="P170" s="114" t="n">
        <v>448.5579444961</v>
      </c>
      <c r="Q170" s="114" t="n">
        <v>3447.8371379986</v>
      </c>
      <c r="R170" s="114" t="n">
        <v>736.1634781358</v>
      </c>
    </row>
    <row r="171">
      <c r="C171" s="112" t="n">
        <v>44440</v>
      </c>
      <c r="D171" s="112" t="n">
        <v>44469</v>
      </c>
      <c r="E171" s="113" t="inlineStr">
        <is>
          <t>grid_1mk3z2wn.xlsx</t>
        </is>
      </c>
      <c r="F171" s="114" t="n">
        <v>26596.8694792006</v>
      </c>
      <c r="G171" s="114" t="n">
        <v>4333.4023633928</v>
      </c>
      <c r="H171" s="114" t="n">
        <v>1389.9588833034</v>
      </c>
      <c r="I171" s="114" t="n">
        <v>6631.4283374796</v>
      </c>
      <c r="J171" s="114" t="n">
        <v>68014.0385750471</v>
      </c>
      <c r="K171" s="114" t="n">
        <v>17913.9190560641</v>
      </c>
      <c r="L171" s="114" t="n">
        <v>1493.1032532467</v>
      </c>
      <c r="M171" s="114" t="n">
        <v>1806.4243363811</v>
      </c>
      <c r="N171" s="114" t="n">
        <v>356.4869250403</v>
      </c>
      <c r="O171" s="114" t="n">
        <v>67716.5061254553</v>
      </c>
      <c r="P171" s="114" t="n">
        <v>451.2618060978</v>
      </c>
      <c r="Q171" s="114" t="n">
        <v>3444.2323544067</v>
      </c>
      <c r="R171" s="114" t="n">
        <v>654.2250573307</v>
      </c>
    </row>
    <row r="172">
      <c r="C172" s="112" t="n">
        <v>44470</v>
      </c>
      <c r="D172" s="112" t="n">
        <v>44498</v>
      </c>
      <c r="E172" s="113" t="inlineStr">
        <is>
          <t>grid_1mk3z2wn.xlsx</t>
        </is>
      </c>
      <c r="F172" s="114" t="n">
        <v>27010.4924005158</v>
      </c>
      <c r="G172" s="114" t="n">
        <v>4887.3303079716</v>
      </c>
      <c r="H172" s="114" t="n">
        <v>1394.0063439967</v>
      </c>
      <c r="I172" s="114" t="n">
        <v>7325.4915397399</v>
      </c>
      <c r="J172" s="114" t="n">
        <v>76278.1816544336</v>
      </c>
      <c r="K172" s="114" t="n">
        <v>18647.2001838061</v>
      </c>
      <c r="L172" s="114" t="n">
        <v>1485.034143054</v>
      </c>
      <c r="M172" s="114" t="n">
        <v>1878.8639920312</v>
      </c>
      <c r="N172" s="114" t="n">
        <v>370.8335211519</v>
      </c>
      <c r="O172" s="114" t="n">
        <v>60530.3538125251</v>
      </c>
      <c r="P172" s="114" t="n">
        <v>460.3683325108</v>
      </c>
      <c r="Q172" s="114" t="n">
        <v>3409.6173204804</v>
      </c>
      <c r="R172" s="114" t="n">
        <v>664.1142362098</v>
      </c>
    </row>
    <row r="173">
      <c r="C173" s="112" t="n">
        <v>44501</v>
      </c>
      <c r="D173" s="112" t="n">
        <v>44530</v>
      </c>
      <c r="E173" s="113" t="inlineStr">
        <is>
          <t>grid_1mk3z2wn.xlsx</t>
        </is>
      </c>
      <c r="F173" s="114" t="n">
        <v>27359.8042853086</v>
      </c>
      <c r="G173" s="114" t="n">
        <v>4579.5588532397</v>
      </c>
      <c r="H173" s="114" t="n">
        <v>1260.148888146</v>
      </c>
      <c r="I173" s="114" t="n">
        <v>8215.1070189763</v>
      </c>
      <c r="J173" s="114" t="n">
        <v>87991.2021795825</v>
      </c>
      <c r="K173" s="114" t="n">
        <v>18250.6193632186</v>
      </c>
      <c r="L173" s="114" t="n">
        <v>1327.889974481</v>
      </c>
      <c r="M173" s="114" t="n">
        <v>1862.8081863924</v>
      </c>
      <c r="N173" s="114" t="n">
        <v>428.4316091538</v>
      </c>
      <c r="O173" s="114" t="n">
        <v>51091.33671893</v>
      </c>
      <c r="P173" s="114" t="n">
        <v>547.4309612437</v>
      </c>
      <c r="Q173" s="114" t="n">
        <v>3467.9178802994</v>
      </c>
      <c r="R173" s="114" t="n">
        <v>649.3126659083</v>
      </c>
    </row>
    <row r="174">
      <c r="C174" s="112" t="n">
        <v>44531</v>
      </c>
      <c r="D174" s="112" t="n">
        <v>44561</v>
      </c>
      <c r="E174" s="113" t="inlineStr">
        <is>
          <t>grid_1mk3z2wn.xlsx</t>
        </is>
      </c>
      <c r="F174" s="114" t="n">
        <v>27028.5191873772</v>
      </c>
      <c r="G174" s="114" t="n">
        <v>4474.9345427142</v>
      </c>
      <c r="H174" s="114" t="n">
        <v>1178.7192110609</v>
      </c>
      <c r="I174" s="114" t="n">
        <v>7815.4131969995</v>
      </c>
      <c r="J174" s="114" t="n">
        <v>87803.12192320731</v>
      </c>
      <c r="K174" s="114" t="n">
        <v>18311.2625808892</v>
      </c>
      <c r="L174" s="114" t="n">
        <v>1355.77581703</v>
      </c>
      <c r="M174" s="114" t="n">
        <v>1873.0407779549</v>
      </c>
      <c r="N174" s="114" t="n">
        <v>400.1287450328</v>
      </c>
      <c r="O174" s="114" t="n">
        <v>48147.481145589</v>
      </c>
      <c r="P174" s="114" t="n">
        <v>507.7845525531</v>
      </c>
      <c r="Q174" s="114" t="n">
        <v>3330.3481641635</v>
      </c>
      <c r="R174" s="114" t="n">
        <v>647.8965113225</v>
      </c>
    </row>
    <row r="175">
      <c r="C175" s="112" t="n">
        <v>44562</v>
      </c>
      <c r="D175" s="112" t="n">
        <v>44592</v>
      </c>
      <c r="E175" s="113" t="inlineStr">
        <is>
          <t>grid_1mk3z2wn.xlsx</t>
        </is>
      </c>
      <c r="F175" s="114" t="n">
        <v>28151.2120295504</v>
      </c>
      <c r="G175" s="114" t="n">
        <v>4357.6493018404</v>
      </c>
      <c r="H175" s="114" t="n">
        <v>1258.0962074668</v>
      </c>
      <c r="I175" s="114" t="n">
        <v>7676.6249210467</v>
      </c>
      <c r="J175" s="114" t="n">
        <v>85992.8495500006</v>
      </c>
      <c r="K175" s="114" t="n">
        <v>18791.0804888265</v>
      </c>
      <c r="L175" s="114" t="n">
        <v>1334.8727735207</v>
      </c>
      <c r="M175" s="114" t="n">
        <v>1942.5185427144</v>
      </c>
      <c r="N175" s="114" t="n">
        <v>421.5779604206</v>
      </c>
      <c r="O175" s="114" t="n">
        <v>51488.0609814877</v>
      </c>
      <c r="P175" s="114" t="n">
        <v>506.7435729101</v>
      </c>
      <c r="Q175" s="114" t="n">
        <v>3310.7717743024</v>
      </c>
      <c r="R175" s="114" t="n">
        <v>1047.8246091397</v>
      </c>
    </row>
    <row r="176">
      <c r="C176" s="112" t="n">
        <v>44593</v>
      </c>
      <c r="D176" s="112" t="n">
        <v>44620</v>
      </c>
      <c r="E176" s="113" t="inlineStr">
        <is>
          <t>grid_1mk3z2wn.xlsx</t>
        </is>
      </c>
      <c r="F176" s="114" t="n">
        <v>30026.3429480347</v>
      </c>
      <c r="G176" s="114" t="n">
        <v>4622.7209478071</v>
      </c>
      <c r="H176" s="114" t="n">
        <v>1227.8967322146</v>
      </c>
      <c r="I176" s="114" t="n">
        <v>7942.9210265284</v>
      </c>
      <c r="J176" s="114" t="n">
        <v>85366.793760845</v>
      </c>
      <c r="K176" s="114" t="n">
        <v>18922.402821438</v>
      </c>
      <c r="L176" s="114" t="n">
        <v>1623.1394820658</v>
      </c>
      <c r="M176" s="114" t="n">
        <v>1891.7191436513</v>
      </c>
      <c r="N176" s="114" t="n">
        <v>455.8536709775</v>
      </c>
      <c r="O176" s="114" t="n">
        <v>55700.1272931369</v>
      </c>
      <c r="P176" s="114" t="n">
        <v>515.1106533382</v>
      </c>
      <c r="Q176" s="114" t="n">
        <v>3149.6357469891</v>
      </c>
      <c r="R176" s="114" t="n">
        <v>1047.5048085041</v>
      </c>
    </row>
    <row r="177">
      <c r="C177" s="112" t="n">
        <v>44621</v>
      </c>
      <c r="D177" s="112" t="n">
        <v>44651</v>
      </c>
      <c r="E177" s="113" t="inlineStr">
        <is>
          <t>grid_1mk3z2wn.xlsx</t>
        </is>
      </c>
      <c r="F177" s="114" t="n">
        <v>32087.0992383976</v>
      </c>
      <c r="G177" s="114" t="n">
        <v>4701.5248292304</v>
      </c>
      <c r="H177" s="114" t="n">
        <v>1241.2324653288</v>
      </c>
      <c r="I177" s="114" t="n">
        <v>7719.3142529119</v>
      </c>
      <c r="J177" s="114" t="n">
        <v>100411.172772043</v>
      </c>
      <c r="K177" s="114" t="n">
        <v>19267.5767821877</v>
      </c>
      <c r="L177" s="114" t="n">
        <v>1807.7692500195</v>
      </c>
      <c r="M177" s="114" t="n">
        <v>1982.3172324309</v>
      </c>
      <c r="N177" s="114" t="n">
        <v>477.6277511659</v>
      </c>
      <c r="O177" s="114" t="n">
        <v>59838.1127341454</v>
      </c>
      <c r="P177" s="114" t="n">
        <v>523.5815560886</v>
      </c>
      <c r="Q177" s="114" t="n">
        <v>3318.9030474904</v>
      </c>
      <c r="R177" s="114" t="n">
        <v>1104.183448548</v>
      </c>
    </row>
    <row r="178">
      <c r="C178" s="112" t="n">
        <v>44652</v>
      </c>
      <c r="D178" s="112" t="n">
        <v>44680</v>
      </c>
      <c r="E178" s="113" t="inlineStr">
        <is>
          <t>grid_1mk3z2wn.xlsx</t>
        </is>
      </c>
      <c r="F178" s="114" t="n">
        <v>34307.4987619675</v>
      </c>
      <c r="G178" s="114" t="n">
        <v>4465.2478708233</v>
      </c>
      <c r="H178" s="114" t="n">
        <v>1352.932819934</v>
      </c>
      <c r="I178" s="114" t="n">
        <v>8387.8718078129</v>
      </c>
      <c r="J178" s="114" t="n">
        <v>102698.618525494</v>
      </c>
      <c r="K178" s="114" t="n">
        <v>19540.5138812106</v>
      </c>
      <c r="L178" s="114" t="n">
        <v>1782.8072876683</v>
      </c>
      <c r="M178" s="114" t="n">
        <v>2009.1345344372</v>
      </c>
      <c r="N178" s="114" t="n">
        <v>516.9392347093</v>
      </c>
      <c r="O178" s="114" t="n">
        <v>65696.3448147469</v>
      </c>
      <c r="P178" s="114" t="n">
        <v>543.0933531319</v>
      </c>
      <c r="Q178" s="114" t="n">
        <v>3201.8607208666</v>
      </c>
      <c r="R178" s="114" t="n">
        <v>1058.2872211288</v>
      </c>
    </row>
    <row r="179">
      <c r="C179" s="112" t="n">
        <v>44682</v>
      </c>
      <c r="D179" s="112" t="n">
        <v>44712</v>
      </c>
      <c r="E179" s="113" t="inlineStr">
        <is>
          <t>grid_1mk3z2wn.xlsx</t>
        </is>
      </c>
      <c r="F179" s="114" t="n">
        <v>35005.2630952866</v>
      </c>
      <c r="G179" s="114" t="n">
        <v>4427.8760259734</v>
      </c>
      <c r="H179" s="114" t="n">
        <v>1472.8231307578</v>
      </c>
      <c r="I179" s="114" t="n">
        <v>7680.1000587818</v>
      </c>
      <c r="J179" s="114" t="n">
        <v>108357.285271325</v>
      </c>
      <c r="K179" s="114" t="n">
        <v>20678.630897651</v>
      </c>
      <c r="L179" s="114" t="n">
        <v>1814.8275331833</v>
      </c>
      <c r="M179" s="114" t="n">
        <v>2027.2333547875</v>
      </c>
      <c r="N179" s="114" t="n">
        <v>526.5576328176001</v>
      </c>
      <c r="O179" s="114" t="n">
        <v>63945.5746420444</v>
      </c>
      <c r="P179" s="114" t="n">
        <v>572.3623868033</v>
      </c>
      <c r="Q179" s="114" t="n">
        <v>3477.4895260346</v>
      </c>
      <c r="R179" s="114" t="n">
        <v>1130.8931584</v>
      </c>
    </row>
    <row r="180">
      <c r="C180" s="112" t="n">
        <v>44713</v>
      </c>
      <c r="D180" s="112" t="n">
        <v>44742</v>
      </c>
      <c r="E180" s="113" t="inlineStr">
        <is>
          <t>grid_1mk3z2wn.xlsx</t>
        </is>
      </c>
      <c r="F180" s="114" t="n">
        <v>36390.7902981754</v>
      </c>
      <c r="G180" s="114" t="n">
        <v>4302.2693999586</v>
      </c>
      <c r="H180" s="114" t="n">
        <v>1421.5268170119</v>
      </c>
      <c r="I180" s="114" t="n">
        <v>7740.7564830896</v>
      </c>
      <c r="J180" s="114" t="n">
        <v>118723.990894534</v>
      </c>
      <c r="K180" s="114" t="n">
        <v>21569.0496305982</v>
      </c>
      <c r="L180" s="114" t="n">
        <v>1681.890922748</v>
      </c>
      <c r="M180" s="114" t="n">
        <v>2310.8955555655</v>
      </c>
      <c r="N180" s="114" t="n">
        <v>543.5311790361</v>
      </c>
      <c r="O180" s="114" t="n">
        <v>64153.0303066689</v>
      </c>
      <c r="P180" s="114" t="n">
        <v>575.6040517070001</v>
      </c>
      <c r="Q180" s="114" t="n">
        <v>4546.0295938943</v>
      </c>
      <c r="R180" s="114" t="n">
        <v>1127.1965282192</v>
      </c>
    </row>
    <row r="181">
      <c r="C181" s="112" t="n">
        <v>44743</v>
      </c>
      <c r="D181" s="112" t="n">
        <v>44771</v>
      </c>
      <c r="E181" s="113" t="inlineStr">
        <is>
          <t>grid_1mk3z2wn.xlsx</t>
        </is>
      </c>
      <c r="F181" s="114" t="n">
        <v>36053.5630492353</v>
      </c>
      <c r="G181" s="114" t="n">
        <v>4118.0905819382</v>
      </c>
      <c r="H181" s="114" t="n">
        <v>1437.0798466895</v>
      </c>
      <c r="I181" s="114" t="n">
        <v>7620.8806507427</v>
      </c>
      <c r="J181" s="114" t="n">
        <v>121159.615932195</v>
      </c>
      <c r="K181" s="114" t="n">
        <v>21723.8931849549</v>
      </c>
      <c r="L181" s="114" t="n">
        <v>1727.1446755437</v>
      </c>
      <c r="M181" s="114" t="n">
        <v>2494.09972407</v>
      </c>
      <c r="N181" s="114" t="n">
        <v>542.4782134700999</v>
      </c>
      <c r="O181" s="114" t="n">
        <v>57236.5826704629</v>
      </c>
      <c r="P181" s="114" t="n">
        <v>593.3836472726</v>
      </c>
      <c r="Q181" s="114" t="n">
        <v>4364.0308195138</v>
      </c>
      <c r="R181" s="114" t="n"/>
    </row>
    <row r="182">
      <c r="C182" s="112" t="n">
        <v>44774</v>
      </c>
      <c r="D182" s="112" t="n">
        <v>44804</v>
      </c>
      <c r="E182" s="113" t="inlineStr">
        <is>
          <t>grid_1mk3z2wn.xlsx</t>
        </is>
      </c>
      <c r="F182" s="114" t="n">
        <v>34794.3544167372</v>
      </c>
      <c r="G182" s="114" t="n">
        <v>3793.6174895893</v>
      </c>
      <c r="H182" s="114" t="n">
        <v>1419.8493849651</v>
      </c>
      <c r="I182" s="114" t="n">
        <v>7713.3849015543</v>
      </c>
      <c r="J182" s="114" t="n">
        <v>124115.28047713</v>
      </c>
      <c r="K182" s="114" t="n">
        <v>21942.3081754997</v>
      </c>
      <c r="L182" s="114" t="n">
        <v>1703.9185862903</v>
      </c>
      <c r="M182" s="114" t="n">
        <v>2437.8257496247</v>
      </c>
      <c r="N182" s="114" t="n">
        <v>524.2157888156</v>
      </c>
      <c r="O182" s="114" t="n">
        <v>54872.6690877637</v>
      </c>
      <c r="P182" s="114" t="n">
        <v>606.4783816336</v>
      </c>
      <c r="Q182" s="114" t="n">
        <v>3871.2363783601</v>
      </c>
      <c r="R182" s="114" t="n"/>
    </row>
    <row r="183">
      <c r="C183" s="112" t="n">
        <v>44805</v>
      </c>
      <c r="D183" s="112" t="n">
        <v>44834</v>
      </c>
      <c r="E183" s="113" t="inlineStr">
        <is>
          <t>grid_1mk3z2wn.xlsx</t>
        </is>
      </c>
      <c r="F183" s="114" t="n">
        <v>33165.1950785359</v>
      </c>
      <c r="G183" s="114" t="n">
        <v>3663.6891772852</v>
      </c>
      <c r="H183" s="114" t="n">
        <v>1390.6181599188</v>
      </c>
      <c r="I183" s="114" t="n">
        <v>7447.2926815108</v>
      </c>
      <c r="J183" s="114" t="n">
        <v>117964.72608924</v>
      </c>
      <c r="K183" s="114" t="n">
        <v>22450.6930345987</v>
      </c>
      <c r="L183" s="114" t="n">
        <v>1721.1552536354</v>
      </c>
      <c r="M183" s="114" t="n">
        <v>2701.171445812</v>
      </c>
      <c r="N183" s="114" t="n">
        <v>545.7541801923001</v>
      </c>
      <c r="O183" s="114" t="n">
        <v>54873.925637773</v>
      </c>
      <c r="P183" s="114" t="n">
        <v>609.6980322228</v>
      </c>
      <c r="Q183" s="114" t="n">
        <v>4159.2103745594</v>
      </c>
      <c r="R183" s="114" t="n"/>
    </row>
    <row r="184">
      <c r="C184" s="112" t="n">
        <v>44835</v>
      </c>
      <c r="D184" s="112" t="n">
        <v>44865</v>
      </c>
      <c r="E184" s="113" t="inlineStr">
        <is>
          <t>grid_1mk3z2wn.xlsx</t>
        </is>
      </c>
      <c r="F184" s="114" t="n">
        <v>30334.7730485954</v>
      </c>
      <c r="G184" s="114" t="n">
        <v>3631.0802189775</v>
      </c>
      <c r="H184" s="114" t="n">
        <v>1466.7867801392</v>
      </c>
      <c r="I184" s="114" t="n">
        <v>7308.0932500132</v>
      </c>
      <c r="J184" s="114" t="n">
        <v>115200.810833734</v>
      </c>
      <c r="K184" s="114" t="n">
        <v>22193.9487463124</v>
      </c>
      <c r="L184" s="114" t="n">
        <v>1760.444373282</v>
      </c>
      <c r="M184" s="114" t="n">
        <v>2833.4544784551</v>
      </c>
      <c r="N184" s="114" t="n">
        <v>559.4700923885</v>
      </c>
      <c r="O184" s="114" t="n">
        <v>47019.7327162002</v>
      </c>
      <c r="P184" s="114" t="n">
        <v>611.0064078391</v>
      </c>
      <c r="Q184" s="114" t="n">
        <v>4478.828061447</v>
      </c>
      <c r="R184" s="114" t="n"/>
    </row>
    <row r="185">
      <c r="C185" s="112" t="n">
        <v>44866</v>
      </c>
      <c r="D185" s="112" t="n">
        <v>44895</v>
      </c>
      <c r="E185" s="113" t="inlineStr">
        <is>
          <t>grid_1mk3z2wn.xlsx</t>
        </is>
      </c>
      <c r="F185" s="114" t="n">
        <v>31015.1158563236</v>
      </c>
      <c r="G185" s="114" t="n">
        <v>3694.1480640276</v>
      </c>
      <c r="H185" s="114" t="n">
        <v>1586.7140589589</v>
      </c>
      <c r="I185" s="114" t="n">
        <v>7568.471092552</v>
      </c>
      <c r="J185" s="114" t="n">
        <v>107975.048266181</v>
      </c>
      <c r="K185" s="114" t="n">
        <v>21687.5119062964</v>
      </c>
      <c r="L185" s="114" t="n">
        <v>1841.7810172458</v>
      </c>
      <c r="M185" s="114" t="n">
        <v>3005.1878793528</v>
      </c>
      <c r="N185" s="114" t="n">
        <v>592.9385516856</v>
      </c>
      <c r="O185" s="114" t="n">
        <v>48047.7427037984</v>
      </c>
      <c r="P185" s="114" t="n">
        <v>622.4572332289</v>
      </c>
      <c r="Q185" s="114" t="n">
        <v>4674.7747082797</v>
      </c>
      <c r="R185" s="114" t="n"/>
    </row>
    <row r="186">
      <c r="C186" s="112" t="n">
        <v>44896</v>
      </c>
      <c r="D186" s="112" t="n">
        <v>44925</v>
      </c>
      <c r="E186" s="113" t="inlineStr">
        <is>
          <t>grid_1mk3z2wn.xlsx</t>
        </is>
      </c>
      <c r="F186" s="114" t="n">
        <v>28805.7661125306</v>
      </c>
      <c r="G186" s="114" t="n">
        <v>3714.9071533854</v>
      </c>
      <c r="H186" s="114" t="n">
        <v>1198.6879632961</v>
      </c>
      <c r="I186" s="114" t="n">
        <v>7030.6354765899</v>
      </c>
      <c r="J186" s="114" t="n">
        <v>93337.229023338</v>
      </c>
      <c r="K186" s="114" t="n">
        <v>21768.3361037337</v>
      </c>
      <c r="L186" s="114" t="n">
        <v>1881.3476069745</v>
      </c>
      <c r="M186" s="114" t="n">
        <v>3104.9064206606</v>
      </c>
      <c r="N186" s="114" t="n">
        <v>626.8115966303</v>
      </c>
      <c r="O186" s="114" t="n">
        <v>45839.8640426304</v>
      </c>
      <c r="P186" s="114" t="n">
        <v>639.5282294216</v>
      </c>
      <c r="Q186" s="114" t="n">
        <v>4271.0148493473</v>
      </c>
      <c r="R186" s="114" t="n"/>
    </row>
    <row r="187">
      <c r="C187" s="112" t="n">
        <v>44927</v>
      </c>
      <c r="D187" s="112" t="n">
        <v>44957</v>
      </c>
      <c r="E187" s="113" t="inlineStr">
        <is>
          <t>grid_22fp35k1.xlsx</t>
        </is>
      </c>
      <c r="F187" s="114" t="n">
        <v>27839.4585870566</v>
      </c>
      <c r="G187" s="114" t="n">
        <v>3704.9739880322</v>
      </c>
      <c r="H187" s="114" t="n">
        <v>1216.3459443471</v>
      </c>
      <c r="I187" s="114" t="n">
        <v>6173.2730815017</v>
      </c>
      <c r="J187" s="114" t="n">
        <v>80428.64987737199</v>
      </c>
      <c r="K187" s="114" t="n">
        <v>22028.6599726911</v>
      </c>
      <c r="L187" s="114" t="n">
        <v>1719.0503972327</v>
      </c>
      <c r="M187" s="114" t="n">
        <v>3022.8944999514</v>
      </c>
      <c r="N187" s="114" t="n">
        <v>655.5589534428</v>
      </c>
      <c r="O187" s="114" t="n">
        <v>46461.7276599395</v>
      </c>
      <c r="P187" s="114" t="n">
        <v>662.4114769296</v>
      </c>
      <c r="Q187" s="114" t="n">
        <v>4478.3207357595</v>
      </c>
      <c r="R187" s="114" t="n"/>
    </row>
    <row r="188">
      <c r="C188" s="112" t="n">
        <v>44958</v>
      </c>
      <c r="D188" s="112" t="n">
        <v>44985</v>
      </c>
      <c r="E188" s="113" t="inlineStr">
        <is>
          <t>grid_22fp35k1.xlsx</t>
        </is>
      </c>
      <c r="F188" s="114" t="n">
        <v>29979.2015456114</v>
      </c>
      <c r="G188" s="114" t="n">
        <v>3699.758390399</v>
      </c>
      <c r="H188" s="114" t="n">
        <v>1173.2886873672</v>
      </c>
      <c r="I188" s="114" t="n">
        <v>6445.9835525651</v>
      </c>
      <c r="J188" s="114" t="n">
        <v>94928.0577261821</v>
      </c>
      <c r="K188" s="114" t="n">
        <v>22522.8398771747</v>
      </c>
      <c r="L188" s="114" t="n">
        <v>1711.6697288625</v>
      </c>
      <c r="M188" s="114" t="n">
        <v>3140.8279214443</v>
      </c>
      <c r="N188" s="114" t="n">
        <v>678.4876177487</v>
      </c>
      <c r="O188" s="114" t="n">
        <v>45574.197832655</v>
      </c>
      <c r="P188" s="114" t="n">
        <v>697.2518852983</v>
      </c>
      <c r="Q188" s="114" t="n">
        <v>4488.9834838511</v>
      </c>
      <c r="R188" s="114" t="n"/>
    </row>
    <row r="189">
      <c r="C189" s="112" t="n">
        <v>44986</v>
      </c>
      <c r="D189" s="112" t="n">
        <v>45016</v>
      </c>
      <c r="E189" s="113" t="inlineStr">
        <is>
          <t>grid_22fp35k1.xlsx</t>
        </is>
      </c>
      <c r="F189" s="114" t="n">
        <v>29097.0078303024</v>
      </c>
      <c r="G189" s="114" t="n">
        <v>3689.7626947761</v>
      </c>
      <c r="H189" s="114" t="n">
        <v>1226.4265556962</v>
      </c>
      <c r="I189" s="114" t="n">
        <v>6649.6103601445</v>
      </c>
      <c r="J189" s="114" t="n">
        <v>90862.30117792331</v>
      </c>
      <c r="K189" s="114" t="n">
        <v>22464.8296325503</v>
      </c>
      <c r="L189" s="114" t="n">
        <v>1744.4767783302</v>
      </c>
      <c r="M189" s="114" t="n">
        <v>3075.4027003422</v>
      </c>
      <c r="N189" s="114" t="n">
        <v>704.517800446</v>
      </c>
      <c r="O189" s="114" t="n">
        <v>47349.1743509792</v>
      </c>
      <c r="P189" s="114" t="n">
        <v>739.2149694262999</v>
      </c>
      <c r="Q189" s="114" t="n">
        <v>4549.6583448916</v>
      </c>
      <c r="R189" s="114" t="n"/>
    </row>
    <row r="190">
      <c r="C190" s="112" t="n">
        <v>45017</v>
      </c>
      <c r="D190" s="112" t="n">
        <v>45044</v>
      </c>
      <c r="E190" s="113" t="inlineStr">
        <is>
          <t>grid_22fp35k1.xlsx</t>
        </is>
      </c>
      <c r="F190" s="114" t="n">
        <v>27118.8137005969</v>
      </c>
      <c r="G190" s="114" t="n">
        <v>3769.0369323884</v>
      </c>
      <c r="H190" s="114" t="n">
        <v>1234.9342238731</v>
      </c>
      <c r="I190" s="114" t="n">
        <v>6844.4445442314</v>
      </c>
      <c r="J190" s="114" t="n">
        <v>89379.47280084201</v>
      </c>
      <c r="K190" s="114" t="n">
        <v>22402.6481268852</v>
      </c>
      <c r="L190" s="114" t="n">
        <v>1745.9439847579</v>
      </c>
      <c r="M190" s="114" t="n">
        <v>3130.0813148595</v>
      </c>
      <c r="N190" s="114" t="n">
        <v>680.6687073619</v>
      </c>
      <c r="O190" s="114" t="n">
        <v>40154.8205575386</v>
      </c>
      <c r="P190" s="114" t="n">
        <v>713.8287519637</v>
      </c>
      <c r="Q190" s="114" t="n">
        <v>4461.6636250087</v>
      </c>
      <c r="R190" s="114" t="n"/>
    </row>
    <row r="191">
      <c r="C191" s="112" t="n">
        <v>45047</v>
      </c>
      <c r="D191" s="112" t="n">
        <v>45077</v>
      </c>
      <c r="E191" s="113" t="inlineStr">
        <is>
          <t>grid_22fp35k1.xlsx</t>
        </is>
      </c>
      <c r="F191" s="114" t="n">
        <v>26330.6170542406</v>
      </c>
      <c r="G191" s="114" t="n">
        <v>3865.747383303</v>
      </c>
      <c r="H191" s="114" t="n">
        <v>1186.5940940883</v>
      </c>
      <c r="I191" s="114" t="n">
        <v>7004.2610003787</v>
      </c>
      <c r="J191" s="114" t="n">
        <v>89818.8943085491</v>
      </c>
      <c r="K191" s="114" t="n">
        <v>22410.9688930123</v>
      </c>
      <c r="L191" s="114" t="n">
        <v>1742.3727932762</v>
      </c>
      <c r="M191" s="114" t="n">
        <v>3070.5445741159</v>
      </c>
      <c r="N191" s="114" t="n">
        <v>629.7499148103</v>
      </c>
      <c r="O191" s="114" t="n">
        <v>38071.8570416451</v>
      </c>
      <c r="P191" s="114" t="n">
        <v>959.3307581132</v>
      </c>
      <c r="Q191" s="114" t="n">
        <v>5002.4867467596</v>
      </c>
      <c r="R191" s="114" t="n"/>
    </row>
    <row r="192">
      <c r="C192" s="112" t="n">
        <v>45078</v>
      </c>
      <c r="D192" s="112" t="n">
        <v>45107</v>
      </c>
      <c r="E192" s="113" t="inlineStr">
        <is>
          <t>grid_22fp35k1.xlsx</t>
        </is>
      </c>
      <c r="F192" s="114" t="n">
        <v>25589.0167542496</v>
      </c>
      <c r="G192" s="114" t="n">
        <v>4002.8030402699</v>
      </c>
      <c r="H192" s="114" t="n">
        <v>989.122506174</v>
      </c>
      <c r="I192" s="114" t="n">
        <v>6936.7041194544</v>
      </c>
      <c r="J192" s="114" t="n">
        <v>88021.44926382561</v>
      </c>
      <c r="K192" s="114" t="n">
        <v>22718.1915724293</v>
      </c>
      <c r="L192" s="114" t="n">
        <v>1782.5057521574</v>
      </c>
      <c r="M192" s="114" t="n">
        <v>3122.4153889893</v>
      </c>
      <c r="N192" s="114" t="n">
        <v>633.8489773653999</v>
      </c>
      <c r="O192" s="114" t="n">
        <v>35018.7197790732</v>
      </c>
      <c r="P192" s="114" t="n">
        <v>963.9245101228</v>
      </c>
      <c r="Q192" s="114" t="n">
        <v>4396.1741312578</v>
      </c>
      <c r="R192" s="114" t="n"/>
    </row>
    <row r="193">
      <c r="C193" s="112" t="n">
        <v>45108</v>
      </c>
      <c r="D193" s="112" t="n">
        <v>45138</v>
      </c>
      <c r="E193" s="113" t="inlineStr">
        <is>
          <t>grid_22fp35k1.xlsx</t>
        </is>
      </c>
      <c r="F193" s="114" t="n">
        <v>25474.4542968395</v>
      </c>
      <c r="G193" s="114" t="n">
        <v>4044.6585578439</v>
      </c>
      <c r="H193" s="114" t="n">
        <v>1031.8946721502</v>
      </c>
      <c r="I193" s="114" t="n">
        <v>6533.5477859831</v>
      </c>
      <c r="J193" s="114" t="n">
        <v>85807.5464401881</v>
      </c>
      <c r="K193" s="114" t="n">
        <v>22839.2415601508</v>
      </c>
      <c r="L193" s="114" t="n">
        <v>1903.8616439398</v>
      </c>
      <c r="M193" s="114" t="n">
        <v>3219.5403279837</v>
      </c>
      <c r="N193" s="114" t="n">
        <v>658.7433964018001</v>
      </c>
      <c r="O193" s="114" t="n">
        <v>32658.2695198694</v>
      </c>
      <c r="P193" s="114" t="n">
        <v>1007.7298692583</v>
      </c>
      <c r="Q193" s="114" t="n">
        <v>4528.1914289613</v>
      </c>
      <c r="R193" s="114" t="n"/>
    </row>
    <row r="194">
      <c r="C194" s="112" t="n">
        <v>45139</v>
      </c>
      <c r="D194" s="112" t="n">
        <v>45169</v>
      </c>
      <c r="E194" s="113" t="inlineStr">
        <is>
          <t>grid_22fp35k1.xlsx</t>
        </is>
      </c>
      <c r="F194" s="114" t="n">
        <v>26642.1568551732</v>
      </c>
      <c r="G194" s="114" t="n">
        <v>4266.0726894265</v>
      </c>
      <c r="H194" s="114" t="n">
        <v>1215.4168471466</v>
      </c>
      <c r="I194" s="114" t="n">
        <v>6758.8273786286</v>
      </c>
      <c r="J194" s="114" t="n">
        <v>89188.39033612639</v>
      </c>
      <c r="K194" s="114" t="n">
        <v>23120.0500470521</v>
      </c>
      <c r="L194" s="114" t="n">
        <v>1975.6995233882</v>
      </c>
      <c r="M194" s="114" t="n">
        <v>3209.723878559</v>
      </c>
      <c r="N194" s="114" t="n">
        <v>651.8632332651</v>
      </c>
      <c r="O194" s="114" t="n">
        <v>30956.3268707593</v>
      </c>
      <c r="P194" s="114" t="n">
        <v>975.9145604404</v>
      </c>
      <c r="Q194" s="114" t="n">
        <v>4700.4401975456</v>
      </c>
      <c r="R194" s="114" t="n"/>
    </row>
    <row r="195">
      <c r="C195" s="112" t="n">
        <v>45170</v>
      </c>
      <c r="D195" s="112" t="n">
        <v>45198</v>
      </c>
      <c r="E195" s="113" t="inlineStr">
        <is>
          <t>grid_22fp35k1.xlsx</t>
        </is>
      </c>
      <c r="F195" s="114" t="n">
        <v>27437.4493531088</v>
      </c>
      <c r="G195" s="114" t="n">
        <v>4544.165021375</v>
      </c>
      <c r="H195" s="114" t="n">
        <v>1353.5361039244</v>
      </c>
      <c r="I195" s="114" t="n">
        <v>6428.8966393251</v>
      </c>
      <c r="J195" s="114" t="n">
        <v>88112.2523560734</v>
      </c>
      <c r="K195" s="114" t="n">
        <v>23527.3707520227</v>
      </c>
      <c r="L195" s="114" t="n">
        <v>2014.1082991378</v>
      </c>
      <c r="M195" s="114" t="n">
        <v>3304.7375341825</v>
      </c>
      <c r="N195" s="114" t="n">
        <v>650.0094617386</v>
      </c>
      <c r="O195" s="114" t="n">
        <v>32994.155959805</v>
      </c>
      <c r="P195" s="114" t="n">
        <v>926.7969148705</v>
      </c>
      <c r="Q195" s="114" t="n">
        <v>5301.082692255</v>
      </c>
      <c r="R195" s="114" t="n"/>
    </row>
    <row r="196">
      <c r="C196" s="112" t="n">
        <v>45200</v>
      </c>
      <c r="D196" s="112" t="n">
        <v>45230</v>
      </c>
      <c r="E196" s="113" t="inlineStr">
        <is>
          <t>grid_22fp35k1.xlsx</t>
        </is>
      </c>
      <c r="F196" s="114" t="n">
        <v>29781.0872283543</v>
      </c>
      <c r="G196" s="114" t="n">
        <v>4642.1245442533</v>
      </c>
      <c r="H196" s="114" t="n">
        <v>1527.6146030676</v>
      </c>
      <c r="I196" s="114" t="n">
        <v>6545.489769422</v>
      </c>
      <c r="J196" s="114" t="n">
        <v>94220.0116327529</v>
      </c>
      <c r="K196" s="114" t="n">
        <v>24192.0369741656</v>
      </c>
      <c r="L196" s="114" t="n">
        <v>2058.5926901683</v>
      </c>
      <c r="M196" s="114" t="n">
        <v>3296.200829154</v>
      </c>
      <c r="N196" s="114" t="n">
        <v>672.4703398162</v>
      </c>
      <c r="O196" s="114" t="n">
        <v>35443.5413796474</v>
      </c>
      <c r="P196" s="114" t="n">
        <v>949.638954409</v>
      </c>
      <c r="Q196" s="114" t="n">
        <v>5502.6788166319</v>
      </c>
      <c r="R196" s="114" t="n"/>
    </row>
    <row r="197">
      <c r="C197" s="112" t="n">
        <v>45231</v>
      </c>
      <c r="D197" s="112" t="n">
        <v>45260</v>
      </c>
      <c r="E197" s="113" t="inlineStr">
        <is>
          <t>grid_22fp35k1.xlsx</t>
        </is>
      </c>
      <c r="F197" s="114" t="n">
        <v>28689.2337264073</v>
      </c>
      <c r="G197" s="114" t="n">
        <v>4779.0887990832</v>
      </c>
      <c r="H197" s="114" t="n">
        <v>1650.6931335403</v>
      </c>
      <c r="I197" s="114" t="n">
        <v>6236.5757103012</v>
      </c>
      <c r="J197" s="114" t="n">
        <v>95337.0918038371</v>
      </c>
      <c r="K197" s="114" t="n">
        <v>24184.1372812351</v>
      </c>
      <c r="L197" s="114" t="n">
        <v>2136.0090942893</v>
      </c>
      <c r="M197" s="114" t="n">
        <v>3332.9805552306</v>
      </c>
      <c r="N197" s="114" t="n">
        <v>708.1105088393</v>
      </c>
      <c r="O197" s="114" t="n">
        <v>36080.827846901</v>
      </c>
      <c r="P197" s="114" t="n">
        <v>907.8040858918</v>
      </c>
      <c r="Q197" s="114" t="n">
        <v>5444.0605955267</v>
      </c>
      <c r="R197" s="114" t="n"/>
    </row>
    <row r="198">
      <c r="C198" s="112" t="n">
        <v>45261</v>
      </c>
      <c r="D198" s="112" t="n">
        <v>45289</v>
      </c>
      <c r="E198" s="113" t="inlineStr">
        <is>
          <t>grid_22fp35k1.xlsx</t>
        </is>
      </c>
      <c r="F198" s="114" t="n">
        <v>29546.262293585</v>
      </c>
      <c r="G198" s="114" t="n">
        <v>4778.3426690184</v>
      </c>
      <c r="H198" s="114" t="n">
        <v>1645.9264666358</v>
      </c>
      <c r="I198" s="114" t="n">
        <v>6180.7714892442</v>
      </c>
      <c r="J198" s="114" t="n">
        <v>100187.538338538</v>
      </c>
      <c r="K198" s="114" t="n">
        <v>24350.2854389375</v>
      </c>
      <c r="L198" s="114" t="n">
        <v>2222.2355993454</v>
      </c>
      <c r="M198" s="114" t="n">
        <v>3448.5655678887</v>
      </c>
      <c r="N198" s="114" t="n">
        <v>731.2693046540001</v>
      </c>
      <c r="O198" s="114" t="n">
        <v>37400.9673386505</v>
      </c>
      <c r="P198" s="114" t="n">
        <v>836.7706393083</v>
      </c>
      <c r="Q198" s="114" t="n">
        <v>5376.5443965301</v>
      </c>
      <c r="R198" s="114" t="n"/>
    </row>
    <row r="199">
      <c r="C199" s="112" t="n">
        <v>45292</v>
      </c>
      <c r="D199" s="112" t="n">
        <v>45322</v>
      </c>
      <c r="E199" s="113" t="inlineStr">
        <is>
          <t>grid_22fp35k1.xlsx</t>
        </is>
      </c>
      <c r="F199" s="114" t="n">
        <v>29813.1328602194</v>
      </c>
      <c r="G199" s="114" t="n">
        <v>4925.0965279909</v>
      </c>
      <c r="H199" s="114" t="n">
        <v>1776.890935613</v>
      </c>
      <c r="I199" s="114" t="n">
        <v>6789.9305166742</v>
      </c>
      <c r="J199" s="114" t="n">
        <v>95929.16575689591</v>
      </c>
      <c r="K199" s="114" t="n">
        <v>24875.6462108231</v>
      </c>
      <c r="L199" s="114" t="n">
        <v>2258.5988603614</v>
      </c>
      <c r="M199" s="114" t="n">
        <v>3468.7187150391</v>
      </c>
      <c r="N199" s="114" t="n">
        <v>735.3287293958</v>
      </c>
      <c r="O199" s="114" t="n">
        <v>39116.9148732803</v>
      </c>
      <c r="P199" s="114" t="n">
        <v>813.3254912775</v>
      </c>
      <c r="Q199" s="114" t="n">
        <v>4942.5224101152</v>
      </c>
      <c r="R199" s="114" t="n"/>
    </row>
    <row r="200">
      <c r="C200" s="112" t="n">
        <v>45323</v>
      </c>
      <c r="D200" s="112" t="n">
        <v>45351</v>
      </c>
      <c r="E200" s="113" t="inlineStr">
        <is>
          <t>grid_22fp35k1.xlsx</t>
        </is>
      </c>
      <c r="F200" s="114" t="n">
        <v>29187.809850116</v>
      </c>
      <c r="G200" s="114" t="n">
        <v>5024.7952555676</v>
      </c>
      <c r="H200" s="114" t="n">
        <v>1869.1099698858</v>
      </c>
      <c r="I200" s="114" t="n">
        <v>6412.337937158</v>
      </c>
      <c r="J200" s="114" t="n">
        <v>95003.53727433219</v>
      </c>
      <c r="K200" s="114" t="n">
        <v>25033.8427282399</v>
      </c>
      <c r="L200" s="114" t="n">
        <v>2270.4787517396</v>
      </c>
      <c r="M200" s="114" t="n">
        <v>3560.6048110939</v>
      </c>
      <c r="N200" s="114" t="n">
        <v>732.6188198915</v>
      </c>
      <c r="O200" s="114" t="n">
        <v>37919.4616883047</v>
      </c>
      <c r="P200" s="114" t="n">
        <v>816.768202333</v>
      </c>
      <c r="Q200" s="114" t="n">
        <v>5106.4971035057</v>
      </c>
      <c r="R200" s="114" t="n"/>
    </row>
    <row r="201">
      <c r="C201" s="112" t="n">
        <v>45352</v>
      </c>
      <c r="D201" s="112" t="n">
        <v>45380</v>
      </c>
      <c r="E201" s="113" t="inlineStr">
        <is>
          <t>grid_22fp35k1.xlsx</t>
        </is>
      </c>
      <c r="F201" s="114" t="n">
        <v>27849.5495720741</v>
      </c>
      <c r="G201" s="114" t="n">
        <v>5085.1277457808</v>
      </c>
      <c r="H201" s="114" t="n">
        <v>1903.7626357162</v>
      </c>
      <c r="I201" s="114" t="n">
        <v>6113.5248892092</v>
      </c>
      <c r="J201" s="114" t="n">
        <v>91684.1681568982</v>
      </c>
      <c r="K201" s="114" t="n">
        <v>25395.6191157047</v>
      </c>
      <c r="L201" s="114" t="n">
        <v>2357.0122180512</v>
      </c>
      <c r="M201" s="114" t="n">
        <v>3512.4497803933</v>
      </c>
      <c r="N201" s="114" t="n">
        <v>717.3745049118</v>
      </c>
      <c r="O201" s="114" t="n">
        <v>35629.9477465426</v>
      </c>
      <c r="P201" s="114" t="n">
        <v>843.1800846911</v>
      </c>
      <c r="Q201" s="114" t="n">
        <v>5189.3305107736</v>
      </c>
      <c r="R201" s="114" t="n"/>
    </row>
    <row r="202">
      <c r="C202" s="112" t="n">
        <v>45383</v>
      </c>
      <c r="D202" s="112" t="n">
        <v>45412</v>
      </c>
      <c r="E202" s="113" t="inlineStr">
        <is>
          <t>grid_22fp35k1.xlsx</t>
        </is>
      </c>
      <c r="F202" s="114" t="n">
        <v>30546.3561837988</v>
      </c>
      <c r="G202" s="114" t="n">
        <v>5119.4958111728</v>
      </c>
      <c r="H202" s="114" t="n">
        <v>1943.0906738445</v>
      </c>
      <c r="I202" s="114" t="n">
        <v>6485.5406763685</v>
      </c>
      <c r="J202" s="114" t="n">
        <v>100424.801224771</v>
      </c>
      <c r="K202" s="114" t="n">
        <v>25480.9516793158</v>
      </c>
      <c r="L202" s="114" t="n">
        <v>2370.5728250153</v>
      </c>
      <c r="M202" s="114" t="n">
        <v>3587.5497553436</v>
      </c>
      <c r="N202" s="114" t="n">
        <v>739.6669450661</v>
      </c>
      <c r="O202" s="114" t="n">
        <v>32886.8570579641</v>
      </c>
      <c r="P202" s="114" t="n">
        <v>825.6720594943</v>
      </c>
      <c r="Q202" s="114" t="n">
        <v>5092.5901502005</v>
      </c>
      <c r="R202" s="114" t="n"/>
    </row>
    <row r="203">
      <c r="C203" s="112" t="n">
        <v>45413</v>
      </c>
      <c r="D203" s="112" t="n">
        <v>45443</v>
      </c>
      <c r="E203" s="113" t="inlineStr">
        <is>
          <t>grid_22fp35k1.xlsx</t>
        </is>
      </c>
      <c r="F203" s="114" t="n">
        <v>29622.1865202115</v>
      </c>
      <c r="G203" s="114" t="n">
        <v>5062.731640067</v>
      </c>
      <c r="H203" s="114" t="n">
        <v>1911.7723737223</v>
      </c>
      <c r="I203" s="114" t="n">
        <v>7121.8343845888</v>
      </c>
      <c r="J203" s="114" t="n">
        <v>96521.7555952557</v>
      </c>
      <c r="K203" s="114" t="n">
        <v>25819.7282551223</v>
      </c>
      <c r="L203" s="114" t="n">
        <v>2435.9862005393</v>
      </c>
      <c r="M203" s="114" t="n">
        <v>3581.9823606543</v>
      </c>
      <c r="N203" s="114" t="n">
        <v>742.522717948</v>
      </c>
      <c r="O203" s="114" t="n">
        <v>34781.9969492048</v>
      </c>
      <c r="P203" s="114" t="n">
        <v>799.2895847134</v>
      </c>
      <c r="Q203" s="114" t="n">
        <v>5068.7010793181</v>
      </c>
      <c r="R203" s="114" t="n"/>
    </row>
    <row r="204">
      <c r="C204" s="112" t="n">
        <v>45444</v>
      </c>
      <c r="D204" s="112" t="n">
        <v>45471</v>
      </c>
      <c r="E204" s="113" t="inlineStr">
        <is>
          <t>grid_22fp35k1.xlsx</t>
        </is>
      </c>
      <c r="F204" s="114" t="n">
        <v>29058.4153921932</v>
      </c>
      <c r="G204" s="114" t="n">
        <v>5158.3476998947</v>
      </c>
      <c r="H204" s="114" t="n">
        <v>1927.3494096151</v>
      </c>
      <c r="I204" s="114" t="n">
        <v>7158.8022768356</v>
      </c>
      <c r="J204" s="114" t="n">
        <v>91041.7098165104</v>
      </c>
      <c r="K204" s="114" t="n">
        <v>26407.589147979</v>
      </c>
      <c r="L204" s="114" t="n">
        <v>2675.404043849</v>
      </c>
      <c r="M204" s="114" t="n">
        <v>3697.2650607958</v>
      </c>
      <c r="N204" s="114" t="n">
        <v>738.0845522797</v>
      </c>
      <c r="O204" s="114" t="n">
        <v>36801.0767443603</v>
      </c>
      <c r="P204" s="114" t="n">
        <v>803.0305820376</v>
      </c>
      <c r="Q204" s="114" t="n">
        <v>5021.0295685205</v>
      </c>
      <c r="R204" s="114" t="n"/>
    </row>
    <row r="205">
      <c r="C205" s="112" t="n">
        <v>45474</v>
      </c>
      <c r="D205" s="112" t="n">
        <v>45504</v>
      </c>
      <c r="E205" s="113" t="inlineStr">
        <is>
          <t>grid_22fp35k1.xlsx</t>
        </is>
      </c>
      <c r="F205" s="114" t="n">
        <v>30154.9579791481</v>
      </c>
      <c r="G205" s="114" t="n">
        <v>5198.3851055209</v>
      </c>
      <c r="H205" s="114" t="n">
        <v>1980.2349656338</v>
      </c>
      <c r="I205" s="114" t="n">
        <v>7299.1207603801</v>
      </c>
      <c r="J205" s="114" t="n">
        <v>101998.068524759</v>
      </c>
      <c r="K205" s="114" t="n">
        <v>26655.6480468261</v>
      </c>
      <c r="L205" s="114" t="n">
        <v>2688.7678551191</v>
      </c>
      <c r="M205" s="114" t="n">
        <v>3877.0203761805</v>
      </c>
      <c r="N205" s="114" t="n">
        <v>725.5384487499</v>
      </c>
      <c r="O205" s="114" t="n">
        <v>37830.8583362262</v>
      </c>
      <c r="P205" s="114" t="n">
        <v>817.6697699564</v>
      </c>
      <c r="Q205" s="114" t="n">
        <v>4812.9058026439</v>
      </c>
      <c r="R205" s="114" t="n"/>
    </row>
    <row r="206">
      <c r="C206" s="112" t="n">
        <v>45505</v>
      </c>
      <c r="D206" s="112" t="n">
        <v>45534</v>
      </c>
      <c r="E206" s="113" t="inlineStr">
        <is>
          <t>grid_22fp35k1.xlsx</t>
        </is>
      </c>
      <c r="F206" s="114" t="n">
        <v>28540.2016501304</v>
      </c>
      <c r="G206" s="114" t="n">
        <v>5290.6211451473</v>
      </c>
      <c r="H206" s="114" t="n">
        <v>1932.2625853721</v>
      </c>
      <c r="I206" s="114" t="n">
        <v>7627.834386466</v>
      </c>
      <c r="J206" s="114" t="n">
        <v>94043.86038281499</v>
      </c>
      <c r="K206" s="114" t="n">
        <v>27031.3887827116</v>
      </c>
      <c r="L206" s="114" t="n">
        <v>2953.3703216828</v>
      </c>
      <c r="M206" s="114" t="n">
        <v>3897.9475433832</v>
      </c>
      <c r="N206" s="114" t="n">
        <v>726.9952573695</v>
      </c>
      <c r="O206" s="114" t="n">
        <v>36056.3306804187</v>
      </c>
      <c r="P206" s="114" t="n">
        <v>822.2789662161</v>
      </c>
      <c r="Q206" s="114" t="n">
        <v>4848.6259125749</v>
      </c>
      <c r="R206" s="114" t="n"/>
    </row>
    <row r="207">
      <c r="C207" s="112" t="n">
        <v>45536</v>
      </c>
      <c r="D207" s="112" t="n">
        <v>45565</v>
      </c>
      <c r="E207" s="113" t="inlineStr">
        <is>
          <t>grid_22fp35k1.xlsx</t>
        </is>
      </c>
      <c r="F207" s="114" t="n">
        <v>27009.5597759625</v>
      </c>
      <c r="G207" s="114" t="n">
        <v>5456.404709125</v>
      </c>
      <c r="H207" s="114" t="n">
        <v>1959.1786499609</v>
      </c>
      <c r="I207" s="114" t="n">
        <v>7849.3017582347</v>
      </c>
      <c r="J207" s="114" t="n">
        <v>85356.3788830976</v>
      </c>
      <c r="K207" s="114" t="n">
        <v>27081.3218062637</v>
      </c>
      <c r="L207" s="114" t="n">
        <v>2877.5720069972</v>
      </c>
      <c r="M207" s="114" t="n">
        <v>3702.4084447513</v>
      </c>
      <c r="N207" s="114" t="n">
        <v>747.5264108026</v>
      </c>
      <c r="O207" s="114" t="n">
        <v>36251.2768626653</v>
      </c>
      <c r="P207" s="114" t="n">
        <v>865.0747613004</v>
      </c>
      <c r="Q207" s="114" t="n">
        <v>4724.1145915089</v>
      </c>
      <c r="R207" s="114" t="n"/>
    </row>
    <row r="208">
      <c r="C208" s="112" t="n">
        <v>45566</v>
      </c>
      <c r="D208" s="112" t="n">
        <v>45596</v>
      </c>
      <c r="E208" s="113" t="inlineStr">
        <is>
          <t>grid_22fp35k1.xlsx</t>
        </is>
      </c>
      <c r="F208" s="114" t="n">
        <v>27629.9364588461</v>
      </c>
      <c r="G208" s="114" t="n">
        <v>5572.876687747</v>
      </c>
      <c r="H208" s="114" t="n">
        <v>1875.8854895608</v>
      </c>
      <c r="I208" s="114" t="n">
        <v>7998.8980836483</v>
      </c>
      <c r="J208" s="114" t="n">
        <v>89788.7905143947</v>
      </c>
      <c r="K208" s="114" t="n">
        <v>27340.4231550375</v>
      </c>
      <c r="L208" s="114" t="n">
        <v>2872.1238151596</v>
      </c>
      <c r="M208" s="114" t="n">
        <v>3968.8444530257</v>
      </c>
      <c r="N208" s="114" t="n">
        <v>756.1768890595999</v>
      </c>
      <c r="O208" s="114" t="n">
        <v>35506.3087836457</v>
      </c>
      <c r="P208" s="114" t="n">
        <v>862.1417085508</v>
      </c>
      <c r="Q208" s="114" t="n">
        <v>4910.3379742009</v>
      </c>
      <c r="R208" s="114" t="n"/>
    </row>
    <row r="209">
      <c r="C209" s="112" t="n">
        <v>45597</v>
      </c>
      <c r="D209" s="112" t="n">
        <v>45625</v>
      </c>
      <c r="E209" s="113" t="inlineStr">
        <is>
          <t>grid_22fp35k1.xlsx</t>
        </is>
      </c>
      <c r="F209" s="114" t="n">
        <v>29600.8240345202</v>
      </c>
      <c r="G209" s="114" t="n">
        <v>5563.8564985524</v>
      </c>
      <c r="H209" s="114" t="n">
        <v>1911.8195660276</v>
      </c>
      <c r="I209" s="114" t="n">
        <v>8124.3728222607</v>
      </c>
      <c r="J209" s="114" t="n">
        <v>94491.89439426421</v>
      </c>
      <c r="K209" s="114" t="n">
        <v>27734.7992361363</v>
      </c>
      <c r="L209" s="114" t="n">
        <v>2963.0929150824</v>
      </c>
      <c r="M209" s="114" t="n">
        <v>4064.4444955246</v>
      </c>
      <c r="N209" s="114" t="n">
        <v>770.5095845548</v>
      </c>
      <c r="O209" s="114" t="n">
        <v>35245.7991186797</v>
      </c>
      <c r="P209" s="114" t="n">
        <v>843.5643456246</v>
      </c>
      <c r="Q209" s="114" t="n">
        <v>5231.0510316356</v>
      </c>
      <c r="R209" s="114" t="n"/>
    </row>
    <row r="210">
      <c r="C210" s="112" t="n">
        <v>45627</v>
      </c>
      <c r="D210" s="112" t="n">
        <v>45657</v>
      </c>
      <c r="E210" s="113" t="inlineStr">
        <is>
          <t>grid_22fp35k1.xlsx</t>
        </is>
      </c>
      <c r="F210" s="114" t="n">
        <v>29864.4831072854</v>
      </c>
      <c r="G210" s="114" t="n">
        <v>5493.3422102843</v>
      </c>
      <c r="H210" s="114" t="n">
        <v>1984.8254838618</v>
      </c>
      <c r="I210" s="114" t="n">
        <v>7054.2724090456</v>
      </c>
      <c r="J210" s="114" t="n">
        <v>96035.69188604951</v>
      </c>
      <c r="K210" s="114" t="n">
        <v>27226.6317366095</v>
      </c>
      <c r="L210" s="114" t="n">
        <v>2993.0412301768</v>
      </c>
      <c r="M210" s="114" t="n">
        <v>4210.9813081788</v>
      </c>
      <c r="N210" s="114" t="n">
        <v>790.4051251033</v>
      </c>
      <c r="O210" s="114" t="n">
        <v>35952.4628773105</v>
      </c>
      <c r="P210" s="114" t="n">
        <v>836.8585336397</v>
      </c>
      <c r="Q210" s="114" t="n">
        <v>5126.4289968228</v>
      </c>
      <c r="R210" s="114" t="n"/>
    </row>
    <row r="211">
      <c r="C211" s="112" t="n">
        <v>45658</v>
      </c>
      <c r="D211" s="112" t="n">
        <v>45688</v>
      </c>
      <c r="E211" s="113" t="inlineStr">
        <is>
          <t>grid_22fp35k1.xlsx</t>
        </is>
      </c>
      <c r="F211" s="114" t="n">
        <v>29278.3468063418</v>
      </c>
      <c r="G211" s="114" t="n">
        <v>5527.0957610804</v>
      </c>
      <c r="H211" s="114" t="n">
        <v>1819.2371873644</v>
      </c>
      <c r="I211" s="114" t="n">
        <v>6971.9397747244</v>
      </c>
      <c r="J211" s="114" t="n">
        <v>97370.64482178009</v>
      </c>
      <c r="K211" s="114" t="n">
        <v>27769.2666834339</v>
      </c>
      <c r="L211" s="114" t="n">
        <v>2935.4251410184</v>
      </c>
      <c r="M211" s="114" t="n">
        <v>4167.8108633737</v>
      </c>
      <c r="N211" s="114" t="n">
        <v>838.1909499883</v>
      </c>
      <c r="O211" s="114" t="n">
        <v>33547.9256466293</v>
      </c>
      <c r="P211" s="114" t="n">
        <v>820.0289699707</v>
      </c>
      <c r="Q211" s="114" t="n">
        <v>4988.3174702246</v>
      </c>
      <c r="R211" s="114" t="n"/>
    </row>
    <row r="212">
      <c r="C212" s="112" t="n">
        <v>45689</v>
      </c>
      <c r="D212" s="112" t="n">
        <v>45716</v>
      </c>
      <c r="E212" s="113" t="inlineStr">
        <is>
          <t>grid_22fp35k1.xlsx</t>
        </is>
      </c>
      <c r="F212" s="114" t="n">
        <v>29436.8131068519</v>
      </c>
      <c r="G212" s="114" t="n">
        <v>5509.1282563623</v>
      </c>
      <c r="H212" s="114" t="n">
        <v>1781.6988065196</v>
      </c>
      <c r="I212" s="114" t="n">
        <v>7929.5013780016</v>
      </c>
      <c r="J212" s="114" t="n">
        <v>99413.2251526841</v>
      </c>
      <c r="K212" s="114" t="n">
        <v>27687.1551560872</v>
      </c>
      <c r="L212" s="114" t="n">
        <v>3152.4132084344</v>
      </c>
      <c r="M212" s="114" t="n">
        <v>4007.5811301531</v>
      </c>
      <c r="N212" s="114" t="n">
        <v>865.6437074081</v>
      </c>
      <c r="O212" s="114" t="n">
        <v>34545.2412459078</v>
      </c>
      <c r="P212" s="114" t="n">
        <v>798.6032797892</v>
      </c>
      <c r="Q212" s="114" t="n">
        <v>5039.0338433289</v>
      </c>
      <c r="R212" s="114" t="n"/>
    </row>
    <row r="213">
      <c r="C213" s="112" t="n">
        <v>45717</v>
      </c>
      <c r="D213" s="112" t="n">
        <v>45747</v>
      </c>
      <c r="E213" s="113" t="inlineStr">
        <is>
          <t>grid_22fp35k1.xlsx</t>
        </is>
      </c>
      <c r="F213" s="114" t="n">
        <v>29278.2496750191</v>
      </c>
      <c r="G213" s="114" t="n">
        <v>5484.8786920243</v>
      </c>
      <c r="H213" s="114" t="n">
        <v>1748.1901103269</v>
      </c>
      <c r="I213" s="114" t="n">
        <v>8264.452701681799</v>
      </c>
      <c r="J213" s="114" t="n">
        <v>97594.92413912871</v>
      </c>
      <c r="K213" s="114" t="n">
        <v>27599.4009829503</v>
      </c>
      <c r="L213" s="114" t="n">
        <v>3172.8011023118</v>
      </c>
      <c r="M213" s="114" t="n">
        <v>4004.4264675657</v>
      </c>
      <c r="N213" s="114" t="n">
        <v>894.0299878397</v>
      </c>
      <c r="O213" s="114" t="n">
        <v>35346.2096908767</v>
      </c>
      <c r="P213" s="114" t="n">
        <v>809.5606103304</v>
      </c>
      <c r="Q213" s="114" t="n">
        <v>5264.1880704361</v>
      </c>
      <c r="R213" s="114" t="n"/>
    </row>
    <row r="214">
      <c r="C214" s="112" t="n">
        <v>45748</v>
      </c>
      <c r="D214" s="112" t="n">
        <v>45777</v>
      </c>
      <c r="E214" s="113" t="inlineStr">
        <is>
          <t>grid_22fp35k1.xlsx</t>
        </is>
      </c>
      <c r="F214" s="114" t="n">
        <v>24365.0599452765</v>
      </c>
      <c r="G214" s="114" t="n">
        <v>5571.388361431</v>
      </c>
      <c r="H214" s="114" t="n">
        <v>1662.5498005608</v>
      </c>
      <c r="I214" s="114" t="n">
        <v>8510.852848963401</v>
      </c>
      <c r="J214" s="114" t="n">
        <v>83356.3737068637</v>
      </c>
      <c r="K214" s="114" t="n">
        <v>27836.904549378</v>
      </c>
      <c r="L214" s="114" t="n">
        <v>3202.2059147359</v>
      </c>
      <c r="M214" s="114" t="n">
        <v>3979.7903007264</v>
      </c>
      <c r="N214" s="114" t="n">
        <v>903.9799184724</v>
      </c>
      <c r="O214" s="114" t="n">
        <v>32426.5425081437</v>
      </c>
      <c r="P214" s="114" t="n">
        <v>802.4768215326</v>
      </c>
      <c r="Q214" s="114" t="n">
        <v>5349.5502087507</v>
      </c>
      <c r="R214" s="114" t="n"/>
    </row>
    <row r="215">
      <c r="C215" s="112" t="n">
        <v>45778</v>
      </c>
      <c r="D215" s="112" t="n">
        <v>45807</v>
      </c>
      <c r="E215" s="113" t="inlineStr">
        <is>
          <t>grid_22fp35k1.xlsx</t>
        </is>
      </c>
      <c r="F215" s="114" t="n">
        <v>24243.1191738377</v>
      </c>
      <c r="G215" s="114" t="n">
        <v>5674.4262304025</v>
      </c>
      <c r="H215" s="114" t="n">
        <v>1529.4837866982</v>
      </c>
      <c r="I215" s="114" t="n">
        <v>8703.550728519</v>
      </c>
      <c r="J215" s="114" t="n">
        <v>79562.9342821914</v>
      </c>
      <c r="K215" s="114" t="n">
        <v>27137.275803457</v>
      </c>
      <c r="L215" s="114" t="n">
        <v>3375.1636102752</v>
      </c>
      <c r="M215" s="114" t="n">
        <v>4166.9975916062</v>
      </c>
      <c r="N215" s="114" t="n">
        <v>992.995910137</v>
      </c>
      <c r="O215" s="114" t="n">
        <v>32169.0414584297</v>
      </c>
      <c r="P215" s="114" t="n">
        <v>841.3923585353</v>
      </c>
      <c r="Q215" s="114" t="n">
        <v>4959.1851545633</v>
      </c>
      <c r="R215" s="114" t="n"/>
    </row>
    <row r="216">
      <c r="C216" s="112" t="n">
        <v>45809</v>
      </c>
      <c r="D216" s="112" t="n">
        <v>45838</v>
      </c>
      <c r="E216" s="113" t="inlineStr">
        <is>
          <t>grid_22fp35k1.xlsx</t>
        </is>
      </c>
      <c r="F216" s="114" t="n">
        <v>24371.6745925219</v>
      </c>
      <c r="G216" s="114" t="n">
        <v>5866.4554502485</v>
      </c>
      <c r="H216" s="114" t="n">
        <v>1475.4586942852</v>
      </c>
      <c r="I216" s="114" t="n">
        <v>7870.138452303</v>
      </c>
      <c r="J216" s="114" t="n">
        <v>78934.82277916541</v>
      </c>
      <c r="K216" s="114" t="n">
        <v>26598.6498470547</v>
      </c>
      <c r="L216" s="114" t="n">
        <v>3479.9547440388</v>
      </c>
      <c r="M216" s="114" t="n">
        <v>4119.7959323243</v>
      </c>
      <c r="N216" s="114" t="n">
        <v>1010.6813857315</v>
      </c>
      <c r="O216" s="114" t="n">
        <v>31655.9683725905</v>
      </c>
      <c r="P216" s="114" t="n">
        <v>861.5874153036</v>
      </c>
      <c r="Q216" s="114" t="n">
        <v>4938.455559057</v>
      </c>
      <c r="R216" s="114" t="n"/>
    </row>
    <row r="217">
      <c r="C217" s="112" t="n">
        <v>45839</v>
      </c>
      <c r="D217" s="112" t="n">
        <v>45869</v>
      </c>
      <c r="E217" s="113" t="inlineStr">
        <is>
          <t>grid_22fp35k1.xlsx</t>
        </is>
      </c>
      <c r="F217" s="114" t="n">
        <v>24628.1186664759</v>
      </c>
      <c r="G217" s="114" t="n">
        <v>6114.2649720935</v>
      </c>
      <c r="H217" s="114" t="n">
        <v>1493.3312086302</v>
      </c>
      <c r="I217" s="114" t="n">
        <v>7837.6123314919</v>
      </c>
      <c r="J217" s="114" t="n">
        <v>75155.59199942309</v>
      </c>
      <c r="K217" s="114" t="n">
        <v>26960.9800422588</v>
      </c>
      <c r="L217" s="114" t="n">
        <v>3471.9646109442</v>
      </c>
      <c r="M217" s="114" t="n">
        <v>3932.4101273846</v>
      </c>
      <c r="N217" s="114" t="n">
        <v>1027.847391737</v>
      </c>
      <c r="O217" s="114" t="n">
        <v>30630.2732535168</v>
      </c>
      <c r="P217" s="114" t="n">
        <v>841.0891395853999</v>
      </c>
      <c r="Q217" s="114" t="n">
        <v>4837.6804692966</v>
      </c>
      <c r="R217" s="114" t="n"/>
    </row>
    <row r="218">
      <c r="C218" s="112" t="n">
        <v>45870</v>
      </c>
      <c r="D218" s="112" t="n">
        <v>45898</v>
      </c>
      <c r="E218" s="113" t="inlineStr">
        <is>
          <t>grid_22fp35k1.xlsx</t>
        </is>
      </c>
      <c r="F218" s="114" t="n">
        <v>22988.5333720822</v>
      </c>
      <c r="G218" s="114" t="n">
        <v>6179.705890137</v>
      </c>
      <c r="H218" s="114" t="n">
        <v>1558.9832584262</v>
      </c>
      <c r="I218" s="114" t="n">
        <v>7349.4613149691</v>
      </c>
      <c r="J218" s="114" t="n">
        <v>68013.3363593627</v>
      </c>
      <c r="K218" s="114" t="n">
        <v>27769.3845847303</v>
      </c>
      <c r="L218" s="114" t="n">
        <v>3696.1835488003</v>
      </c>
      <c r="M218" s="114" t="n">
        <v>3939.8756497599</v>
      </c>
      <c r="N218" s="114" t="n">
        <v>1044.4263122411</v>
      </c>
      <c r="O218" s="114" t="n">
        <v>30604.1682481438</v>
      </c>
      <c r="P218" s="114" t="n">
        <v>858.706536794</v>
      </c>
      <c r="Q218" s="114" t="n">
        <v>4895.2207814835</v>
      </c>
      <c r="R218" s="114" t="n"/>
    </row>
    <row r="219">
      <c r="C219" s="112" t="n">
        <v>45901</v>
      </c>
      <c r="D219" s="112" t="n">
        <v>45930</v>
      </c>
      <c r="E219" s="113" t="inlineStr">
        <is>
          <t>grid_22fp35k1.xlsx</t>
        </is>
      </c>
      <c r="F219" s="114" t="n">
        <v>22686.6585767034</v>
      </c>
      <c r="G219" s="114" t="n">
        <v>6183.9543449305</v>
      </c>
      <c r="H219" s="114" t="n">
        <v>1581.7304173511</v>
      </c>
      <c r="I219" s="114" t="n">
        <v>7601.0533358725</v>
      </c>
      <c r="J219" s="114" t="n">
        <v>68570.3855872596</v>
      </c>
      <c r="K219" s="114" t="n">
        <v>27377.1921172425</v>
      </c>
      <c r="L219" s="114" t="n">
        <v>3886.0480361974</v>
      </c>
      <c r="M219" s="114" t="n">
        <v>3991.9102910917</v>
      </c>
      <c r="N219" s="114" t="n">
        <v>1059.8336438356</v>
      </c>
      <c r="O219" s="114" t="n">
        <v>29894.2876877483</v>
      </c>
      <c r="P219" s="114" t="n">
        <v>861.3628994859999</v>
      </c>
      <c r="Q219" s="114" t="n">
        <v>5226.6903598415</v>
      </c>
      <c r="R219" s="114" t="n"/>
    </row>
    <row r="220">
      <c r="C220" s="112" t="n">
        <v>45931</v>
      </c>
      <c r="D220" s="112" t="n">
        <v>45961</v>
      </c>
      <c r="E220" s="113" t="inlineStr">
        <is>
          <t>grid_22fp35k1.xlsx</t>
        </is>
      </c>
      <c r="F220" s="114" t="n">
        <v>23123.5735169821</v>
      </c>
      <c r="G220" s="114" t="n">
        <v>6240.1718482972</v>
      </c>
      <c r="H220" s="114" t="n">
        <v>1626.3155685151</v>
      </c>
      <c r="I220" s="114" t="n">
        <v>7697.1663073984</v>
      </c>
      <c r="J220" s="114" t="n">
        <v>70552.6881284765</v>
      </c>
      <c r="K220" s="114" t="n">
        <v>27930.6601555876</v>
      </c>
      <c r="L220" s="114" t="n">
        <v>4047.0893811073</v>
      </c>
      <c r="M220" s="114" t="n">
        <v>4037.5813598243</v>
      </c>
      <c r="N220" s="114" t="n">
        <v>1082.4586616986</v>
      </c>
      <c r="O220" s="114" t="n">
        <v>32091.6557090166</v>
      </c>
      <c r="P220" s="114" t="n">
        <v>885.7018902924</v>
      </c>
      <c r="Q220" s="114" t="n">
        <v>5654.7333094253</v>
      </c>
      <c r="R220" s="114" t="n"/>
    </row>
    <row r="221">
      <c r="C221" s="112" t="n">
        <v>45962</v>
      </c>
      <c r="D221" s="112" t="n">
        <v>45989</v>
      </c>
      <c r="E221" s="113" t="inlineStr">
        <is>
          <t>grid_22fp35k1.xlsx</t>
        </is>
      </c>
      <c r="F221" s="114" t="n">
        <v>22764.3740478956</v>
      </c>
      <c r="G221" s="114" t="n">
        <v>6506.5089014947</v>
      </c>
      <c r="H221" s="114" t="n">
        <v>1828.0099036625</v>
      </c>
      <c r="I221" s="114" t="n">
        <v>7637.5074120598</v>
      </c>
      <c r="J221" s="114" t="n">
        <v>64896.1894050892</v>
      </c>
      <c r="K221" s="114" t="n">
        <v>28084.4975856932</v>
      </c>
      <c r="L221" s="114" t="n">
        <v>4410.1457351175</v>
      </c>
      <c r="M221" s="114" t="n">
        <v>4156.45572448</v>
      </c>
      <c r="N221" s="114" t="n">
        <v>1104.7890265425</v>
      </c>
      <c r="O221" s="114" t="n">
        <v>33393.5374748584</v>
      </c>
      <c r="P221" s="114" t="n">
        <v>887.0125843725</v>
      </c>
      <c r="Q221" s="114" t="n">
        <v>5823.0318850349</v>
      </c>
      <c r="R221" s="114" t="n"/>
    </row>
    <row r="222">
      <c r="C222" s="112" t="n">
        <v>45992</v>
      </c>
      <c r="D222" s="112" t="n">
        <v>46022</v>
      </c>
      <c r="E222" s="113" t="inlineStr">
        <is>
          <t>grid_22fp35k1.xlsx</t>
        </is>
      </c>
      <c r="F222" s="114" t="n">
        <v>22859.1884169585</v>
      </c>
      <c r="G222" s="114" t="n">
        <v>6675.6022730009</v>
      </c>
      <c r="H222" s="114" t="n">
        <v>1969.913546764</v>
      </c>
      <c r="I222" s="114" t="n">
        <v>7998.5888442324</v>
      </c>
      <c r="J222" s="114" t="n">
        <v>60921.4262587754</v>
      </c>
      <c r="K222" s="114" t="n">
        <v>28396.8394464313</v>
      </c>
      <c r="L222" s="114" t="n">
        <v>4386.8155514657</v>
      </c>
      <c r="M222" s="114" t="n">
        <v>4311.9540302205</v>
      </c>
      <c r="N222" s="114" t="n">
        <v>1109.080064</v>
      </c>
      <c r="O222" s="114" t="n">
        <v>34174.0511701381</v>
      </c>
      <c r="P222" s="114" t="n">
        <v>953.8604206625999</v>
      </c>
      <c r="Q222" s="114" t="n">
        <v>5813.3694481372</v>
      </c>
      <c r="R222" s="114" t="n"/>
    </row>
    <row r="223">
      <c r="C223" s="112" t="n">
        <v>46023</v>
      </c>
      <c r="D223" s="112" t="n">
        <v>46052</v>
      </c>
      <c r="E223" s="113" t="inlineStr">
        <is>
          <t>grid_22fp35k1.xlsx</t>
        </is>
      </c>
      <c r="F223" s="114" t="n">
        <v>23899.0290112135</v>
      </c>
      <c r="G223" s="114" t="n">
        <v>6789.6705538816</v>
      </c>
      <c r="H223" s="114" t="n">
        <v>1900.3932904448</v>
      </c>
      <c r="I223" s="114" t="n">
        <v>8055.3960594413</v>
      </c>
      <c r="J223" s="114" t="n">
        <v>59573.0775264635</v>
      </c>
      <c r="K223" s="114" t="n">
        <v>29006.9830348022</v>
      </c>
      <c r="L223" s="114" t="n">
        <v>4399.5786297526</v>
      </c>
      <c r="M223" s="114" t="n">
        <v>4384.3445890063</v>
      </c>
      <c r="N223" s="114" t="n">
        <v>1100.6056311233</v>
      </c>
      <c r="O223" s="114" t="n">
        <v>35621.6643196523</v>
      </c>
      <c r="P223" s="114" t="n">
        <v>951.0341348001</v>
      </c>
      <c r="Q223" s="114" t="n">
        <v>6253.6218062743</v>
      </c>
      <c r="R223" s="114" t="n"/>
    </row>
    <row r="224">
      <c r="C224" s="112" t="n">
        <v>46054</v>
      </c>
      <c r="D224" s="112" t="n">
        <v>46080</v>
      </c>
      <c r="E224" s="113" t="inlineStr">
        <is>
          <t>grid_22fp35k1.xlsx</t>
        </is>
      </c>
      <c r="F224" s="114" t="n">
        <v>25065.0820117514</v>
      </c>
      <c r="G224" s="114" t="n">
        <v>6938.2975386725</v>
      </c>
      <c r="H224" s="114" t="n">
        <v>1868.8918379362</v>
      </c>
      <c r="I224" s="114" t="n">
        <v>8269.5939838386</v>
      </c>
      <c r="J224" s="114" t="n">
        <v>67165.21361087151</v>
      </c>
      <c r="K224" s="114" t="n">
        <v>29329.8968155196</v>
      </c>
      <c r="L224" s="114" t="n">
        <v>4295.1831739279</v>
      </c>
      <c r="M224" s="114" t="n">
        <v>4406.9961535724</v>
      </c>
      <c r="N224" s="114" t="n">
        <v>1101.0579431452</v>
      </c>
      <c r="O224" s="114" t="n">
        <v>35400.1440278417</v>
      </c>
      <c r="P224" s="114" t="n">
        <v>909.0471481099</v>
      </c>
      <c r="Q224" s="114" t="n">
        <v>6459.1408405781</v>
      </c>
      <c r="R224" s="114" t="n"/>
    </row>
    <row r="225">
      <c r="C225" s="112" t="n">
        <v>46082</v>
      </c>
      <c r="D225" s="112" t="n">
        <v>46112</v>
      </c>
      <c r="E225" s="113" t="inlineStr">
        <is>
          <t>grid_22fp35k1.xlsx</t>
        </is>
      </c>
      <c r="F225" s="114" t="n">
        <v>31513.3955390524</v>
      </c>
      <c r="G225" s="114" t="n">
        <v>7098.9605859682</v>
      </c>
      <c r="H225" s="114" t="n">
        <v>2004.3681270869</v>
      </c>
      <c r="I225" s="114" t="n">
        <v>8086.0150361572</v>
      </c>
      <c r="J225" s="114" t="n">
        <v>97087.7702336677</v>
      </c>
      <c r="K225" s="114" t="n">
        <v>29100.8489832944</v>
      </c>
      <c r="L225" s="114" t="n">
        <v>4180.6292670228</v>
      </c>
      <c r="M225" s="114" t="n">
        <v>4620.3842795279</v>
      </c>
      <c r="N225" s="114" t="n">
        <v>1155.965741589</v>
      </c>
      <c r="O225" s="114" t="n">
        <v>37077.8382269905</v>
      </c>
      <c r="P225" s="114" t="n">
        <v>926.1523123522001</v>
      </c>
      <c r="Q225" s="114" t="n">
        <v>6533.7916719411</v>
      </c>
      <c r="R225" s="114" t="n"/>
    </row>
    <row r="226">
      <c r="C226" s="112" t="n">
        <v>46113</v>
      </c>
      <c r="D226" s="112" t="n">
        <v>46142</v>
      </c>
      <c r="E226" s="113" t="inlineStr">
        <is>
          <t>grid_22fp35k1.xlsx</t>
        </is>
      </c>
      <c r="F226" s="114" t="n">
        <v>33148.1585961502</v>
      </c>
      <c r="G226" s="114" t="n">
        <v>7279.7958814139</v>
      </c>
      <c r="H226" s="114" t="n">
        <v>2331.6650851592</v>
      </c>
      <c r="I226" s="114" t="n">
        <v>8037.4945185035</v>
      </c>
      <c r="J226" s="114" t="n">
        <v>107975.190914209</v>
      </c>
      <c r="K226" s="114" t="n">
        <v>29493.6099792023</v>
      </c>
      <c r="L226" s="114" t="n">
        <v>4247.9119400945</v>
      </c>
      <c r="M226" s="114" t="n">
        <v>4520.0337838731</v>
      </c>
      <c r="N226" s="114" t="n">
        <v>1198.9707011507</v>
      </c>
      <c r="O226" s="114" t="n">
        <v>33458.36298328</v>
      </c>
      <c r="P226" s="114" t="n">
        <v>935.8853732889</v>
      </c>
      <c r="Q226" s="114" t="n">
        <v>7050.6348680716</v>
      </c>
      <c r="R226" s="114" t="n"/>
    </row>
    <row r="227">
      <c r="C227" s="112" t="n">
        <v>46143</v>
      </c>
      <c r="D227" s="112" t="n">
        <v>46171</v>
      </c>
      <c r="E227" s="113" t="inlineStr">
        <is>
          <t>grid_22fp35k1.xlsx</t>
        </is>
      </c>
      <c r="F227" s="114" t="n">
        <v>31211.9427786988</v>
      </c>
      <c r="G227" s="114" t="n">
        <v>7144.9903250391</v>
      </c>
      <c r="H227" s="114" t="n">
        <v>2289.2335476963</v>
      </c>
      <c r="I227" s="114" t="n">
        <v>9396.0345236044</v>
      </c>
      <c r="J227" s="114" t="n">
        <v>106431.88100599</v>
      </c>
      <c r="K227" s="114" t="n">
        <v>29893.7697222331</v>
      </c>
      <c r="L227" s="114" t="n">
        <v>4092.4320165644</v>
      </c>
      <c r="M227" s="114" t="n">
        <v>4467.679082902</v>
      </c>
      <c r="N227" s="114" t="n">
        <v>1201.9640923178</v>
      </c>
      <c r="O227" s="114" t="n">
        <v>33106.2091590319</v>
      </c>
      <c r="P227" s="114" t="n">
        <v>988.2954404723999</v>
      </c>
      <c r="Q227" s="114" t="n">
        <v>6588.1987832338</v>
      </c>
      <c r="R227" s="114" t="n"/>
    </row>
    <row r="228">
      <c r="C228" s="112" t="n">
        <v>46174</v>
      </c>
      <c r="D228" s="112" t="n">
        <v>46203</v>
      </c>
      <c r="E228" s="113" t="inlineStr">
        <is>
          <t>grid_22fp35k1.xlsx</t>
        </is>
      </c>
      <c r="F228" s="114" t="n">
        <v>29625.2963262043</v>
      </c>
      <c r="G228" s="114" t="n">
        <v>7232.6495762693</v>
      </c>
      <c r="H228" s="114" t="n">
        <v>2299.0832479986</v>
      </c>
      <c r="I228" s="114" t="n">
        <v>9551.2324171401</v>
      </c>
      <c r="J228" s="114" t="n">
        <v>104108.924582038</v>
      </c>
      <c r="K228" s="114" t="n">
        <v>30749.2068013437</v>
      </c>
      <c r="L228" s="114" t="n">
        <v>4250.6837361613</v>
      </c>
      <c r="M228" s="114" t="n">
        <v>4541.4315522418</v>
      </c>
      <c r="N228" s="114" t="n">
        <v>1114.5969898959</v>
      </c>
      <c r="O228" s="114" t="n">
        <v>33128.0725423342</v>
      </c>
      <c r="P228" s="114" t="n">
        <v>1017.984406053</v>
      </c>
      <c r="Q228" s="114" t="n">
        <v>6557.7896432373</v>
      </c>
      <c r="R228" s="114" t="n"/>
    </row>
    <row r="229">
      <c r="C229" s="112" t="n">
        <v>46204</v>
      </c>
      <c r="D229" s="112" t="n">
        <v>46234</v>
      </c>
      <c r="E229" s="113" t="inlineStr">
        <is>
          <t>grid_22fp35k1.xlsx</t>
        </is>
      </c>
      <c r="F229" s="114" t="n">
        <v>30945.8759482539</v>
      </c>
      <c r="G229" s="114" t="n">
        <v>7307.1169219975</v>
      </c>
      <c r="H229" s="114" t="n">
        <v>2709.7234384526</v>
      </c>
      <c r="I229" s="114" t="n">
        <v>9593.4221408842</v>
      </c>
      <c r="J229" s="114" t="n">
        <v>105934.636028838</v>
      </c>
      <c r="K229" s="114" t="n">
        <v>30667.0985452014</v>
      </c>
      <c r="L229" s="114" t="n">
        <v>4280.4668628445</v>
      </c>
      <c r="M229" s="114" t="n">
        <v>4593.2417011205</v>
      </c>
      <c r="N229" s="114" t="n">
        <v>1110.8093522411</v>
      </c>
      <c r="O229" s="114" t="n">
        <v>30849.4847036127</v>
      </c>
      <c r="P229" s="114" t="n">
        <v>1029.1878411647</v>
      </c>
      <c r="Q229" s="114" t="n">
        <v>6496.33239961</v>
      </c>
      <c r="R229" s="114" t="n"/>
    </row>
    <row r="230">
      <c r="C230" s="112" t="n">
        <v>46235</v>
      </c>
      <c r="D230" s="112" t="n">
        <v>46265</v>
      </c>
      <c r="E230" s="113" t="inlineStr">
        <is>
          <t>grid_22fp35k1.xlsx</t>
        </is>
      </c>
      <c r="F230" s="114" t="n">
        <v>31474.8151694147</v>
      </c>
      <c r="G230" s="114" t="n">
        <v>7181.0582994</v>
      </c>
      <c r="H230" s="114" t="n">
        <v>2823.622572068</v>
      </c>
      <c r="I230" s="114" t="n">
        <v>9147.6973342538</v>
      </c>
      <c r="J230" s="114" t="n">
        <v>109063.633669519</v>
      </c>
      <c r="K230" s="114" t="n">
        <v>29965.0728319876</v>
      </c>
      <c r="L230" s="114" t="n">
        <v>4308.9958238769</v>
      </c>
      <c r="M230" s="114" t="n">
        <v>4743.7046073098</v>
      </c>
      <c r="N230" s="114" t="n">
        <v>1132.9395897863</v>
      </c>
      <c r="O230" s="114" t="n">
        <v>30518.0008313643</v>
      </c>
      <c r="P230" s="114" t="n">
        <v>989.6965096379</v>
      </c>
      <c r="Q230" s="114" t="n">
        <v>6242.1160230637</v>
      </c>
      <c r="R230" s="114" t="n"/>
    </row>
    <row r="231">
      <c r="C231" s="115" t="n">
        <v>46266</v>
      </c>
      <c r="D231" s="115" t="n">
        <v>46268</v>
      </c>
      <c r="E231" s="116" t="inlineStr">
        <is>
          <t>grid_22fp35k1.xlsx</t>
        </is>
      </c>
      <c r="F231" s="117" t="n">
        <v>31592.4235889194</v>
      </c>
      <c r="G231" s="117" t="n">
        <v>7190.7213152938</v>
      </c>
      <c r="H231" s="117" t="n">
        <v>2837.0092518168</v>
      </c>
      <c r="I231" s="117" t="n">
        <v>9199.1045591193</v>
      </c>
      <c r="J231" s="117" t="n">
        <v>110049.060790029</v>
      </c>
      <c r="K231" s="117" t="n">
        <v>29964.0720731016</v>
      </c>
      <c r="L231" s="117" t="n">
        <v>4335.5364897021</v>
      </c>
      <c r="M231" s="117" t="n">
        <v>4779.3729036103</v>
      </c>
      <c r="N231" s="117" t="n">
        <v>1134.4730417096</v>
      </c>
      <c r="O231" s="117" t="n">
        <v>30228.4143912117</v>
      </c>
      <c r="P231" s="117" t="n">
        <v>990.5401565887</v>
      </c>
      <c r="Q231" s="117" t="n">
        <v>6250.7078821258</v>
      </c>
      <c r="R231" s="1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Q460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2">
      <c r="C2" s="2" t="inlineStr">
        <is>
          <t>Earnings 12 meses forward em base 100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</row>
    <row r="3">
      <c r="C3" s="4" t="inlineStr">
        <is>
          <t>Janeiro de 2020 = 100. Séries setoriais e IBOV calculadas a partir do consolidado mensal.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</row>
    <row r="6" ht="36" customHeight="1">
      <c r="C6" s="11" t="inlineStr">
        <is>
          <t>month</t>
        </is>
      </c>
      <c r="D6" s="11" t="inlineStr">
        <is>
          <t>date</t>
        </is>
      </c>
      <c r="E6" s="11" t="inlineStr">
        <is>
          <t>source_file</t>
        </is>
      </c>
      <c r="F6" s="11" t="inlineStr">
        <is>
          <t>IBOV</t>
        </is>
      </c>
      <c r="G6" s="11" t="inlineStr">
        <is>
          <t>Communication Services</t>
        </is>
      </c>
      <c r="H6" s="11" t="inlineStr">
        <is>
          <t>Consumer Discretionary</t>
        </is>
      </c>
      <c r="I6" s="11" t="inlineStr">
        <is>
          <t>Consumer Staples</t>
        </is>
      </c>
      <c r="J6" s="11" t="inlineStr">
        <is>
          <t>Energy</t>
        </is>
      </c>
      <c r="K6" s="11" t="inlineStr">
        <is>
          <t>Financials</t>
        </is>
      </c>
      <c r="L6" s="11" t="inlineStr">
        <is>
          <t>Health Care</t>
        </is>
      </c>
      <c r="M6" s="11" t="inlineStr">
        <is>
          <t>Industrials</t>
        </is>
      </c>
      <c r="N6" s="11" t="inlineStr">
        <is>
          <t>Information Technology</t>
        </is>
      </c>
      <c r="O6" s="11" t="inlineStr">
        <is>
          <t>Materials</t>
        </is>
      </c>
      <c r="P6" s="11" t="inlineStr">
        <is>
          <t>Real Estate</t>
        </is>
      </c>
      <c r="Q6" s="11" t="inlineStr">
        <is>
          <t>Utilities</t>
        </is>
      </c>
    </row>
    <row r="7">
      <c r="C7" s="109" t="n">
        <v>39448</v>
      </c>
      <c r="D7" s="109" t="n">
        <v>39478</v>
      </c>
      <c r="E7" s="118" t="inlineStr">
        <is>
          <t>grid_20qvjmd3.xlsx</t>
        </is>
      </c>
      <c r="F7" s="119" t="n">
        <v>70.76207766643095</v>
      </c>
      <c r="G7" s="119" t="n">
        <v>17.12015873774063</v>
      </c>
      <c r="H7" s="119" t="n">
        <v>29.23750074855248</v>
      </c>
      <c r="I7" s="119" t="n">
        <v>22.55888404627836</v>
      </c>
      <c r="J7" s="119" t="n">
        <v>80.21693572894254</v>
      </c>
      <c r="K7" s="119" t="n">
        <v>41.95959738890503</v>
      </c>
      <c r="L7" s="119" t="n"/>
      <c r="M7" s="119" t="n">
        <v>47.72123311018507</v>
      </c>
      <c r="N7" s="119" t="n"/>
      <c r="O7" s="119" t="n">
        <v>57.96682749638155</v>
      </c>
      <c r="P7" s="119" t="n">
        <v>0</v>
      </c>
      <c r="Q7" s="119" t="n">
        <v>44.44803671591619</v>
      </c>
    </row>
    <row r="8">
      <c r="C8" s="112" t="n">
        <v>39479</v>
      </c>
      <c r="D8" s="112" t="n">
        <v>39507</v>
      </c>
      <c r="E8" s="120" t="inlineStr">
        <is>
          <t>grid_20qvjmd3.xlsx</t>
        </is>
      </c>
      <c r="F8" s="121" t="n">
        <v>73.10470982228736</v>
      </c>
      <c r="G8" s="121" t="n">
        <v>18.75507893936191</v>
      </c>
      <c r="H8" s="121" t="n">
        <v>30.34307072124403</v>
      </c>
      <c r="I8" s="121" t="n">
        <v>23.07741162518027</v>
      </c>
      <c r="J8" s="121" t="n">
        <v>80.79572725246865</v>
      </c>
      <c r="K8" s="121" t="n">
        <v>42.77532336278505</v>
      </c>
      <c r="L8" s="121" t="n"/>
      <c r="M8" s="121" t="n">
        <v>45.06432728314687</v>
      </c>
      <c r="N8" s="121" t="n"/>
      <c r="O8" s="121" t="n">
        <v>61.83373643566233</v>
      </c>
      <c r="P8" s="121" t="n">
        <v>0</v>
      </c>
      <c r="Q8" s="121" t="n">
        <v>45.36861596979499</v>
      </c>
    </row>
    <row r="9">
      <c r="C9" s="112" t="n">
        <v>39508</v>
      </c>
      <c r="D9" s="112" t="n">
        <v>39538</v>
      </c>
      <c r="E9" s="120" t="inlineStr">
        <is>
          <t>grid_20qvjmd3.xlsx</t>
        </is>
      </c>
      <c r="F9" s="121" t="n">
        <v>73.20602385281674</v>
      </c>
      <c r="G9" s="121" t="n">
        <v>17.51601052952366</v>
      </c>
      <c r="H9" s="121" t="n">
        <v>27.7652239415948</v>
      </c>
      <c r="I9" s="121" t="n">
        <v>22.22109778917231</v>
      </c>
      <c r="J9" s="121" t="n">
        <v>83.86006165026288</v>
      </c>
      <c r="K9" s="121" t="n">
        <v>43.22074115915133</v>
      </c>
      <c r="L9" s="121" t="n"/>
      <c r="M9" s="121" t="n">
        <v>44.50158553581494</v>
      </c>
      <c r="N9" s="121" t="n"/>
      <c r="O9" s="121" t="n">
        <v>62.89121125419776</v>
      </c>
      <c r="P9" s="121" t="n">
        <v>0</v>
      </c>
      <c r="Q9" s="121" t="n">
        <v>47.91081541687039</v>
      </c>
    </row>
    <row r="10">
      <c r="C10" s="112" t="n">
        <v>39539</v>
      </c>
      <c r="D10" s="112" t="n">
        <v>39568</v>
      </c>
      <c r="E10" s="120" t="inlineStr">
        <is>
          <t>grid_20qvjmd3.xlsx</t>
        </is>
      </c>
      <c r="F10" s="121" t="n">
        <v>75.89626100832611</v>
      </c>
      <c r="G10" s="121" t="n">
        <v>16.67080191918747</v>
      </c>
      <c r="H10" s="121" t="n">
        <v>28.30934053335507</v>
      </c>
      <c r="I10" s="121" t="n">
        <v>21.2764510743667</v>
      </c>
      <c r="J10" s="121" t="n">
        <v>84.37221210541223</v>
      </c>
      <c r="K10" s="121" t="n">
        <v>43.58458671371266</v>
      </c>
      <c r="L10" s="121" t="n"/>
      <c r="M10" s="121" t="n">
        <v>43.51533677345948</v>
      </c>
      <c r="N10" s="121" t="n"/>
      <c r="O10" s="121" t="n">
        <v>64.77411875001103</v>
      </c>
      <c r="P10" s="121" t="n">
        <v>0</v>
      </c>
      <c r="Q10" s="121" t="n">
        <v>50.43095871343504</v>
      </c>
    </row>
    <row r="11">
      <c r="C11" s="112" t="n">
        <v>39569</v>
      </c>
      <c r="D11" s="112" t="n">
        <v>39598</v>
      </c>
      <c r="E11" s="120" t="inlineStr">
        <is>
          <t>grid_20qvjmd3.xlsx</t>
        </is>
      </c>
      <c r="F11" s="121" t="n">
        <v>85.94125741589663</v>
      </c>
      <c r="G11" s="121" t="n">
        <v>17.06952522610014</v>
      </c>
      <c r="H11" s="121" t="n">
        <v>29.811723949134</v>
      </c>
      <c r="I11" s="121" t="n">
        <v>22.06228427059038</v>
      </c>
      <c r="J11" s="121" t="n">
        <v>88.09840776124787</v>
      </c>
      <c r="K11" s="121" t="n">
        <v>43.37636597637751</v>
      </c>
      <c r="L11" s="121" t="n"/>
      <c r="M11" s="121" t="n">
        <v>40.54347700212693</v>
      </c>
      <c r="N11" s="121" t="n"/>
      <c r="O11" s="121" t="n">
        <v>69.00816533758248</v>
      </c>
      <c r="P11" s="121" t="n">
        <v>2.506907830089103</v>
      </c>
      <c r="Q11" s="121" t="n">
        <v>49.39965787489331</v>
      </c>
    </row>
    <row r="12">
      <c r="C12" s="112" t="n">
        <v>39600</v>
      </c>
      <c r="D12" s="112" t="n">
        <v>39629</v>
      </c>
      <c r="E12" s="120" t="inlineStr">
        <is>
          <t>grid_20qvjmd3.xlsx</t>
        </is>
      </c>
      <c r="F12" s="121" t="n">
        <v>88.93982281313694</v>
      </c>
      <c r="G12" s="121" t="n">
        <v>16.38457528717777</v>
      </c>
      <c r="H12" s="121" t="n">
        <v>29.38018611616216</v>
      </c>
      <c r="I12" s="121" t="n">
        <v>22.38727759834007</v>
      </c>
      <c r="J12" s="121" t="n">
        <v>89.91100755084726</v>
      </c>
      <c r="K12" s="121" t="n">
        <v>43.45079059207357</v>
      </c>
      <c r="L12" s="121" t="n"/>
      <c r="M12" s="121" t="n">
        <v>39.78018109839529</v>
      </c>
      <c r="N12" s="121" t="n"/>
      <c r="O12" s="121" t="n">
        <v>69.43914422870357</v>
      </c>
      <c r="P12" s="121" t="n">
        <v>5.467463952107551</v>
      </c>
      <c r="Q12" s="121" t="n">
        <v>47.93367368677481</v>
      </c>
    </row>
    <row r="13">
      <c r="C13" s="112" t="n">
        <v>39630</v>
      </c>
      <c r="D13" s="112" t="n">
        <v>39660</v>
      </c>
      <c r="E13" s="120" t="inlineStr">
        <is>
          <t>grid_20qvjmd3.xlsx</t>
        </is>
      </c>
      <c r="F13" s="121" t="n">
        <v>82.51563793977576</v>
      </c>
      <c r="G13" s="121" t="n">
        <v>17.28089857465914</v>
      </c>
      <c r="H13" s="121" t="n">
        <v>27.67832708820904</v>
      </c>
      <c r="I13" s="121" t="n">
        <v>20.81927948409682</v>
      </c>
      <c r="J13" s="121" t="n">
        <v>93.5228633213453</v>
      </c>
      <c r="K13" s="121" t="n">
        <v>43.3298213229306</v>
      </c>
      <c r="L13" s="121" t="n"/>
      <c r="M13" s="121" t="n">
        <v>38.0947166607415</v>
      </c>
      <c r="N13" s="121" t="n"/>
      <c r="O13" s="121" t="n">
        <v>68.81750580501344</v>
      </c>
      <c r="P13" s="121" t="n">
        <v>5.509822678153033</v>
      </c>
      <c r="Q13" s="121" t="n">
        <v>49.61603392926111</v>
      </c>
    </row>
    <row r="14">
      <c r="C14" s="112" t="n">
        <v>39661</v>
      </c>
      <c r="D14" s="112" t="n">
        <v>39689</v>
      </c>
      <c r="E14" s="120" t="inlineStr">
        <is>
          <t>grid_20qvjmd3.xlsx</t>
        </is>
      </c>
      <c r="F14" s="121" t="n">
        <v>85.99562426289764</v>
      </c>
      <c r="G14" s="121" t="n">
        <v>16.51889292297194</v>
      </c>
      <c r="H14" s="121" t="n">
        <v>28.42335861134911</v>
      </c>
      <c r="I14" s="121" t="n">
        <v>22.09721664413173</v>
      </c>
      <c r="J14" s="121" t="n">
        <v>95.10740524503399</v>
      </c>
      <c r="K14" s="121" t="n">
        <v>43.39486621406194</v>
      </c>
      <c r="L14" s="121" t="n"/>
      <c r="M14" s="121" t="n">
        <v>40.64625116290529</v>
      </c>
      <c r="N14" s="121" t="n"/>
      <c r="O14" s="121" t="n">
        <v>72.73626956717594</v>
      </c>
      <c r="P14" s="121" t="n">
        <v>5.549448583173511</v>
      </c>
      <c r="Q14" s="121" t="n">
        <v>51.43408862883048</v>
      </c>
    </row>
    <row r="15">
      <c r="C15" s="112" t="n">
        <v>39692</v>
      </c>
      <c r="D15" s="112" t="n">
        <v>39721</v>
      </c>
      <c r="E15" s="120" t="inlineStr">
        <is>
          <t>grid_20qvjmd3.xlsx</t>
        </is>
      </c>
      <c r="F15" s="121" t="n">
        <v>101.36285507605</v>
      </c>
      <c r="G15" s="121" t="n">
        <v>15.20950612491684</v>
      </c>
      <c r="H15" s="121" t="n">
        <v>34.19593055825653</v>
      </c>
      <c r="I15" s="121" t="n">
        <v>25.52073870834377</v>
      </c>
      <c r="J15" s="121" t="n">
        <v>98.84647031374057</v>
      </c>
      <c r="K15" s="121" t="n">
        <v>37.62804129857491</v>
      </c>
      <c r="L15" s="121" t="n"/>
      <c r="M15" s="121" t="n">
        <v>41.29048764056505</v>
      </c>
      <c r="N15" s="121" t="n"/>
      <c r="O15" s="121" t="n">
        <v>81.89666549228554</v>
      </c>
      <c r="P15" s="121" t="n"/>
      <c r="Q15" s="121" t="n">
        <v>56.51635720932065</v>
      </c>
    </row>
    <row r="16">
      <c r="C16" s="112" t="n">
        <v>39722</v>
      </c>
      <c r="D16" s="112" t="n">
        <v>39752</v>
      </c>
      <c r="E16" s="120" t="inlineStr">
        <is>
          <t>grid_20qvjmd3.xlsx</t>
        </is>
      </c>
      <c r="F16" s="121" t="n">
        <v>93.18242680494386</v>
      </c>
      <c r="G16" s="121" t="n">
        <v>15.28203201361561</v>
      </c>
      <c r="H16" s="121" t="n">
        <v>35.05663943095754</v>
      </c>
      <c r="I16" s="121" t="n">
        <v>23.49428004547445</v>
      </c>
      <c r="J16" s="121" t="n">
        <v>93.70619297941863</v>
      </c>
      <c r="K16" s="121" t="n">
        <v>35.92282869456231</v>
      </c>
      <c r="L16" s="121" t="n"/>
      <c r="M16" s="121" t="n">
        <v>44.50810296788904</v>
      </c>
      <c r="N16" s="121" t="n"/>
      <c r="O16" s="121" t="n">
        <v>81.67498774259559</v>
      </c>
      <c r="P16" s="121" t="n"/>
      <c r="Q16" s="121" t="n">
        <v>60.22279433635354</v>
      </c>
    </row>
    <row r="17">
      <c r="C17" s="112" t="n">
        <v>39753</v>
      </c>
      <c r="D17" s="112" t="n">
        <v>39780</v>
      </c>
      <c r="E17" s="120" t="inlineStr">
        <is>
          <t>grid_20qvjmd3.xlsx</t>
        </is>
      </c>
      <c r="F17" s="121" t="n">
        <v>84.19157375142204</v>
      </c>
      <c r="G17" s="121" t="n">
        <v>14.24301732491313</v>
      </c>
      <c r="H17" s="121" t="n">
        <v>35.26495249498088</v>
      </c>
      <c r="I17" s="121" t="n">
        <v>24.3484665162981</v>
      </c>
      <c r="J17" s="121" t="n">
        <v>91.27772855435514</v>
      </c>
      <c r="K17" s="121" t="n">
        <v>36.64625301848435</v>
      </c>
      <c r="L17" s="121" t="n"/>
      <c r="M17" s="121" t="n">
        <v>40.80623261221533</v>
      </c>
      <c r="N17" s="121" t="n"/>
      <c r="O17" s="121" t="n">
        <v>78.19454758507109</v>
      </c>
      <c r="P17" s="121" t="n"/>
      <c r="Q17" s="121" t="n">
        <v>61.33447955555354</v>
      </c>
    </row>
    <row r="18">
      <c r="C18" s="112" t="n">
        <v>39783</v>
      </c>
      <c r="D18" s="112" t="n">
        <v>39813</v>
      </c>
      <c r="E18" s="120" t="inlineStr">
        <is>
          <t>grid_20qvjmd3.xlsx</t>
        </is>
      </c>
      <c r="F18" s="121" t="n">
        <v>78.75194450549053</v>
      </c>
      <c r="G18" s="121" t="n">
        <v>15.73115711459711</v>
      </c>
      <c r="H18" s="121" t="n">
        <v>35.73375864666136</v>
      </c>
      <c r="I18" s="121" t="n">
        <v>24.90731239205441</v>
      </c>
      <c r="J18" s="121" t="n">
        <v>79.30001194889653</v>
      </c>
      <c r="K18" s="121" t="n">
        <v>35.73011415775382</v>
      </c>
      <c r="L18" s="121" t="n"/>
      <c r="M18" s="121" t="n">
        <v>41.82268661457069</v>
      </c>
      <c r="N18" s="121" t="n"/>
      <c r="O18" s="121" t="n">
        <v>66.63115369512573</v>
      </c>
      <c r="P18" s="121" t="n"/>
      <c r="Q18" s="121" t="n">
        <v>64.67746546119358</v>
      </c>
    </row>
    <row r="19">
      <c r="C19" s="112" t="n">
        <v>39814</v>
      </c>
      <c r="D19" s="112" t="n">
        <v>39843</v>
      </c>
      <c r="E19" s="120" t="inlineStr">
        <is>
          <t>grid_20qvjmd3.xlsx</t>
        </is>
      </c>
      <c r="F19" s="121" t="n">
        <v>78.39155179401924</v>
      </c>
      <c r="G19" s="121" t="n">
        <v>15.00926290384466</v>
      </c>
      <c r="H19" s="121" t="n">
        <v>32.64656776944793</v>
      </c>
      <c r="I19" s="121" t="n">
        <v>22.91950137033304</v>
      </c>
      <c r="J19" s="121" t="n">
        <v>73.02194674355223</v>
      </c>
      <c r="K19" s="121" t="n">
        <v>29.79113461270736</v>
      </c>
      <c r="L19" s="121" t="n"/>
      <c r="M19" s="121" t="n">
        <v>39.08931767909306</v>
      </c>
      <c r="N19" s="121" t="n"/>
      <c r="O19" s="121" t="n">
        <v>56.37141116316424</v>
      </c>
      <c r="P19" s="121" t="n"/>
      <c r="Q19" s="121" t="n">
        <v>64.97391098883131</v>
      </c>
    </row>
    <row r="20">
      <c r="C20" s="112" t="n">
        <v>39845</v>
      </c>
      <c r="D20" s="112" t="n">
        <v>39871</v>
      </c>
      <c r="E20" s="120" t="inlineStr">
        <is>
          <t>grid_20qvjmd3.xlsx</t>
        </is>
      </c>
      <c r="F20" s="121" t="n">
        <v>79.50428102409558</v>
      </c>
      <c r="G20" s="121" t="n">
        <v>15.128888476467</v>
      </c>
      <c r="H20" s="121" t="n">
        <v>30.87695851976414</v>
      </c>
      <c r="I20" s="121" t="n">
        <v>22.06649081735392</v>
      </c>
      <c r="J20" s="121" t="n">
        <v>73.70304646367345</v>
      </c>
      <c r="K20" s="121" t="n">
        <v>30.12988547526307</v>
      </c>
      <c r="L20" s="121" t="n"/>
      <c r="M20" s="121" t="n">
        <v>37.99659869914309</v>
      </c>
      <c r="N20" s="121" t="n"/>
      <c r="O20" s="121" t="n">
        <v>54.21619161294424</v>
      </c>
      <c r="P20" s="121" t="n"/>
      <c r="Q20" s="121" t="n">
        <v>64.45123801262082</v>
      </c>
    </row>
    <row r="21">
      <c r="C21" s="112" t="n">
        <v>39873</v>
      </c>
      <c r="D21" s="112" t="n">
        <v>39903</v>
      </c>
      <c r="E21" s="120" t="inlineStr">
        <is>
          <t>grid_20qvjmd3.xlsx</t>
        </is>
      </c>
      <c r="F21" s="121" t="n">
        <v>70.76029727119388</v>
      </c>
      <c r="G21" s="121" t="n">
        <v>14.77951278022595</v>
      </c>
      <c r="H21" s="121" t="n">
        <v>32.06262338399004</v>
      </c>
      <c r="I21" s="121" t="n">
        <v>23.78502284100689</v>
      </c>
      <c r="J21" s="121" t="n">
        <v>66.79499202304081</v>
      </c>
      <c r="K21" s="121" t="n">
        <v>32.66971623886341</v>
      </c>
      <c r="L21" s="121" t="n"/>
      <c r="M21" s="121" t="n">
        <v>39.48496404051699</v>
      </c>
      <c r="N21" s="121" t="n"/>
      <c r="O21" s="121" t="n">
        <v>42.24715774464756</v>
      </c>
      <c r="P21" s="121" t="n"/>
      <c r="Q21" s="121" t="n">
        <v>68.4060748667785</v>
      </c>
    </row>
    <row r="22">
      <c r="C22" s="112" t="n">
        <v>39904</v>
      </c>
      <c r="D22" s="112" t="n">
        <v>39933</v>
      </c>
      <c r="E22" s="120" t="inlineStr">
        <is>
          <t>grid_20qvjmd3.xlsx</t>
        </is>
      </c>
      <c r="F22" s="121" t="n">
        <v>64.47373780845732</v>
      </c>
      <c r="G22" s="121" t="n">
        <v>14.76098333848856</v>
      </c>
      <c r="H22" s="121" t="n">
        <v>31.39082916975033</v>
      </c>
      <c r="I22" s="121" t="n">
        <v>24.31556777954266</v>
      </c>
      <c r="J22" s="121" t="n">
        <v>64.33112571363912</v>
      </c>
      <c r="K22" s="121" t="n">
        <v>33.53589438408194</v>
      </c>
      <c r="L22" s="121" t="n"/>
      <c r="M22" s="121" t="n">
        <v>38.03674570751547</v>
      </c>
      <c r="N22" s="121" t="n"/>
      <c r="O22" s="121" t="n">
        <v>38.84810298951106</v>
      </c>
      <c r="P22" s="121" t="n"/>
      <c r="Q22" s="121" t="n">
        <v>68.14854183173901</v>
      </c>
    </row>
    <row r="23">
      <c r="C23" s="112" t="n">
        <v>39934</v>
      </c>
      <c r="D23" s="112" t="n">
        <v>39962</v>
      </c>
      <c r="E23" s="120" t="inlineStr">
        <is>
          <t>grid_20qvjmd3.xlsx</t>
        </is>
      </c>
      <c r="F23" s="121" t="n">
        <v>65.33332239123276</v>
      </c>
      <c r="G23" s="121" t="n">
        <v>14.96947195247485</v>
      </c>
      <c r="H23" s="121" t="n">
        <v>31.92185414750443</v>
      </c>
      <c r="I23" s="121" t="n">
        <v>25.98543896365146</v>
      </c>
      <c r="J23" s="121" t="n">
        <v>68.42034815194552</v>
      </c>
      <c r="K23" s="121" t="n">
        <v>33.71244805366482</v>
      </c>
      <c r="L23" s="121" t="n"/>
      <c r="M23" s="121" t="n">
        <v>35.6796813539373</v>
      </c>
      <c r="N23" s="121" t="n"/>
      <c r="O23" s="121" t="n">
        <v>34.5078923146725</v>
      </c>
      <c r="P23" s="121" t="n"/>
      <c r="Q23" s="121" t="n">
        <v>66.965940266508</v>
      </c>
    </row>
    <row r="24">
      <c r="C24" s="112" t="n">
        <v>39965</v>
      </c>
      <c r="D24" s="112" t="n">
        <v>39994</v>
      </c>
      <c r="E24" s="120" t="inlineStr">
        <is>
          <t>grid_20qvjmd3.xlsx</t>
        </is>
      </c>
      <c r="F24" s="121" t="n">
        <v>63.18859591842969</v>
      </c>
      <c r="G24" s="121" t="n">
        <v>15.59082851923995</v>
      </c>
      <c r="H24" s="121" t="n">
        <v>33.1545780516398</v>
      </c>
      <c r="I24" s="121" t="n">
        <v>27.65786526778825</v>
      </c>
      <c r="J24" s="121" t="n">
        <v>68.38291579473565</v>
      </c>
      <c r="K24" s="121" t="n">
        <v>34.14873831605245</v>
      </c>
      <c r="L24" s="121" t="n"/>
      <c r="M24" s="121" t="n">
        <v>32.66272495045472</v>
      </c>
      <c r="N24" s="121" t="n"/>
      <c r="O24" s="121" t="n">
        <v>31.93367388007523</v>
      </c>
      <c r="P24" s="121" t="n"/>
      <c r="Q24" s="121" t="n">
        <v>65.37916981550627</v>
      </c>
    </row>
    <row r="25">
      <c r="C25" s="112" t="n">
        <v>39995</v>
      </c>
      <c r="D25" s="112" t="n">
        <v>40025</v>
      </c>
      <c r="E25" s="120" t="inlineStr">
        <is>
          <t>grid_20qvjmd3.xlsx</t>
        </is>
      </c>
      <c r="F25" s="121" t="n">
        <v>60.84287381800523</v>
      </c>
      <c r="G25" s="121" t="n">
        <v>15.52829294462106</v>
      </c>
      <c r="H25" s="121" t="n">
        <v>33.22451779368732</v>
      </c>
      <c r="I25" s="121" t="n">
        <v>27.86089912545546</v>
      </c>
      <c r="J25" s="121" t="n">
        <v>69.08327030904758</v>
      </c>
      <c r="K25" s="121" t="n">
        <v>35.46328138226482</v>
      </c>
      <c r="L25" s="121" t="n"/>
      <c r="M25" s="121" t="n">
        <v>32.06585638812469</v>
      </c>
      <c r="N25" s="121" t="n"/>
      <c r="O25" s="121" t="n">
        <v>31.24639342262893</v>
      </c>
      <c r="P25" s="121" t="n"/>
      <c r="Q25" s="121" t="n">
        <v>65.72808182717873</v>
      </c>
    </row>
    <row r="26">
      <c r="C26" s="112" t="n">
        <v>40026</v>
      </c>
      <c r="D26" s="112" t="n">
        <v>40056</v>
      </c>
      <c r="E26" s="120" t="inlineStr">
        <is>
          <t>grid_20qvjmd3.xlsx</t>
        </is>
      </c>
      <c r="F26" s="121" t="n">
        <v>59.59872144219764</v>
      </c>
      <c r="G26" s="121" t="n">
        <v>15.7143003095254</v>
      </c>
      <c r="H26" s="121" t="n">
        <v>35.5717623644749</v>
      </c>
      <c r="I26" s="121" t="n">
        <v>29.31685940443327</v>
      </c>
      <c r="J26" s="121" t="n">
        <v>69.06098054070104</v>
      </c>
      <c r="K26" s="121" t="n">
        <v>37.24845188746666</v>
      </c>
      <c r="L26" s="121" t="n"/>
      <c r="M26" s="121" t="n">
        <v>32.05946218775806</v>
      </c>
      <c r="N26" s="121" t="n"/>
      <c r="O26" s="121" t="n">
        <v>30.52153758531945</v>
      </c>
      <c r="P26" s="121" t="n"/>
      <c r="Q26" s="121" t="n">
        <v>64.84978532203813</v>
      </c>
    </row>
    <row r="27">
      <c r="C27" s="112" t="n">
        <v>40057</v>
      </c>
      <c r="D27" s="112" t="n">
        <v>40086</v>
      </c>
      <c r="E27" s="120" t="inlineStr">
        <is>
          <t>grid_20qvjmd3.xlsx</t>
        </is>
      </c>
      <c r="F27" s="121" t="n">
        <v>65.08128944827104</v>
      </c>
      <c r="G27" s="121" t="n">
        <v>16.82704527926614</v>
      </c>
      <c r="H27" s="121" t="n">
        <v>36.76021269167105</v>
      </c>
      <c r="I27" s="121" t="n">
        <v>24.73849515894867</v>
      </c>
      <c r="J27" s="121" t="n">
        <v>72.28366027459199</v>
      </c>
      <c r="K27" s="121" t="n">
        <v>38.49178033105181</v>
      </c>
      <c r="L27" s="121" t="n"/>
      <c r="M27" s="121" t="n">
        <v>34.84411950844564</v>
      </c>
      <c r="N27" s="121" t="n"/>
      <c r="O27" s="121" t="n">
        <v>33.37855644346014</v>
      </c>
      <c r="P27" s="121" t="n"/>
      <c r="Q27" s="121" t="n">
        <v>64.09879220240326</v>
      </c>
    </row>
    <row r="28">
      <c r="C28" s="112" t="n">
        <v>40087</v>
      </c>
      <c r="D28" s="112" t="n">
        <v>40116</v>
      </c>
      <c r="E28" s="120" t="inlineStr">
        <is>
          <t>grid_20qvjmd3.xlsx</t>
        </is>
      </c>
      <c r="F28" s="121" t="n">
        <v>68.34684133154376</v>
      </c>
      <c r="G28" s="121" t="n">
        <v>17.39106593949396</v>
      </c>
      <c r="H28" s="121" t="n">
        <v>42.26122647897238</v>
      </c>
      <c r="I28" s="121" t="n">
        <v>26.75795290914772</v>
      </c>
      <c r="J28" s="121" t="n">
        <v>74.52371711608777</v>
      </c>
      <c r="K28" s="121" t="n">
        <v>39.83488689805974</v>
      </c>
      <c r="L28" s="121" t="n"/>
      <c r="M28" s="121" t="n">
        <v>34.39824982055621</v>
      </c>
      <c r="N28" s="121" t="n"/>
      <c r="O28" s="121" t="n">
        <v>35.7258708518635</v>
      </c>
      <c r="P28" s="121" t="n"/>
      <c r="Q28" s="121" t="n">
        <v>58.98129064715069</v>
      </c>
    </row>
    <row r="29">
      <c r="C29" s="112" t="n">
        <v>40118</v>
      </c>
      <c r="D29" s="112" t="n">
        <v>40147</v>
      </c>
      <c r="E29" s="120" t="inlineStr">
        <is>
          <t>grid_20qvjmd3.xlsx</t>
        </is>
      </c>
      <c r="F29" s="121" t="n">
        <v>71.97750038427716</v>
      </c>
      <c r="G29" s="121" t="n">
        <v>19.11747609896222</v>
      </c>
      <c r="H29" s="121" t="n">
        <v>43.22571563383695</v>
      </c>
      <c r="I29" s="121" t="n">
        <v>29.6976821801364</v>
      </c>
      <c r="J29" s="121" t="n">
        <v>78.65496195351423</v>
      </c>
      <c r="K29" s="121" t="n">
        <v>41.48810661259872</v>
      </c>
      <c r="L29" s="121" t="n"/>
      <c r="M29" s="121" t="n">
        <v>33.16174431756851</v>
      </c>
      <c r="N29" s="121" t="n"/>
      <c r="O29" s="121" t="n">
        <v>35.42132013630185</v>
      </c>
      <c r="P29" s="121" t="n"/>
      <c r="Q29" s="121" t="n">
        <v>61.31844671891721</v>
      </c>
    </row>
    <row r="30">
      <c r="C30" s="112" t="n">
        <v>40148</v>
      </c>
      <c r="D30" s="112" t="n">
        <v>40178</v>
      </c>
      <c r="E30" s="120" t="inlineStr">
        <is>
          <t>grid_20qvjmd3.xlsx</t>
        </is>
      </c>
      <c r="F30" s="121" t="n">
        <v>70.80443096114776</v>
      </c>
      <c r="G30" s="121" t="n">
        <v>19.28683998018749</v>
      </c>
      <c r="H30" s="121" t="n">
        <v>46.88085809363374</v>
      </c>
      <c r="I30" s="121" t="n">
        <v>29.30935322140741</v>
      </c>
      <c r="J30" s="121" t="n">
        <v>80.84287405019654</v>
      </c>
      <c r="K30" s="121" t="n">
        <v>42.37761093316384</v>
      </c>
      <c r="L30" s="121" t="n"/>
      <c r="M30" s="121" t="n">
        <v>32.90158843964615</v>
      </c>
      <c r="N30" s="121" t="n"/>
      <c r="O30" s="121" t="n">
        <v>35.83183888174091</v>
      </c>
      <c r="P30" s="121" t="n"/>
      <c r="Q30" s="121" t="n">
        <v>62.88387002820306</v>
      </c>
    </row>
    <row r="31">
      <c r="C31" s="112" t="n">
        <v>40179</v>
      </c>
      <c r="D31" s="112" t="n">
        <v>40207</v>
      </c>
      <c r="E31" s="120" t="inlineStr">
        <is>
          <t>grid_20qvjmd3.xlsx</t>
        </is>
      </c>
      <c r="F31" s="121" t="n">
        <v>68.72509909530027</v>
      </c>
      <c r="G31" s="121" t="n">
        <v>16.02929530059016</v>
      </c>
      <c r="H31" s="121" t="n">
        <v>50.70357213566885</v>
      </c>
      <c r="I31" s="121" t="n">
        <v>27.38947975225987</v>
      </c>
      <c r="J31" s="121" t="n">
        <v>79.05888196088605</v>
      </c>
      <c r="K31" s="121" t="n">
        <v>40.31793371358104</v>
      </c>
      <c r="L31" s="121" t="n"/>
      <c r="M31" s="121" t="n">
        <v>28.69217012935762</v>
      </c>
      <c r="N31" s="121" t="n"/>
      <c r="O31" s="121" t="n">
        <v>41.2186631127264</v>
      </c>
      <c r="P31" s="121" t="n"/>
      <c r="Q31" s="121" t="n">
        <v>65.25073446222332</v>
      </c>
    </row>
    <row r="32">
      <c r="C32" s="112" t="n">
        <v>40210</v>
      </c>
      <c r="D32" s="112" t="n">
        <v>40235</v>
      </c>
      <c r="E32" s="120" t="inlineStr">
        <is>
          <t>grid_20qvjmd3.xlsx</t>
        </is>
      </c>
      <c r="F32" s="121" t="n">
        <v>68.98381580464718</v>
      </c>
      <c r="G32" s="121" t="n">
        <v>16.0266428450062</v>
      </c>
      <c r="H32" s="121" t="n">
        <v>52.71184959112273</v>
      </c>
      <c r="I32" s="121" t="n">
        <v>28.140017900201</v>
      </c>
      <c r="J32" s="121" t="n">
        <v>77.18439248024904</v>
      </c>
      <c r="K32" s="121" t="n">
        <v>42.12395337576211</v>
      </c>
      <c r="L32" s="121" t="n"/>
      <c r="M32" s="121" t="n">
        <v>27.43446434930647</v>
      </c>
      <c r="N32" s="121" t="n"/>
      <c r="O32" s="121" t="n">
        <v>42.14094255102545</v>
      </c>
      <c r="P32" s="121" t="n"/>
      <c r="Q32" s="121" t="n">
        <v>61.3977900492523</v>
      </c>
    </row>
    <row r="33">
      <c r="C33" s="112" t="n">
        <v>40238</v>
      </c>
      <c r="D33" s="112" t="n">
        <v>40268</v>
      </c>
      <c r="E33" s="120" t="inlineStr">
        <is>
          <t>grid_20qvjmd3.xlsx</t>
        </is>
      </c>
      <c r="F33" s="121" t="n">
        <v>76.65328470414312</v>
      </c>
      <c r="G33" s="121" t="n">
        <v>16.19986009969512</v>
      </c>
      <c r="H33" s="121" t="n">
        <v>53.38361983372787</v>
      </c>
      <c r="I33" s="121" t="n">
        <v>27.00590843368382</v>
      </c>
      <c r="J33" s="121" t="n">
        <v>79.07047109822737</v>
      </c>
      <c r="K33" s="121" t="n">
        <v>43.20123423971712</v>
      </c>
      <c r="L33" s="121" t="n"/>
      <c r="M33" s="121" t="n">
        <v>26.93603919549554</v>
      </c>
      <c r="N33" s="121" t="n"/>
      <c r="O33" s="121" t="n">
        <v>52.80065886175523</v>
      </c>
      <c r="P33" s="121" t="n"/>
      <c r="Q33" s="121" t="n">
        <v>68.32132735806515</v>
      </c>
    </row>
    <row r="34">
      <c r="C34" s="112" t="n">
        <v>40269</v>
      </c>
      <c r="D34" s="112" t="n">
        <v>40298</v>
      </c>
      <c r="E34" s="120" t="inlineStr">
        <is>
          <t>grid_20qvjmd3.xlsx</t>
        </is>
      </c>
      <c r="F34" s="121" t="n">
        <v>78.2009178355586</v>
      </c>
      <c r="G34" s="121" t="n">
        <v>16.97296080952249</v>
      </c>
      <c r="H34" s="121" t="n">
        <v>54.02335903928706</v>
      </c>
      <c r="I34" s="121" t="n">
        <v>28.01807646456426</v>
      </c>
      <c r="J34" s="121" t="n">
        <v>80.76879350307223</v>
      </c>
      <c r="K34" s="121" t="n">
        <v>43.05447565535989</v>
      </c>
      <c r="L34" s="121" t="n"/>
      <c r="M34" s="121" t="n">
        <v>26.62988590820994</v>
      </c>
      <c r="N34" s="121" t="n"/>
      <c r="O34" s="121" t="n">
        <v>55.98794431853445</v>
      </c>
      <c r="P34" s="121" t="n"/>
      <c r="Q34" s="121" t="n">
        <v>65.91979001159422</v>
      </c>
    </row>
    <row r="35">
      <c r="C35" s="112" t="n">
        <v>40299</v>
      </c>
      <c r="D35" s="112" t="n">
        <v>40329</v>
      </c>
      <c r="E35" s="120" t="inlineStr">
        <is>
          <t>grid_20qvjmd3.xlsx</t>
        </is>
      </c>
      <c r="F35" s="121" t="n">
        <v>73.04908055339754</v>
      </c>
      <c r="G35" s="121" t="n">
        <v>16.21331102566538</v>
      </c>
      <c r="H35" s="121" t="n">
        <v>56.7512925113916</v>
      </c>
      <c r="I35" s="121" t="n">
        <v>28.0748869190276</v>
      </c>
      <c r="J35" s="121" t="n">
        <v>73.85746958279491</v>
      </c>
      <c r="K35" s="121" t="n">
        <v>37.88340565685081</v>
      </c>
      <c r="L35" s="121" t="n"/>
      <c r="M35" s="121" t="n">
        <v>24.28295487880895</v>
      </c>
      <c r="N35" s="121" t="n"/>
      <c r="O35" s="121" t="n">
        <v>62.67270446006984</v>
      </c>
      <c r="P35" s="121" t="n"/>
      <c r="Q35" s="121" t="n">
        <v>66.89173498408765</v>
      </c>
    </row>
    <row r="36">
      <c r="C36" s="112" t="n">
        <v>40330</v>
      </c>
      <c r="D36" s="112" t="n">
        <v>40359</v>
      </c>
      <c r="E36" s="120" t="inlineStr">
        <is>
          <t>grid_20qvjmd3.xlsx</t>
        </is>
      </c>
      <c r="F36" s="121" t="n">
        <v>70.91859973368419</v>
      </c>
      <c r="G36" s="121" t="n">
        <v>18.60667053546753</v>
      </c>
      <c r="H36" s="121" t="n">
        <v>59.35033531349352</v>
      </c>
      <c r="I36" s="121" t="n">
        <v>28.51763686218754</v>
      </c>
      <c r="J36" s="121" t="n">
        <v>73.4522984965967</v>
      </c>
      <c r="K36" s="121" t="n">
        <v>37.97171484052457</v>
      </c>
      <c r="L36" s="121" t="n"/>
      <c r="M36" s="121" t="n">
        <v>25.26257571113384</v>
      </c>
      <c r="N36" s="121" t="n"/>
      <c r="O36" s="121" t="n">
        <v>63.75802930775446</v>
      </c>
      <c r="P36" s="121" t="n"/>
      <c r="Q36" s="121" t="n">
        <v>64.59345349414968</v>
      </c>
    </row>
    <row r="37">
      <c r="C37" s="112" t="n">
        <v>40360</v>
      </c>
      <c r="D37" s="112" t="n">
        <v>40389</v>
      </c>
      <c r="E37" s="120" t="inlineStr">
        <is>
          <t>grid_20qvjmd3.xlsx</t>
        </is>
      </c>
      <c r="F37" s="121" t="n">
        <v>72.16504041584511</v>
      </c>
      <c r="G37" s="121" t="n">
        <v>17.53922300164097</v>
      </c>
      <c r="H37" s="121" t="n">
        <v>61.9508819976913</v>
      </c>
      <c r="I37" s="121" t="n">
        <v>29.52201367261296</v>
      </c>
      <c r="J37" s="121" t="n">
        <v>73.71071676712255</v>
      </c>
      <c r="K37" s="121" t="n">
        <v>40.10732923969878</v>
      </c>
      <c r="L37" s="121" t="n"/>
      <c r="M37" s="121" t="n">
        <v>25.05003621776615</v>
      </c>
      <c r="N37" s="121" t="n"/>
      <c r="O37" s="121" t="n">
        <v>68.00705268392873</v>
      </c>
      <c r="P37" s="121" t="n"/>
      <c r="Q37" s="121" t="n">
        <v>66.4733902494831</v>
      </c>
    </row>
    <row r="38">
      <c r="C38" s="112" t="n">
        <v>40391</v>
      </c>
      <c r="D38" s="112" t="n">
        <v>40421</v>
      </c>
      <c r="E38" s="120" t="inlineStr">
        <is>
          <t>grid_20qvjmd3.xlsx</t>
        </is>
      </c>
      <c r="F38" s="121" t="n">
        <v>74.44993334787473</v>
      </c>
      <c r="G38" s="121" t="n">
        <v>18.59323239320297</v>
      </c>
      <c r="H38" s="121" t="n">
        <v>65.22492179465354</v>
      </c>
      <c r="I38" s="121" t="n">
        <v>30.67456528810831</v>
      </c>
      <c r="J38" s="121" t="n">
        <v>70.97869382729803</v>
      </c>
      <c r="K38" s="121" t="n">
        <v>40.27612167214227</v>
      </c>
      <c r="L38" s="121" t="n"/>
      <c r="M38" s="121" t="n">
        <v>25.24774675105882</v>
      </c>
      <c r="N38" s="121" t="n"/>
      <c r="O38" s="121" t="n">
        <v>75.09134877798593</v>
      </c>
      <c r="P38" s="121" t="n"/>
      <c r="Q38" s="121" t="n">
        <v>65.90744851322718</v>
      </c>
    </row>
    <row r="39">
      <c r="C39" s="112" t="n">
        <v>40422</v>
      </c>
      <c r="D39" s="112" t="n">
        <v>40451</v>
      </c>
      <c r="E39" s="120" t="inlineStr">
        <is>
          <t>grid_20qvjmd3.xlsx</t>
        </is>
      </c>
      <c r="F39" s="121" t="n">
        <v>81.0451495840498</v>
      </c>
      <c r="G39" s="121" t="n">
        <v>19.06808281526144</v>
      </c>
      <c r="H39" s="121" t="n">
        <v>67.20201333777743</v>
      </c>
      <c r="I39" s="121" t="n">
        <v>26.84130287088837</v>
      </c>
      <c r="J39" s="121" t="n">
        <v>69.73092111200201</v>
      </c>
      <c r="K39" s="121" t="n">
        <v>43.32155748992265</v>
      </c>
      <c r="L39" s="121" t="n"/>
      <c r="M39" s="121" t="n">
        <v>28.12723739296594</v>
      </c>
      <c r="N39" s="121" t="n"/>
      <c r="O39" s="121" t="n">
        <v>79.81108313354137</v>
      </c>
      <c r="P39" s="121" t="n"/>
      <c r="Q39" s="121" t="n">
        <v>67.48022971064869</v>
      </c>
    </row>
    <row r="40">
      <c r="C40" s="112" t="n">
        <v>40452</v>
      </c>
      <c r="D40" s="112" t="n">
        <v>40480</v>
      </c>
      <c r="E40" s="120" t="inlineStr">
        <is>
          <t>grid_20qvjmd3.xlsx</t>
        </is>
      </c>
      <c r="F40" s="121" t="n">
        <v>82.35794703659795</v>
      </c>
      <c r="G40" s="121" t="n">
        <v>23.41211843337022</v>
      </c>
      <c r="H40" s="121" t="n">
        <v>70.14910548466393</v>
      </c>
      <c r="I40" s="121" t="n">
        <v>29.15631910885859</v>
      </c>
      <c r="J40" s="121" t="n">
        <v>70.5618094725593</v>
      </c>
      <c r="K40" s="121" t="n">
        <v>44.29908535846616</v>
      </c>
      <c r="L40" s="121" t="n"/>
      <c r="M40" s="121" t="n">
        <v>29.64495029045066</v>
      </c>
      <c r="N40" s="121" t="n"/>
      <c r="O40" s="121" t="n">
        <v>82.89126910425715</v>
      </c>
      <c r="P40" s="121" t="n"/>
      <c r="Q40" s="121" t="n">
        <v>68.86199509956586</v>
      </c>
    </row>
    <row r="41">
      <c r="C41" s="112" t="n">
        <v>40483</v>
      </c>
      <c r="D41" s="112" t="n">
        <v>40512</v>
      </c>
      <c r="E41" s="120" t="inlineStr">
        <is>
          <t>grid_20qvjmd3.xlsx</t>
        </is>
      </c>
      <c r="F41" s="121" t="n">
        <v>85.39163773283157</v>
      </c>
      <c r="G41" s="121" t="n">
        <v>24.62397388622075</v>
      </c>
      <c r="H41" s="121" t="n">
        <v>72.49245971003693</v>
      </c>
      <c r="I41" s="121" t="n">
        <v>30.25126958588745</v>
      </c>
      <c r="J41" s="121" t="n">
        <v>72.43465867536266</v>
      </c>
      <c r="K41" s="121" t="n">
        <v>45.20749811044744</v>
      </c>
      <c r="L41" s="121" t="n"/>
      <c r="M41" s="121" t="n">
        <v>31.08728064718467</v>
      </c>
      <c r="N41" s="121" t="n"/>
      <c r="O41" s="121" t="n">
        <v>87.79469427274603</v>
      </c>
      <c r="P41" s="121" t="n"/>
      <c r="Q41" s="121" t="n">
        <v>68.57346525457369</v>
      </c>
    </row>
    <row r="42">
      <c r="C42" s="112" t="n">
        <v>40513</v>
      </c>
      <c r="D42" s="112" t="n">
        <v>40543</v>
      </c>
      <c r="E42" s="120" t="inlineStr">
        <is>
          <t>grid_20qvjmd3.xlsx</t>
        </is>
      </c>
      <c r="F42" s="121" t="n">
        <v>89.50420694309157</v>
      </c>
      <c r="G42" s="121" t="n">
        <v>25.36408840437434</v>
      </c>
      <c r="H42" s="121" t="n">
        <v>74.95779086425645</v>
      </c>
      <c r="I42" s="121" t="n">
        <v>31.51381591217033</v>
      </c>
      <c r="J42" s="121" t="n">
        <v>76.60745358935073</v>
      </c>
      <c r="K42" s="121" t="n">
        <v>45.94537247607687</v>
      </c>
      <c r="L42" s="121" t="n"/>
      <c r="M42" s="121" t="n">
        <v>35.4644296925694</v>
      </c>
      <c r="N42" s="121" t="n"/>
      <c r="O42" s="121" t="n">
        <v>88.68522333789613</v>
      </c>
      <c r="P42" s="121" t="n"/>
      <c r="Q42" s="121" t="n">
        <v>63.60575304797518</v>
      </c>
    </row>
    <row r="43">
      <c r="C43" s="112" t="n">
        <v>40544</v>
      </c>
      <c r="D43" s="112" t="n">
        <v>40574</v>
      </c>
      <c r="E43" s="120" t="inlineStr">
        <is>
          <t>grid_u4lflnxf.xlsx</t>
        </is>
      </c>
      <c r="F43" s="121" t="n">
        <v>93.62247482322501</v>
      </c>
      <c r="G43" s="121" t="n">
        <v>26.41157899191446</v>
      </c>
      <c r="H43" s="121" t="n">
        <v>76.56278338087425</v>
      </c>
      <c r="I43" s="121" t="n">
        <v>28.64492698197839</v>
      </c>
      <c r="J43" s="121" t="n">
        <v>74.87206101814658</v>
      </c>
      <c r="K43" s="121" t="n">
        <v>47.66856207139196</v>
      </c>
      <c r="L43" s="121" t="n">
        <v>65.79809670280162</v>
      </c>
      <c r="M43" s="121" t="n">
        <v>35.84193178623903</v>
      </c>
      <c r="N43" s="121" t="n"/>
      <c r="O43" s="121" t="n">
        <v>90.46033252384574</v>
      </c>
      <c r="P43" s="121" t="n"/>
      <c r="Q43" s="121" t="n">
        <v>64.75280637665233</v>
      </c>
    </row>
    <row r="44">
      <c r="C44" s="112" t="n">
        <v>40575</v>
      </c>
      <c r="D44" s="112" t="n">
        <v>40602</v>
      </c>
      <c r="E44" s="120" t="inlineStr">
        <is>
          <t>grid_u4lflnxf.xlsx</t>
        </is>
      </c>
      <c r="F44" s="121" t="n">
        <v>95.42530018945182</v>
      </c>
      <c r="G44" s="121" t="n">
        <v>26.75666909727196</v>
      </c>
      <c r="H44" s="121" t="n">
        <v>77.63348685828292</v>
      </c>
      <c r="I44" s="121" t="n">
        <v>28.86227113007508</v>
      </c>
      <c r="J44" s="121" t="n">
        <v>73.39375258602365</v>
      </c>
      <c r="K44" s="121" t="n">
        <v>48.84500169653052</v>
      </c>
      <c r="L44" s="121" t="n">
        <v>65.78039971889963</v>
      </c>
      <c r="M44" s="121" t="n">
        <v>35.88902227531116</v>
      </c>
      <c r="N44" s="121" t="n"/>
      <c r="O44" s="121" t="n">
        <v>92.78206710073856</v>
      </c>
      <c r="P44" s="121" t="n"/>
      <c r="Q44" s="121" t="n">
        <v>69.38813861073078</v>
      </c>
    </row>
    <row r="45">
      <c r="C45" s="112" t="n">
        <v>40603</v>
      </c>
      <c r="D45" s="112" t="n">
        <v>40633</v>
      </c>
      <c r="E45" s="120" t="inlineStr">
        <is>
          <t>grid_u4lflnxf.xlsx</t>
        </is>
      </c>
      <c r="F45" s="121" t="n">
        <v>93.87492585304071</v>
      </c>
      <c r="G45" s="121" t="n">
        <v>27.75692923134308</v>
      </c>
      <c r="H45" s="121" t="n">
        <v>76.77438341541573</v>
      </c>
      <c r="I45" s="121" t="n">
        <v>29.71050859725633</v>
      </c>
      <c r="J45" s="121" t="n">
        <v>74.12585444443309</v>
      </c>
      <c r="K45" s="121" t="n">
        <v>48.97387046716648</v>
      </c>
      <c r="L45" s="121" t="n">
        <v>65.22799872976903</v>
      </c>
      <c r="M45" s="121" t="n">
        <v>36.41181464453983</v>
      </c>
      <c r="N45" s="121" t="n"/>
      <c r="O45" s="121" t="n">
        <v>90.94334583487006</v>
      </c>
      <c r="P45" s="121" t="n"/>
      <c r="Q45" s="121" t="n">
        <v>67.364393648597</v>
      </c>
    </row>
    <row r="46">
      <c r="C46" s="112" t="n">
        <v>40634</v>
      </c>
      <c r="D46" s="112" t="n">
        <v>40662</v>
      </c>
      <c r="E46" s="120" t="inlineStr">
        <is>
          <t>grid_u4lflnxf.xlsx</t>
        </is>
      </c>
      <c r="F46" s="121" t="n">
        <v>93.60278297206813</v>
      </c>
      <c r="G46" s="121" t="n">
        <v>28.98818906892217</v>
      </c>
      <c r="H46" s="121" t="n">
        <v>72.54068471003586</v>
      </c>
      <c r="I46" s="121" t="n">
        <v>30.87979944794278</v>
      </c>
      <c r="J46" s="121" t="n">
        <v>75.43647119440867</v>
      </c>
      <c r="K46" s="121" t="n">
        <v>48.38345562750071</v>
      </c>
      <c r="L46" s="121" t="n">
        <v>66.63635870735416</v>
      </c>
      <c r="M46" s="121" t="n">
        <v>38.86874412617038</v>
      </c>
      <c r="N46" s="121" t="n"/>
      <c r="O46" s="121" t="n">
        <v>96.20903008055065</v>
      </c>
      <c r="P46" s="121" t="n"/>
      <c r="Q46" s="121" t="n">
        <v>66.00796566259287</v>
      </c>
    </row>
    <row r="47">
      <c r="C47" s="112" t="n">
        <v>40664</v>
      </c>
      <c r="D47" s="112" t="n">
        <v>40694</v>
      </c>
      <c r="E47" s="120" t="inlineStr">
        <is>
          <t>grid_u4lflnxf.xlsx</t>
        </is>
      </c>
      <c r="F47" s="121" t="n">
        <v>88.79510927103283</v>
      </c>
      <c r="G47" s="121" t="n">
        <v>30.94632831948472</v>
      </c>
      <c r="H47" s="121" t="n">
        <v>74.32862726360308</v>
      </c>
      <c r="I47" s="121" t="n">
        <v>35.71382605336099</v>
      </c>
      <c r="J47" s="121" t="n">
        <v>73.02309729747888</v>
      </c>
      <c r="K47" s="121" t="n">
        <v>44.65398873511624</v>
      </c>
      <c r="L47" s="121" t="n">
        <v>65.60745752913384</v>
      </c>
      <c r="M47" s="121" t="n">
        <v>37.66779479597309</v>
      </c>
      <c r="N47" s="121" t="n"/>
      <c r="O47" s="121" t="n">
        <v>93.00900733311954</v>
      </c>
      <c r="P47" s="121" t="n"/>
      <c r="Q47" s="121" t="n">
        <v>63.97974783223713</v>
      </c>
    </row>
    <row r="48">
      <c r="C48" s="112" t="n">
        <v>40695</v>
      </c>
      <c r="D48" s="112" t="n">
        <v>40724</v>
      </c>
      <c r="E48" s="120" t="inlineStr">
        <is>
          <t>grid_u4lflnxf.xlsx</t>
        </is>
      </c>
      <c r="F48" s="121" t="n">
        <v>95.37572666649791</v>
      </c>
      <c r="G48" s="121" t="n">
        <v>56.02980371075758</v>
      </c>
      <c r="H48" s="121" t="n">
        <v>74.08083825042976</v>
      </c>
      <c r="I48" s="121" t="n">
        <v>36.8096890402661</v>
      </c>
      <c r="J48" s="121" t="n">
        <v>77.53589230897572</v>
      </c>
      <c r="K48" s="121" t="n">
        <v>52.08804021731576</v>
      </c>
      <c r="L48" s="121" t="n">
        <v>62.33057844614699</v>
      </c>
      <c r="M48" s="121" t="n">
        <v>37.24650311671554</v>
      </c>
      <c r="N48" s="121" t="n"/>
      <c r="O48" s="121" t="n">
        <v>96.86372866605622</v>
      </c>
      <c r="P48" s="121" t="n"/>
      <c r="Q48" s="121" t="n">
        <v>65.54852829012171</v>
      </c>
    </row>
    <row r="49">
      <c r="C49" s="112" t="n">
        <v>40725</v>
      </c>
      <c r="D49" s="112" t="n">
        <v>40753</v>
      </c>
      <c r="E49" s="120" t="inlineStr">
        <is>
          <t>grid_u4lflnxf.xlsx</t>
        </is>
      </c>
      <c r="F49" s="121" t="n">
        <v>100.0516217610728</v>
      </c>
      <c r="G49" s="121" t="n">
        <v>68.68181463704228</v>
      </c>
      <c r="H49" s="121" t="n">
        <v>74.01185274109095</v>
      </c>
      <c r="I49" s="121" t="n">
        <v>36.51254598306991</v>
      </c>
      <c r="J49" s="121" t="n">
        <v>81.59881899801822</v>
      </c>
      <c r="K49" s="121" t="n">
        <v>51.33810643486755</v>
      </c>
      <c r="L49" s="121" t="n">
        <v>64.75577920281684</v>
      </c>
      <c r="M49" s="121" t="n">
        <v>35.7504552522517</v>
      </c>
      <c r="N49" s="121" t="n"/>
      <c r="O49" s="121" t="n">
        <v>101.7393533185375</v>
      </c>
      <c r="P49" s="121" t="n"/>
      <c r="Q49" s="121" t="n">
        <v>64.26650463245964</v>
      </c>
    </row>
    <row r="50">
      <c r="C50" s="112" t="n">
        <v>40756</v>
      </c>
      <c r="D50" s="112" t="n">
        <v>40786</v>
      </c>
      <c r="E50" s="120" t="inlineStr">
        <is>
          <t>grid_u4lflnxf.xlsx</t>
        </is>
      </c>
      <c r="F50" s="121" t="n">
        <v>95.7762546813522</v>
      </c>
      <c r="G50" s="121" t="n">
        <v>70.2008593711551</v>
      </c>
      <c r="H50" s="121" t="n">
        <v>72.31433466343402</v>
      </c>
      <c r="I50" s="121" t="n">
        <v>42.50076697667517</v>
      </c>
      <c r="J50" s="121" t="n">
        <v>84.59019218178018</v>
      </c>
      <c r="K50" s="121" t="n">
        <v>50.0280103770689</v>
      </c>
      <c r="L50" s="121" t="n">
        <v>52.01532401737667</v>
      </c>
      <c r="M50" s="121" t="n">
        <v>35.54682261895153</v>
      </c>
      <c r="N50" s="121" t="n"/>
      <c r="O50" s="121" t="n">
        <v>96.61888817234464</v>
      </c>
      <c r="P50" s="121" t="n"/>
      <c r="Q50" s="121" t="n">
        <v>66.02064755599021</v>
      </c>
    </row>
    <row r="51">
      <c r="C51" s="112" t="n">
        <v>40787</v>
      </c>
      <c r="D51" s="112" t="n">
        <v>40816</v>
      </c>
      <c r="E51" s="120" t="inlineStr">
        <is>
          <t>grid_u4lflnxf.xlsx</t>
        </is>
      </c>
      <c r="F51" s="121" t="n">
        <v>94.91316752937267</v>
      </c>
      <c r="G51" s="121" t="n">
        <v>69.13501488979922</v>
      </c>
      <c r="H51" s="121" t="n">
        <v>71.71534634622981</v>
      </c>
      <c r="I51" s="121" t="n">
        <v>44.05068159111592</v>
      </c>
      <c r="J51" s="121" t="n">
        <v>77.79177258787615</v>
      </c>
      <c r="K51" s="121" t="n">
        <v>52.49862026476614</v>
      </c>
      <c r="L51" s="121" t="n">
        <v>47.8468989357501</v>
      </c>
      <c r="M51" s="121" t="n">
        <v>34.1442390439521</v>
      </c>
      <c r="N51" s="121" t="n"/>
      <c r="O51" s="121" t="n">
        <v>91.56279004643089</v>
      </c>
      <c r="P51" s="121" t="n">
        <v>76.55981763237901</v>
      </c>
      <c r="Q51" s="121" t="n">
        <v>67.76541159555734</v>
      </c>
    </row>
    <row r="52">
      <c r="C52" s="112" t="n">
        <v>40817</v>
      </c>
      <c r="D52" s="112" t="n">
        <v>40847</v>
      </c>
      <c r="E52" s="120" t="inlineStr">
        <is>
          <t>grid_u4lflnxf.xlsx</t>
        </is>
      </c>
      <c r="F52" s="121" t="n">
        <v>91.55892187554547</v>
      </c>
      <c r="G52" s="121" t="n">
        <v>69.79896275818109</v>
      </c>
      <c r="H52" s="121" t="n">
        <v>70.758934386302</v>
      </c>
      <c r="I52" s="121" t="n">
        <v>42.50690372339724</v>
      </c>
      <c r="J52" s="121" t="n">
        <v>73.17998902309483</v>
      </c>
      <c r="K52" s="121" t="n">
        <v>52.00476049797859</v>
      </c>
      <c r="L52" s="121" t="n">
        <v>45.50810785656707</v>
      </c>
      <c r="M52" s="121" t="n">
        <v>33.74707643735976</v>
      </c>
      <c r="N52" s="121" t="n"/>
      <c r="O52" s="121" t="n">
        <v>88.92205664937757</v>
      </c>
      <c r="P52" s="121" t="n">
        <v>79.12180727320556</v>
      </c>
      <c r="Q52" s="121" t="n">
        <v>66.52376838114364</v>
      </c>
    </row>
    <row r="53">
      <c r="C53" s="112" t="n">
        <v>40848</v>
      </c>
      <c r="D53" s="112" t="n">
        <v>40877</v>
      </c>
      <c r="E53" s="120" t="inlineStr">
        <is>
          <t>grid_u4lflnxf.xlsx</t>
        </is>
      </c>
      <c r="F53" s="121" t="n">
        <v>93.17168153158242</v>
      </c>
      <c r="G53" s="121" t="n">
        <v>72.43087887203073</v>
      </c>
      <c r="H53" s="121" t="n">
        <v>72.10239278158258</v>
      </c>
      <c r="I53" s="121" t="n">
        <v>42.65945260784179</v>
      </c>
      <c r="J53" s="121" t="n">
        <v>76.07585031324618</v>
      </c>
      <c r="K53" s="121" t="n">
        <v>52.20215858968452</v>
      </c>
      <c r="L53" s="121" t="n">
        <v>34.70070256172811</v>
      </c>
      <c r="M53" s="121" t="n">
        <v>36.01448318953631</v>
      </c>
      <c r="N53" s="121" t="n"/>
      <c r="O53" s="121" t="n">
        <v>88.7643565742861</v>
      </c>
      <c r="P53" s="121" t="n">
        <v>80.69465549749692</v>
      </c>
      <c r="Q53" s="121" t="n">
        <v>64.76836370883827</v>
      </c>
    </row>
    <row r="54">
      <c r="C54" s="112" t="n">
        <v>40878</v>
      </c>
      <c r="D54" s="112" t="n">
        <v>40907</v>
      </c>
      <c r="E54" s="120" t="inlineStr">
        <is>
          <t>grid_u4lflnxf.xlsx</t>
        </is>
      </c>
      <c r="F54" s="121" t="n">
        <v>89.89050539408605</v>
      </c>
      <c r="G54" s="121" t="n">
        <v>73.10498100994253</v>
      </c>
      <c r="H54" s="121" t="n">
        <v>77.68375588030196</v>
      </c>
      <c r="I54" s="121" t="n">
        <v>45.05646684778991</v>
      </c>
      <c r="J54" s="121" t="n">
        <v>73.97578210439441</v>
      </c>
      <c r="K54" s="121" t="n">
        <v>52.8191464257773</v>
      </c>
      <c r="L54" s="121" t="n">
        <v>34.85309252714895</v>
      </c>
      <c r="M54" s="121" t="n">
        <v>38.87721921764813</v>
      </c>
      <c r="N54" s="121" t="n"/>
      <c r="O54" s="121" t="n">
        <v>84.35218158846321</v>
      </c>
      <c r="P54" s="121" t="n">
        <v>80.75341293002739</v>
      </c>
      <c r="Q54" s="121" t="n">
        <v>64.86473245553776</v>
      </c>
    </row>
    <row r="55">
      <c r="C55" s="112" t="n">
        <v>40909</v>
      </c>
      <c r="D55" s="112" t="n">
        <v>40939</v>
      </c>
      <c r="E55" s="120" t="inlineStr">
        <is>
          <t>grid_u4lflnxf.xlsx</t>
        </is>
      </c>
      <c r="F55" s="121" t="n">
        <v>84.73610139345131</v>
      </c>
      <c r="G55" s="121" t="n">
        <v>68.20091024120991</v>
      </c>
      <c r="H55" s="121" t="n">
        <v>68.90555612059319</v>
      </c>
      <c r="I55" s="121" t="n">
        <v>47.29972947029717</v>
      </c>
      <c r="J55" s="121" t="n">
        <v>73.1466253123277</v>
      </c>
      <c r="K55" s="121" t="n">
        <v>53.15513028723225</v>
      </c>
      <c r="L55" s="121" t="n">
        <v>36.77568760043851</v>
      </c>
      <c r="M55" s="121" t="n">
        <v>37.35908482010041</v>
      </c>
      <c r="N55" s="121" t="n"/>
      <c r="O55" s="121" t="n">
        <v>82.5970940505032</v>
      </c>
      <c r="P55" s="121" t="n">
        <v>80.91026941264846</v>
      </c>
      <c r="Q55" s="121" t="n">
        <v>65.92721453791009</v>
      </c>
    </row>
    <row r="56">
      <c r="C56" s="112" t="n">
        <v>40940</v>
      </c>
      <c r="D56" s="112" t="n">
        <v>40968</v>
      </c>
      <c r="E56" s="120" t="inlineStr">
        <is>
          <t>grid_u4lflnxf.xlsx</t>
        </is>
      </c>
      <c r="F56" s="121" t="n">
        <v>75.95087452124766</v>
      </c>
      <c r="G56" s="121" t="n">
        <v>67.74176179034919</v>
      </c>
      <c r="H56" s="121" t="n">
        <v>66.12233617820678</v>
      </c>
      <c r="I56" s="121" t="n">
        <v>46.45027891609814</v>
      </c>
      <c r="J56" s="121" t="n">
        <v>68.01613587905311</v>
      </c>
      <c r="K56" s="121" t="n">
        <v>52.86636688693701</v>
      </c>
      <c r="L56" s="121" t="n">
        <v>37.8560394646098</v>
      </c>
      <c r="M56" s="121" t="n">
        <v>37.7206615006866</v>
      </c>
      <c r="N56" s="121" t="n"/>
      <c r="O56" s="121" t="n">
        <v>72.05837209838492</v>
      </c>
      <c r="P56" s="121" t="n">
        <v>82.31626524401909</v>
      </c>
      <c r="Q56" s="121" t="n">
        <v>67.11756720652576</v>
      </c>
    </row>
    <row r="57">
      <c r="C57" s="112" t="n">
        <v>40969</v>
      </c>
      <c r="D57" s="112" t="n">
        <v>40998</v>
      </c>
      <c r="E57" s="120" t="inlineStr">
        <is>
          <t>grid_u4lflnxf.xlsx</t>
        </is>
      </c>
      <c r="F57" s="121" t="n">
        <v>75.00193998290734</v>
      </c>
      <c r="G57" s="121" t="n">
        <v>68.7235310253382</v>
      </c>
      <c r="H57" s="121" t="n">
        <v>66.08024959947056</v>
      </c>
      <c r="I57" s="121" t="n">
        <v>49.45018114352613</v>
      </c>
      <c r="J57" s="121" t="n">
        <v>69.38731269480533</v>
      </c>
      <c r="K57" s="121" t="n">
        <v>53.285219538635</v>
      </c>
      <c r="L57" s="121" t="n">
        <v>38.15272226182087</v>
      </c>
      <c r="M57" s="121" t="n">
        <v>41.11776335842038</v>
      </c>
      <c r="N57" s="121" t="n"/>
      <c r="O57" s="121" t="n">
        <v>70.30453662364962</v>
      </c>
      <c r="P57" s="121" t="n">
        <v>84.49342806038329</v>
      </c>
      <c r="Q57" s="121" t="n">
        <v>66.46744071300351</v>
      </c>
    </row>
    <row r="58">
      <c r="C58" s="112" t="n">
        <v>41000</v>
      </c>
      <c r="D58" s="112" t="n">
        <v>41029</v>
      </c>
      <c r="E58" s="120" t="inlineStr">
        <is>
          <t>grid_u4lflnxf.xlsx</t>
        </is>
      </c>
      <c r="F58" s="121" t="n">
        <v>74.81905264248782</v>
      </c>
      <c r="G58" s="121" t="n">
        <v>51.37238478908714</v>
      </c>
      <c r="H58" s="121" t="n">
        <v>63.7472093429734</v>
      </c>
      <c r="I58" s="121" t="n">
        <v>50.20890144083218</v>
      </c>
      <c r="J58" s="121" t="n">
        <v>68.49244860788868</v>
      </c>
      <c r="K58" s="121" t="n">
        <v>51.20779893463262</v>
      </c>
      <c r="L58" s="121" t="n">
        <v>39.32926063190685</v>
      </c>
      <c r="M58" s="121" t="n">
        <v>43.78974754885985</v>
      </c>
      <c r="N58" s="121" t="n"/>
      <c r="O58" s="121" t="n">
        <v>71.38435529117308</v>
      </c>
      <c r="P58" s="121" t="n">
        <v>83.08510028004157</v>
      </c>
      <c r="Q58" s="121" t="n">
        <v>70.42861506843643</v>
      </c>
    </row>
    <row r="59">
      <c r="C59" s="112" t="n">
        <v>41030</v>
      </c>
      <c r="D59" s="112" t="n">
        <v>41060</v>
      </c>
      <c r="E59" s="120" t="inlineStr">
        <is>
          <t>grid_u4lflnxf.xlsx</t>
        </is>
      </c>
      <c r="F59" s="121" t="n">
        <v>79.63429469241265</v>
      </c>
      <c r="G59" s="121" t="n">
        <v>52.65542634679756</v>
      </c>
      <c r="H59" s="121" t="n">
        <v>60.98322285513363</v>
      </c>
      <c r="I59" s="121" t="n">
        <v>51.94327149541493</v>
      </c>
      <c r="J59" s="121" t="n">
        <v>71.77656633331196</v>
      </c>
      <c r="K59" s="121" t="n">
        <v>53.74769259587485</v>
      </c>
      <c r="L59" s="121" t="n">
        <v>36.11745906550696</v>
      </c>
      <c r="M59" s="121" t="n">
        <v>45.36782062422277</v>
      </c>
      <c r="N59" s="121" t="n"/>
      <c r="O59" s="121" t="n">
        <v>77.73330968090077</v>
      </c>
      <c r="P59" s="121" t="n">
        <v>84.58004673972896</v>
      </c>
      <c r="Q59" s="121" t="n">
        <v>71.11043483331071</v>
      </c>
    </row>
    <row r="60">
      <c r="C60" s="112" t="n">
        <v>41061</v>
      </c>
      <c r="D60" s="112" t="n">
        <v>41089</v>
      </c>
      <c r="E60" s="120" t="inlineStr">
        <is>
          <t>grid_u4lflnxf.xlsx</t>
        </is>
      </c>
      <c r="F60" s="121" t="n">
        <v>80.04198270007693</v>
      </c>
      <c r="G60" s="121" t="n">
        <v>51.43660056778651</v>
      </c>
      <c r="H60" s="121" t="n">
        <v>57.015868403057</v>
      </c>
      <c r="I60" s="121" t="n">
        <v>51.08976871757972</v>
      </c>
      <c r="J60" s="121" t="n">
        <v>78.12596412464778</v>
      </c>
      <c r="K60" s="121" t="n">
        <v>52.46208518691684</v>
      </c>
      <c r="L60" s="121" t="n">
        <v>36.11898242501181</v>
      </c>
      <c r="M60" s="121" t="n">
        <v>45.89053154754896</v>
      </c>
      <c r="N60" s="121" t="n"/>
      <c r="O60" s="121" t="n">
        <v>81.11744080804817</v>
      </c>
      <c r="P60" s="121" t="n">
        <v>86.85961490450265</v>
      </c>
      <c r="Q60" s="121" t="n">
        <v>71.177600876684</v>
      </c>
    </row>
    <row r="61">
      <c r="C61" s="112" t="n">
        <v>41091</v>
      </c>
      <c r="D61" s="112" t="n">
        <v>41121</v>
      </c>
      <c r="E61" s="120" t="inlineStr">
        <is>
          <t>grid_u4lflnxf.xlsx</t>
        </is>
      </c>
      <c r="F61" s="121" t="n">
        <v>75.53783395034598</v>
      </c>
      <c r="G61" s="121" t="n">
        <v>48.6166514929704</v>
      </c>
      <c r="H61" s="121" t="n">
        <v>54.1373827871923</v>
      </c>
      <c r="I61" s="121" t="n">
        <v>50.74271645730325</v>
      </c>
      <c r="J61" s="121" t="n">
        <v>78.87839653490738</v>
      </c>
      <c r="K61" s="121" t="n">
        <v>52.06011329045955</v>
      </c>
      <c r="L61" s="121" t="n">
        <v>37.26168606637919</v>
      </c>
      <c r="M61" s="121" t="n">
        <v>44.9229901608688</v>
      </c>
      <c r="N61" s="121" t="n"/>
      <c r="O61" s="121" t="n">
        <v>70.44875581510524</v>
      </c>
      <c r="P61" s="121" t="n">
        <v>82.32695910067467</v>
      </c>
      <c r="Q61" s="121" t="n">
        <v>73.73345925495545</v>
      </c>
    </row>
    <row r="62">
      <c r="C62" s="112" t="n">
        <v>41122</v>
      </c>
      <c r="D62" s="112" t="n">
        <v>41152</v>
      </c>
      <c r="E62" s="120" t="inlineStr">
        <is>
          <t>grid_u4lflnxf.xlsx</t>
        </is>
      </c>
      <c r="F62" s="121" t="n">
        <v>71.59310152261374</v>
      </c>
      <c r="G62" s="121" t="n">
        <v>47.82938953014591</v>
      </c>
      <c r="H62" s="121" t="n">
        <v>48.24558246792773</v>
      </c>
      <c r="I62" s="121" t="n">
        <v>48.69899534666144</v>
      </c>
      <c r="J62" s="121" t="n">
        <v>76.53289297393991</v>
      </c>
      <c r="K62" s="121" t="n">
        <v>52.92994420869872</v>
      </c>
      <c r="L62" s="121" t="n">
        <v>36.72784648411771</v>
      </c>
      <c r="M62" s="121" t="n">
        <v>44.62015309680066</v>
      </c>
      <c r="N62" s="121" t="n"/>
      <c r="O62" s="121" t="n">
        <v>63.24568410793595</v>
      </c>
      <c r="P62" s="121" t="n">
        <v>89.11879741949461</v>
      </c>
      <c r="Q62" s="121" t="n">
        <v>75.1338242016547</v>
      </c>
    </row>
    <row r="63">
      <c r="C63" s="112" t="n">
        <v>41153</v>
      </c>
      <c r="D63" s="112" t="n">
        <v>41180</v>
      </c>
      <c r="E63" s="120" t="inlineStr">
        <is>
          <t>grid_u4lflnxf.xlsx</t>
        </is>
      </c>
      <c r="F63" s="121" t="n">
        <v>69.52868073882938</v>
      </c>
      <c r="G63" s="121" t="n">
        <v>47.35298751507094</v>
      </c>
      <c r="H63" s="121" t="n">
        <v>46.54095558397231</v>
      </c>
      <c r="I63" s="121" t="n">
        <v>52.27904580973013</v>
      </c>
      <c r="J63" s="121" t="n">
        <v>65.74489709495067</v>
      </c>
      <c r="K63" s="121" t="n">
        <v>49.6438136683807</v>
      </c>
      <c r="L63" s="121" t="n">
        <v>38.10699432134223</v>
      </c>
      <c r="M63" s="121" t="n">
        <v>44.23174231575619</v>
      </c>
      <c r="N63" s="121" t="n"/>
      <c r="O63" s="121" t="n">
        <v>57.50202716579525</v>
      </c>
      <c r="P63" s="121" t="n">
        <v>88.35754220878637</v>
      </c>
      <c r="Q63" s="121" t="n">
        <v>68.63476817817239</v>
      </c>
    </row>
    <row r="64">
      <c r="C64" s="112" t="n">
        <v>41183</v>
      </c>
      <c r="D64" s="112" t="n">
        <v>41213</v>
      </c>
      <c r="E64" s="120" t="inlineStr">
        <is>
          <t>grid_u4lflnxf.xlsx</t>
        </is>
      </c>
      <c r="F64" s="121" t="n">
        <v>67.47360346415817</v>
      </c>
      <c r="G64" s="121" t="n">
        <v>48.68855668796309</v>
      </c>
      <c r="H64" s="121" t="n">
        <v>46.22051656181883</v>
      </c>
      <c r="I64" s="121" t="n">
        <v>55.37810343437057</v>
      </c>
      <c r="J64" s="121" t="n">
        <v>67.44420425760589</v>
      </c>
      <c r="K64" s="121" t="n">
        <v>48.67521497990822</v>
      </c>
      <c r="L64" s="121" t="n">
        <v>39.14899782783931</v>
      </c>
      <c r="M64" s="121" t="n">
        <v>47.3377086533724</v>
      </c>
      <c r="N64" s="121" t="n"/>
      <c r="O64" s="121" t="n">
        <v>54.23375057498671</v>
      </c>
      <c r="P64" s="121" t="n">
        <v>91.51376986191281</v>
      </c>
      <c r="Q64" s="121" t="n">
        <v>69.95493055968399</v>
      </c>
    </row>
    <row r="65">
      <c r="C65" s="112" t="n">
        <v>41214</v>
      </c>
      <c r="D65" s="112" t="n">
        <v>41243</v>
      </c>
      <c r="E65" s="120" t="inlineStr">
        <is>
          <t>grid_u4lflnxf.xlsx</t>
        </is>
      </c>
      <c r="F65" s="121" t="n">
        <v>64.63909068088213</v>
      </c>
      <c r="G65" s="121" t="n">
        <v>49.72098891651513</v>
      </c>
      <c r="H65" s="121" t="n">
        <v>46.05625616549832</v>
      </c>
      <c r="I65" s="121" t="n">
        <v>55.90417999249424</v>
      </c>
      <c r="J65" s="121" t="n">
        <v>65.5288959323529</v>
      </c>
      <c r="K65" s="121" t="n">
        <v>48.91966738046293</v>
      </c>
      <c r="L65" s="121" t="n">
        <v>40.57483980241301</v>
      </c>
      <c r="M65" s="121" t="n">
        <v>48.46047296162828</v>
      </c>
      <c r="N65" s="121" t="n"/>
      <c r="O65" s="121" t="n">
        <v>52.91495938338278</v>
      </c>
      <c r="P65" s="121" t="n">
        <v>93.86541320089508</v>
      </c>
      <c r="Q65" s="121" t="n">
        <v>53.83050137770431</v>
      </c>
    </row>
    <row r="66">
      <c r="C66" s="112" t="n">
        <v>41244</v>
      </c>
      <c r="D66" s="112" t="n">
        <v>41274</v>
      </c>
      <c r="E66" s="120" t="inlineStr">
        <is>
          <t>grid_u4lflnxf.xlsx</t>
        </is>
      </c>
      <c r="F66" s="121" t="n">
        <v>66.08702572104183</v>
      </c>
      <c r="G66" s="121" t="n">
        <v>50.03938311010726</v>
      </c>
      <c r="H66" s="121" t="n">
        <v>46.35674625530449</v>
      </c>
      <c r="I66" s="121" t="n">
        <v>56.72034335350212</v>
      </c>
      <c r="J66" s="121" t="n">
        <v>67.12517917737173</v>
      </c>
      <c r="K66" s="121" t="n">
        <v>49.52277249409454</v>
      </c>
      <c r="L66" s="121" t="n">
        <v>43.3379365355628</v>
      </c>
      <c r="M66" s="121" t="n">
        <v>48.17082448000217</v>
      </c>
      <c r="N66" s="121" t="n"/>
      <c r="O66" s="121" t="n">
        <v>54.26039147736829</v>
      </c>
      <c r="P66" s="121" t="n">
        <v>95.8055982824248</v>
      </c>
      <c r="Q66" s="121" t="n">
        <v>53.98887105774202</v>
      </c>
    </row>
    <row r="67">
      <c r="C67" s="112" t="n">
        <v>41275</v>
      </c>
      <c r="D67" s="112" t="n">
        <v>41305</v>
      </c>
      <c r="E67" s="120" t="inlineStr">
        <is>
          <t>grid_u4lflnxf.xlsx</t>
        </is>
      </c>
      <c r="F67" s="121" t="n">
        <v>61.96637285617484</v>
      </c>
      <c r="G67" s="121" t="n">
        <v>48.72425074704597</v>
      </c>
      <c r="H67" s="121" t="n">
        <v>47.06558786123577</v>
      </c>
      <c r="I67" s="121" t="n">
        <v>59.05509352465362</v>
      </c>
      <c r="J67" s="121" t="n">
        <v>65.2103229622281</v>
      </c>
      <c r="K67" s="121" t="n">
        <v>48.86593933428426</v>
      </c>
      <c r="L67" s="121" t="n">
        <v>42.22118565850585</v>
      </c>
      <c r="M67" s="121" t="n">
        <v>51.49872214697974</v>
      </c>
      <c r="N67" s="121" t="n"/>
      <c r="O67" s="121" t="n">
        <v>49.76655411030015</v>
      </c>
      <c r="P67" s="121" t="n">
        <v>97.14484371383281</v>
      </c>
      <c r="Q67" s="121" t="n">
        <v>45.2658511228701</v>
      </c>
    </row>
    <row r="68">
      <c r="C68" s="112" t="n">
        <v>41306</v>
      </c>
      <c r="D68" s="112" t="n">
        <v>41333</v>
      </c>
      <c r="E68" s="120" t="inlineStr">
        <is>
          <t>grid_u4lflnxf.xlsx</t>
        </is>
      </c>
      <c r="F68" s="121" t="n">
        <v>60.84872757751035</v>
      </c>
      <c r="G68" s="121" t="n">
        <v>52.06144174675708</v>
      </c>
      <c r="H68" s="121" t="n">
        <v>45.50793160867148</v>
      </c>
      <c r="I68" s="121" t="n">
        <v>59.25437939180224</v>
      </c>
      <c r="J68" s="121" t="n">
        <v>61.96079124469396</v>
      </c>
      <c r="K68" s="121" t="n">
        <v>49.08234699823426</v>
      </c>
      <c r="L68" s="121" t="n">
        <v>43.13807788941924</v>
      </c>
      <c r="M68" s="121" t="n">
        <v>53.04967213090534</v>
      </c>
      <c r="N68" s="121" t="n"/>
      <c r="O68" s="121" t="n">
        <v>53.35003613770394</v>
      </c>
      <c r="P68" s="121" t="n">
        <v>98.91167699341716</v>
      </c>
      <c r="Q68" s="121" t="n">
        <v>52.51051463300411</v>
      </c>
    </row>
    <row r="69">
      <c r="C69" s="112" t="n">
        <v>41334</v>
      </c>
      <c r="D69" s="112" t="n">
        <v>41362</v>
      </c>
      <c r="E69" s="120" t="inlineStr">
        <is>
          <t>grid_u4lflnxf.xlsx</t>
        </is>
      </c>
      <c r="F69" s="121" t="n">
        <v>62.76304672777739</v>
      </c>
      <c r="G69" s="121" t="n">
        <v>52.91629839076855</v>
      </c>
      <c r="H69" s="121" t="n">
        <v>44.48538840389521</v>
      </c>
      <c r="I69" s="121" t="n">
        <v>59.80041326927569</v>
      </c>
      <c r="J69" s="121" t="n">
        <v>69.81044624724711</v>
      </c>
      <c r="K69" s="121" t="n">
        <v>50.3174358807133</v>
      </c>
      <c r="L69" s="121" t="n">
        <v>43.30165128667131</v>
      </c>
      <c r="M69" s="121" t="n">
        <v>55.09518904150286</v>
      </c>
      <c r="N69" s="121" t="n"/>
      <c r="O69" s="121" t="n">
        <v>50.04780808998181</v>
      </c>
      <c r="P69" s="121" t="n">
        <v>100.3566901487706</v>
      </c>
      <c r="Q69" s="121" t="n">
        <v>54.35614630668829</v>
      </c>
    </row>
    <row r="70">
      <c r="C70" s="112" t="n">
        <v>41365</v>
      </c>
      <c r="D70" s="112" t="n">
        <v>41394</v>
      </c>
      <c r="E70" s="120" t="inlineStr">
        <is>
          <t>grid_u4lflnxf.xlsx</t>
        </is>
      </c>
      <c r="F70" s="121" t="n">
        <v>67.49659132528537</v>
      </c>
      <c r="G70" s="121" t="n">
        <v>54.8307125485498</v>
      </c>
      <c r="H70" s="121" t="n">
        <v>44.31664121228609</v>
      </c>
      <c r="I70" s="121" t="n">
        <v>59.07477915632261</v>
      </c>
      <c r="J70" s="121" t="n">
        <v>75.51689458910283</v>
      </c>
      <c r="K70" s="121" t="n">
        <v>49.77875443475863</v>
      </c>
      <c r="L70" s="121" t="n">
        <v>43.73308243124892</v>
      </c>
      <c r="M70" s="121" t="n">
        <v>55.74678739899126</v>
      </c>
      <c r="N70" s="121" t="n"/>
      <c r="O70" s="121" t="n">
        <v>52.02376684155828</v>
      </c>
      <c r="P70" s="121" t="n">
        <v>104.0460330023967</v>
      </c>
      <c r="Q70" s="121" t="n">
        <v>53.01357345457242</v>
      </c>
    </row>
    <row r="71">
      <c r="C71" s="112" t="n">
        <v>41395</v>
      </c>
      <c r="D71" s="112" t="n">
        <v>41425</v>
      </c>
      <c r="E71" s="120" t="inlineStr">
        <is>
          <t>grid_u4lflnxf.xlsx</t>
        </is>
      </c>
      <c r="F71" s="121" t="n">
        <v>64.40790292907305</v>
      </c>
      <c r="G71" s="121" t="n">
        <v>51.28410908751404</v>
      </c>
      <c r="H71" s="121" t="n">
        <v>38.64637738796567</v>
      </c>
      <c r="I71" s="121" t="n">
        <v>56.23421006287713</v>
      </c>
      <c r="J71" s="121" t="n">
        <v>67.22842663634347</v>
      </c>
      <c r="K71" s="121" t="n">
        <v>52.03773977090177</v>
      </c>
      <c r="L71" s="121" t="n">
        <v>43.02878219677703</v>
      </c>
      <c r="M71" s="121" t="n">
        <v>59.34436351943211</v>
      </c>
      <c r="N71" s="121" t="n"/>
      <c r="O71" s="121" t="n">
        <v>50.02382031861313</v>
      </c>
      <c r="P71" s="121" t="n">
        <v>86.9381305344924</v>
      </c>
      <c r="Q71" s="121" t="n">
        <v>50.61770961203072</v>
      </c>
    </row>
    <row r="72">
      <c r="C72" s="112" t="n">
        <v>41426</v>
      </c>
      <c r="D72" s="112" t="n">
        <v>41453</v>
      </c>
      <c r="E72" s="120" t="inlineStr">
        <is>
          <t>grid_u4lflnxf.xlsx</t>
        </is>
      </c>
      <c r="F72" s="121" t="n">
        <v>62.8042582168647</v>
      </c>
      <c r="G72" s="121" t="n">
        <v>51.12128758635323</v>
      </c>
      <c r="H72" s="121" t="n">
        <v>40.62018689654383</v>
      </c>
      <c r="I72" s="121" t="n">
        <v>58.6637208368193</v>
      </c>
      <c r="J72" s="121" t="n">
        <v>70.05208291121558</v>
      </c>
      <c r="K72" s="121" t="n">
        <v>51.52838963968137</v>
      </c>
      <c r="L72" s="121" t="n">
        <v>41.12946896762431</v>
      </c>
      <c r="M72" s="121" t="n">
        <v>64.17420599800512</v>
      </c>
      <c r="N72" s="121" t="n"/>
      <c r="O72" s="121" t="n">
        <v>51.07588360857795</v>
      </c>
      <c r="P72" s="121" t="n">
        <v>86.46712281601987</v>
      </c>
      <c r="Q72" s="121" t="n">
        <v>54.41987826218826</v>
      </c>
    </row>
    <row r="73">
      <c r="C73" s="112" t="n">
        <v>41456</v>
      </c>
      <c r="D73" s="112" t="n">
        <v>41486</v>
      </c>
      <c r="E73" s="120" t="inlineStr">
        <is>
          <t>grid_u4lflnxf.xlsx</t>
        </is>
      </c>
      <c r="F73" s="121" t="n">
        <v>61.37208234060213</v>
      </c>
      <c r="G73" s="121" t="n">
        <v>49.10199957915552</v>
      </c>
      <c r="H73" s="121" t="n">
        <v>41.9240341470766</v>
      </c>
      <c r="I73" s="121" t="n">
        <v>61.30767972535862</v>
      </c>
      <c r="J73" s="121" t="n">
        <v>68.06586430879271</v>
      </c>
      <c r="K73" s="121" t="n">
        <v>51.48639283179831</v>
      </c>
      <c r="L73" s="121" t="n">
        <v>42.59948307856422</v>
      </c>
      <c r="M73" s="121" t="n">
        <v>62.36722881819387</v>
      </c>
      <c r="N73" s="121" t="n"/>
      <c r="O73" s="121" t="n">
        <v>49.15074117944082</v>
      </c>
      <c r="P73" s="121" t="n">
        <v>82.68859344143792</v>
      </c>
      <c r="Q73" s="121" t="n">
        <v>54.66921684686072</v>
      </c>
    </row>
    <row r="74">
      <c r="C74" s="112" t="n">
        <v>41487</v>
      </c>
      <c r="D74" s="112" t="n">
        <v>41516</v>
      </c>
      <c r="E74" s="120" t="inlineStr">
        <is>
          <t>grid_u4lflnxf.xlsx</t>
        </is>
      </c>
      <c r="F74" s="121" t="n">
        <v>62.25740346201189</v>
      </c>
      <c r="G74" s="121" t="n">
        <v>49.9494148158402</v>
      </c>
      <c r="H74" s="121" t="n">
        <v>42.38372387096875</v>
      </c>
      <c r="I74" s="121" t="n">
        <v>61.62342636263472</v>
      </c>
      <c r="J74" s="121" t="n">
        <v>77.76477010791756</v>
      </c>
      <c r="K74" s="121" t="n">
        <v>51.82726574919083</v>
      </c>
      <c r="L74" s="121" t="n">
        <v>42.91561011356517</v>
      </c>
      <c r="M74" s="121" t="n">
        <v>58.65080528356875</v>
      </c>
      <c r="N74" s="121" t="n"/>
      <c r="O74" s="121" t="n">
        <v>47.2460805707449</v>
      </c>
      <c r="P74" s="121" t="n">
        <v>82.81149284646871</v>
      </c>
      <c r="Q74" s="121" t="n">
        <v>52.37930008259151</v>
      </c>
    </row>
    <row r="75">
      <c r="C75" s="112" t="n">
        <v>41518</v>
      </c>
      <c r="D75" s="112" t="n">
        <v>41547</v>
      </c>
      <c r="E75" s="120" t="inlineStr">
        <is>
          <t>grid_u4lflnxf.xlsx</t>
        </is>
      </c>
      <c r="F75" s="121" t="n">
        <v>60.79161826406191</v>
      </c>
      <c r="G75" s="121" t="n">
        <v>42.65406654335293</v>
      </c>
      <c r="H75" s="121" t="n">
        <v>42.19972239189678</v>
      </c>
      <c r="I75" s="121" t="n">
        <v>61.28328269516508</v>
      </c>
      <c r="J75" s="121" t="n">
        <v>64.15288643918097</v>
      </c>
      <c r="K75" s="121" t="n">
        <v>52.80965649848059</v>
      </c>
      <c r="L75" s="121" t="n">
        <v>44.57493375850368</v>
      </c>
      <c r="M75" s="121" t="n">
        <v>56.24052537486315</v>
      </c>
      <c r="N75" s="121" t="n"/>
      <c r="O75" s="121" t="n">
        <v>50.08860208650816</v>
      </c>
      <c r="P75" s="121" t="n">
        <v>84.4560115940461</v>
      </c>
      <c r="Q75" s="121" t="n">
        <v>54.1363131355094</v>
      </c>
    </row>
    <row r="76">
      <c r="C76" s="112" t="n">
        <v>41548</v>
      </c>
      <c r="D76" s="112" t="n">
        <v>41578</v>
      </c>
      <c r="E76" s="120" t="inlineStr">
        <is>
          <t>grid_u4lflnxf.xlsx</t>
        </is>
      </c>
      <c r="F76" s="121" t="n">
        <v>61.56179870105755</v>
      </c>
      <c r="G76" s="121" t="n">
        <v>40.88310374886527</v>
      </c>
      <c r="H76" s="121" t="n">
        <v>42.42948900079301</v>
      </c>
      <c r="I76" s="121" t="n">
        <v>62.82965621889258</v>
      </c>
      <c r="J76" s="121" t="n">
        <v>65.50685444734231</v>
      </c>
      <c r="K76" s="121" t="n">
        <v>53.43459504487371</v>
      </c>
      <c r="L76" s="121" t="n">
        <v>45.79293221477849</v>
      </c>
      <c r="M76" s="121" t="n">
        <v>57.51592819887875</v>
      </c>
      <c r="N76" s="121" t="n"/>
      <c r="O76" s="121" t="n">
        <v>48.22880422298623</v>
      </c>
      <c r="P76" s="121" t="n">
        <v>81.40827053086674</v>
      </c>
      <c r="Q76" s="121" t="n">
        <v>54.07583950463076</v>
      </c>
    </row>
    <row r="77">
      <c r="C77" s="112" t="n">
        <v>41579</v>
      </c>
      <c r="D77" s="112" t="n">
        <v>41607</v>
      </c>
      <c r="E77" s="120" t="inlineStr">
        <is>
          <t>grid_u4lflnxf.xlsx</t>
        </is>
      </c>
      <c r="F77" s="121" t="n">
        <v>65.72729473102818</v>
      </c>
      <c r="G77" s="121" t="n">
        <v>39.15006244917455</v>
      </c>
      <c r="H77" s="121" t="n">
        <v>42.61466836351102</v>
      </c>
      <c r="I77" s="121" t="n">
        <v>66.67289670170513</v>
      </c>
      <c r="J77" s="121" t="n">
        <v>80.28731955745158</v>
      </c>
      <c r="K77" s="121" t="n">
        <v>53.79746103796003</v>
      </c>
      <c r="L77" s="121" t="n">
        <v>46.16655338142658</v>
      </c>
      <c r="M77" s="121" t="n">
        <v>60.51036382901302</v>
      </c>
      <c r="N77" s="121" t="n"/>
      <c r="O77" s="121" t="n">
        <v>52.0304177633008</v>
      </c>
      <c r="P77" s="121" t="n">
        <v>82.8556935867485</v>
      </c>
      <c r="Q77" s="121" t="n">
        <v>54.2914283017729</v>
      </c>
    </row>
    <row r="78">
      <c r="C78" s="112" t="n">
        <v>41609</v>
      </c>
      <c r="D78" s="112" t="n">
        <v>41639</v>
      </c>
      <c r="E78" s="120" t="inlineStr">
        <is>
          <t>grid_u4lflnxf.xlsx</t>
        </is>
      </c>
      <c r="F78" s="121" t="n">
        <v>64.80547640894807</v>
      </c>
      <c r="G78" s="121" t="n">
        <v>38.83798881651176</v>
      </c>
      <c r="H78" s="121" t="n">
        <v>40.26124869200849</v>
      </c>
      <c r="I78" s="121" t="n">
        <v>67.84612284972697</v>
      </c>
      <c r="J78" s="121" t="n">
        <v>84.05260056974811</v>
      </c>
      <c r="K78" s="121" t="n">
        <v>54.29431429703958</v>
      </c>
      <c r="L78" s="121" t="n">
        <v>43.9066832805063</v>
      </c>
      <c r="M78" s="121" t="n">
        <v>60.83633886667218</v>
      </c>
      <c r="N78" s="121" t="n"/>
      <c r="O78" s="121" t="n">
        <v>50.50021835040801</v>
      </c>
      <c r="P78" s="121" t="n">
        <v>81.39649941797045</v>
      </c>
      <c r="Q78" s="121" t="n">
        <v>56.02363128246459</v>
      </c>
    </row>
    <row r="79">
      <c r="C79" s="112" t="n">
        <v>41640</v>
      </c>
      <c r="D79" s="112" t="n">
        <v>41670</v>
      </c>
      <c r="E79" s="120" t="inlineStr">
        <is>
          <t>grid_vtqvtw11.xlsx</t>
        </is>
      </c>
      <c r="F79" s="121" t="n">
        <v>74.64424130188669</v>
      </c>
      <c r="G79" s="121" t="n">
        <v>51.98003138848472</v>
      </c>
      <c r="H79" s="121" t="n">
        <v>51.257230098121</v>
      </c>
      <c r="I79" s="121" t="n">
        <v>89.42249685927848</v>
      </c>
      <c r="J79" s="121" t="n">
        <v>81.7782377316168</v>
      </c>
      <c r="K79" s="121" t="n">
        <v>57.10420387194957</v>
      </c>
      <c r="L79" s="121" t="n">
        <v>40.80059649532664</v>
      </c>
      <c r="M79" s="121" t="n">
        <v>67.67726891267839</v>
      </c>
      <c r="N79" s="121" t="n"/>
      <c r="O79" s="121" t="n">
        <v>63.92823164061999</v>
      </c>
      <c r="P79" s="121" t="n">
        <v>79.58745806980923</v>
      </c>
      <c r="Q79" s="121" t="n">
        <v>58.57023548250272</v>
      </c>
    </row>
    <row r="80">
      <c r="C80" s="112" t="n">
        <v>41671</v>
      </c>
      <c r="D80" s="112" t="n">
        <v>41698</v>
      </c>
      <c r="E80" s="120" t="inlineStr">
        <is>
          <t>grid_vtqvtw11.xlsx</t>
        </is>
      </c>
      <c r="F80" s="121" t="n">
        <v>74.47838559307536</v>
      </c>
      <c r="G80" s="121" t="n">
        <v>53.93352988761732</v>
      </c>
      <c r="H80" s="121" t="n">
        <v>52.94682325814215</v>
      </c>
      <c r="I80" s="121" t="n">
        <v>93.19539634805419</v>
      </c>
      <c r="J80" s="121" t="n">
        <v>79.3275645564878</v>
      </c>
      <c r="K80" s="121" t="n">
        <v>59.13122128277406</v>
      </c>
      <c r="L80" s="121" t="n">
        <v>43.65251512367757</v>
      </c>
      <c r="M80" s="121" t="n">
        <v>66.93021286209992</v>
      </c>
      <c r="N80" s="121" t="n"/>
      <c r="O80" s="121" t="n">
        <v>65.44944678363585</v>
      </c>
      <c r="P80" s="121" t="n">
        <v>77.491823527251</v>
      </c>
      <c r="Q80" s="121" t="n">
        <v>60.72343737910029</v>
      </c>
    </row>
    <row r="81">
      <c r="C81" s="112" t="n">
        <v>41699</v>
      </c>
      <c r="D81" s="112" t="n">
        <v>41729</v>
      </c>
      <c r="E81" s="120" t="inlineStr">
        <is>
          <t>grid_vtqvtw11.xlsx</t>
        </is>
      </c>
      <c r="F81" s="121" t="n">
        <v>77.18554224822728</v>
      </c>
      <c r="G81" s="121" t="n">
        <v>55.48054831396266</v>
      </c>
      <c r="H81" s="121" t="n">
        <v>54.03764863097713</v>
      </c>
      <c r="I81" s="121" t="n">
        <v>92.77524659021346</v>
      </c>
      <c r="J81" s="121" t="n">
        <v>83.55499318653531</v>
      </c>
      <c r="K81" s="121" t="n">
        <v>59.75957367301322</v>
      </c>
      <c r="L81" s="121" t="n">
        <v>46.16997986833664</v>
      </c>
      <c r="M81" s="121" t="n">
        <v>66.97704071205114</v>
      </c>
      <c r="N81" s="121" t="n"/>
      <c r="O81" s="121" t="n">
        <v>67.08922014621835</v>
      </c>
      <c r="P81" s="121" t="n">
        <v>74.65269886587048</v>
      </c>
      <c r="Q81" s="121" t="n">
        <v>59.22250912567908</v>
      </c>
    </row>
    <row r="82">
      <c r="C82" s="112" t="n">
        <v>41730</v>
      </c>
      <c r="D82" s="112" t="n">
        <v>41759</v>
      </c>
      <c r="E82" s="120" t="inlineStr">
        <is>
          <t>grid_vtqvtw11.xlsx</t>
        </is>
      </c>
      <c r="F82" s="121" t="n">
        <v>77.33672657741026</v>
      </c>
      <c r="G82" s="121" t="n">
        <v>58.18863624523014</v>
      </c>
      <c r="H82" s="121" t="n">
        <v>57.08851882502945</v>
      </c>
      <c r="I82" s="121" t="n">
        <v>89.12244792190963</v>
      </c>
      <c r="J82" s="121" t="n">
        <v>83.58682206988315</v>
      </c>
      <c r="K82" s="121" t="n">
        <v>60.38997831617737</v>
      </c>
      <c r="L82" s="121" t="n">
        <v>47.45183481760748</v>
      </c>
      <c r="M82" s="121" t="n">
        <v>63.84174957191939</v>
      </c>
      <c r="N82" s="121" t="n"/>
      <c r="O82" s="121" t="n">
        <v>64.42869305977823</v>
      </c>
      <c r="P82" s="121" t="n">
        <v>75.53007340165334</v>
      </c>
      <c r="Q82" s="121" t="n">
        <v>59.05399977188273</v>
      </c>
    </row>
    <row r="83">
      <c r="C83" s="112" t="n">
        <v>41760</v>
      </c>
      <c r="D83" s="112" t="n">
        <v>41789</v>
      </c>
      <c r="E83" s="120" t="inlineStr">
        <is>
          <t>grid_vtqvtw11.xlsx</t>
        </is>
      </c>
      <c r="F83" s="121" t="n">
        <v>79.44776373632074</v>
      </c>
      <c r="G83" s="121" t="n">
        <v>54.41428716184647</v>
      </c>
      <c r="H83" s="121" t="n">
        <v>73.04081488918982</v>
      </c>
      <c r="I83" s="121" t="n">
        <v>102.0228422740227</v>
      </c>
      <c r="J83" s="121" t="n">
        <v>80.30460865669376</v>
      </c>
      <c r="K83" s="121" t="n">
        <v>63.7935534359233</v>
      </c>
      <c r="L83" s="121" t="n">
        <v>49.8187614434155</v>
      </c>
      <c r="M83" s="121" t="n">
        <v>76.86675878772742</v>
      </c>
      <c r="N83" s="121" t="n"/>
      <c r="O83" s="121" t="n">
        <v>64.6557563704194</v>
      </c>
      <c r="P83" s="121" t="n">
        <v>76.52139165655937</v>
      </c>
      <c r="Q83" s="121" t="n">
        <v>61.38109135648474</v>
      </c>
    </row>
    <row r="84">
      <c r="C84" s="112" t="n">
        <v>41791</v>
      </c>
      <c r="D84" s="112" t="n">
        <v>41820</v>
      </c>
      <c r="E84" s="120" t="inlineStr">
        <is>
          <t>grid_vtqvtw11.xlsx</t>
        </is>
      </c>
      <c r="F84" s="121" t="n">
        <v>78.55993386753688</v>
      </c>
      <c r="G84" s="121" t="n">
        <v>52.58556966358758</v>
      </c>
      <c r="H84" s="121" t="n">
        <v>73.93135945042273</v>
      </c>
      <c r="I84" s="121" t="n">
        <v>100.7765954479331</v>
      </c>
      <c r="J84" s="121" t="n">
        <v>81.13848278093378</v>
      </c>
      <c r="K84" s="121" t="n">
        <v>63.54703795310739</v>
      </c>
      <c r="L84" s="121" t="n">
        <v>51.92764507359878</v>
      </c>
      <c r="M84" s="121" t="n">
        <v>77.23245039528662</v>
      </c>
      <c r="N84" s="121" t="n"/>
      <c r="O84" s="121" t="n">
        <v>60.64200831466169</v>
      </c>
      <c r="P84" s="121" t="n">
        <v>75.64507663388196</v>
      </c>
      <c r="Q84" s="121" t="n">
        <v>60.16510577265544</v>
      </c>
    </row>
    <row r="85">
      <c r="C85" s="112" t="n">
        <v>41821</v>
      </c>
      <c r="D85" s="112" t="n">
        <v>41851</v>
      </c>
      <c r="E85" s="120" t="inlineStr">
        <is>
          <t>grid_vtqvtw11.xlsx</t>
        </is>
      </c>
      <c r="F85" s="121" t="n">
        <v>80.24282319091476</v>
      </c>
      <c r="G85" s="121" t="n">
        <v>55.8914729127245</v>
      </c>
      <c r="H85" s="121" t="n">
        <v>84.40666826898853</v>
      </c>
      <c r="I85" s="121" t="n">
        <v>100.0513876164716</v>
      </c>
      <c r="J85" s="121" t="n">
        <v>77.90170909286485</v>
      </c>
      <c r="K85" s="121" t="n">
        <v>66.34605757471863</v>
      </c>
      <c r="L85" s="121" t="n">
        <v>51.04492721315079</v>
      </c>
      <c r="M85" s="121" t="n">
        <v>75.62601181778489</v>
      </c>
      <c r="N85" s="121" t="n"/>
      <c r="O85" s="121" t="n">
        <v>58.38134695164845</v>
      </c>
      <c r="P85" s="121" t="n">
        <v>71.22250047810368</v>
      </c>
      <c r="Q85" s="121" t="n">
        <v>61.25063588463991</v>
      </c>
    </row>
    <row r="86">
      <c r="C86" s="112" t="n">
        <v>41852</v>
      </c>
      <c r="D86" s="112" t="n">
        <v>41880</v>
      </c>
      <c r="E86" s="120" t="inlineStr">
        <is>
          <t>grid_vtqvtw11.xlsx</t>
        </is>
      </c>
      <c r="F86" s="121" t="n">
        <v>83.50345212756434</v>
      </c>
      <c r="G86" s="121" t="n">
        <v>56.62482828905328</v>
      </c>
      <c r="H86" s="121" t="n">
        <v>88.99393172385464</v>
      </c>
      <c r="I86" s="121" t="n">
        <v>98.2382807331802</v>
      </c>
      <c r="J86" s="121" t="n">
        <v>79.5744254073963</v>
      </c>
      <c r="K86" s="121" t="n">
        <v>69.93265933476744</v>
      </c>
      <c r="L86" s="121" t="n">
        <v>52.24985924744462</v>
      </c>
      <c r="M86" s="121" t="n">
        <v>77.35670155655386</v>
      </c>
      <c r="N86" s="121" t="n"/>
      <c r="O86" s="121" t="n">
        <v>54.87433960781729</v>
      </c>
      <c r="P86" s="121" t="n">
        <v>74.27951050174299</v>
      </c>
      <c r="Q86" s="121" t="n">
        <v>60.02868709745113</v>
      </c>
    </row>
    <row r="87">
      <c r="C87" s="112" t="n">
        <v>41883</v>
      </c>
      <c r="D87" s="112" t="n">
        <v>41912</v>
      </c>
      <c r="E87" s="120" t="inlineStr">
        <is>
          <t>grid_vtqvtw11.xlsx</t>
        </is>
      </c>
      <c r="F87" s="121" t="n">
        <v>79.81670170358113</v>
      </c>
      <c r="G87" s="121" t="n">
        <v>53.8492005330441</v>
      </c>
      <c r="H87" s="121" t="n">
        <v>99.18311404774546</v>
      </c>
      <c r="I87" s="121" t="n">
        <v>112.6194442962944</v>
      </c>
      <c r="J87" s="121" t="n">
        <v>80.98206614786014</v>
      </c>
      <c r="K87" s="121" t="n">
        <v>70.50843287785682</v>
      </c>
      <c r="L87" s="121" t="n">
        <v>53.33538413138697</v>
      </c>
      <c r="M87" s="121" t="n">
        <v>73.72922834242458</v>
      </c>
      <c r="N87" s="121" t="n"/>
      <c r="O87" s="121" t="n">
        <v>51.93385787298728</v>
      </c>
      <c r="P87" s="121" t="n">
        <v>73.46741997374124</v>
      </c>
      <c r="Q87" s="121" t="n">
        <v>58.14524388957628</v>
      </c>
    </row>
    <row r="88">
      <c r="C88" s="112" t="n">
        <v>41913</v>
      </c>
      <c r="D88" s="112" t="n">
        <v>41943</v>
      </c>
      <c r="E88" s="120" t="inlineStr">
        <is>
          <t>grid_vtqvtw11.xlsx</t>
        </is>
      </c>
      <c r="F88" s="121" t="n">
        <v>74.54041405613599</v>
      </c>
      <c r="G88" s="121" t="n">
        <v>57.55022298371948</v>
      </c>
      <c r="H88" s="121" t="n">
        <v>101.702316385676</v>
      </c>
      <c r="I88" s="121" t="n">
        <v>113.0795635520984</v>
      </c>
      <c r="J88" s="121" t="n">
        <v>77.4499730123337</v>
      </c>
      <c r="K88" s="121" t="n">
        <v>73.05874632104961</v>
      </c>
      <c r="L88" s="121" t="n">
        <v>52.67974082219424</v>
      </c>
      <c r="M88" s="121" t="n">
        <v>75.35065884391113</v>
      </c>
      <c r="N88" s="121" t="n"/>
      <c r="O88" s="121" t="n">
        <v>40.31356085501942</v>
      </c>
      <c r="P88" s="121" t="n">
        <v>73.00788342233514</v>
      </c>
      <c r="Q88" s="121" t="n">
        <v>56.03843161569165</v>
      </c>
    </row>
    <row r="89">
      <c r="C89" s="112" t="n">
        <v>41944</v>
      </c>
      <c r="D89" s="112" t="n">
        <v>41971</v>
      </c>
      <c r="E89" s="120" t="inlineStr">
        <is>
          <t>grid_vtqvtw11.xlsx</t>
        </is>
      </c>
      <c r="F89" s="121" t="n">
        <v>72.05779659439492</v>
      </c>
      <c r="G89" s="121" t="n">
        <v>59.42504864344359</v>
      </c>
      <c r="H89" s="121" t="n">
        <v>104.0795394819431</v>
      </c>
      <c r="I89" s="121" t="n">
        <v>114.2199828705441</v>
      </c>
      <c r="J89" s="121" t="n">
        <v>74.67797414862655</v>
      </c>
      <c r="K89" s="121" t="n">
        <v>75.01311188453926</v>
      </c>
      <c r="L89" s="121" t="n">
        <v>53.337506591927</v>
      </c>
      <c r="M89" s="121" t="n">
        <v>75.22363779065707</v>
      </c>
      <c r="N89" s="121" t="n"/>
      <c r="O89" s="121" t="n">
        <v>37.19934284571861</v>
      </c>
      <c r="P89" s="121" t="n">
        <v>72.16194384635247</v>
      </c>
      <c r="Q89" s="121" t="n">
        <v>54.42247627833973</v>
      </c>
    </row>
    <row r="90">
      <c r="C90" s="112" t="n">
        <v>41974</v>
      </c>
      <c r="D90" s="112" t="n">
        <v>42004</v>
      </c>
      <c r="E90" s="120" t="inlineStr">
        <is>
          <t>grid_vtqvtw11.xlsx</t>
        </is>
      </c>
      <c r="F90" s="121" t="n">
        <v>66.71939039477238</v>
      </c>
      <c r="G90" s="121" t="n">
        <v>62.75062980364249</v>
      </c>
      <c r="H90" s="121" t="n">
        <v>106.769794662016</v>
      </c>
      <c r="I90" s="121" t="n">
        <v>116.5778273303442</v>
      </c>
      <c r="J90" s="121" t="n">
        <v>64.7334403523958</v>
      </c>
      <c r="K90" s="121" t="n">
        <v>75.2280416325401</v>
      </c>
      <c r="L90" s="121" t="n">
        <v>54.93583091809512</v>
      </c>
      <c r="M90" s="121" t="n">
        <v>75.22363498106377</v>
      </c>
      <c r="N90" s="121" t="n"/>
      <c r="O90" s="121" t="n">
        <v>29.78008858589152</v>
      </c>
      <c r="P90" s="121" t="n">
        <v>66.00690431311716</v>
      </c>
      <c r="Q90" s="121" t="n">
        <v>47.53506073802347</v>
      </c>
    </row>
    <row r="91">
      <c r="C91" s="112" t="n">
        <v>42005</v>
      </c>
      <c r="D91" s="112" t="n">
        <v>42034</v>
      </c>
      <c r="E91" s="120" t="inlineStr">
        <is>
          <t>grid_vtqvtw11.xlsx</t>
        </is>
      </c>
      <c r="F91" s="121" t="n">
        <v>64.7549413762231</v>
      </c>
      <c r="G91" s="121" t="n">
        <v>66.79065940762625</v>
      </c>
      <c r="H91" s="121" t="n">
        <v>106.66230240703</v>
      </c>
      <c r="I91" s="121" t="n">
        <v>118.138585206657</v>
      </c>
      <c r="J91" s="121" t="n">
        <v>54.7159834509586</v>
      </c>
      <c r="K91" s="121" t="n">
        <v>76.50975391651454</v>
      </c>
      <c r="L91" s="121" t="n">
        <v>56.4997702735464</v>
      </c>
      <c r="M91" s="121" t="n">
        <v>76.51684464011126</v>
      </c>
      <c r="N91" s="121" t="n"/>
      <c r="O91" s="121" t="n">
        <v>24.88899691083997</v>
      </c>
      <c r="P91" s="121" t="n">
        <v>64.94833776615086</v>
      </c>
      <c r="Q91" s="121" t="n">
        <v>45.79453299364674</v>
      </c>
    </row>
    <row r="92">
      <c r="C92" s="112" t="n">
        <v>42036</v>
      </c>
      <c r="D92" s="112" t="n">
        <v>42062</v>
      </c>
      <c r="E92" s="120" t="inlineStr">
        <is>
          <t>grid_vtqvtw11.xlsx</t>
        </is>
      </c>
      <c r="F92" s="121" t="n">
        <v>65.33902490584804</v>
      </c>
      <c r="G92" s="121" t="n">
        <v>63.17886958175352</v>
      </c>
      <c r="H92" s="121" t="n">
        <v>105.0976060521286</v>
      </c>
      <c r="I92" s="121" t="n">
        <v>119.3825275197935</v>
      </c>
      <c r="J92" s="121" t="n">
        <v>53.17718439156652</v>
      </c>
      <c r="K92" s="121" t="n">
        <v>77.99165936594201</v>
      </c>
      <c r="L92" s="121" t="n">
        <v>57.98577671551526</v>
      </c>
      <c r="M92" s="121" t="n">
        <v>79.01876049840601</v>
      </c>
      <c r="N92" s="121" t="n"/>
      <c r="O92" s="121" t="n">
        <v>21.07924990976235</v>
      </c>
      <c r="P92" s="121" t="n">
        <v>65.50959157185035</v>
      </c>
      <c r="Q92" s="121" t="n">
        <v>42.44911874440429</v>
      </c>
    </row>
    <row r="93">
      <c r="C93" s="112" t="n">
        <v>42064</v>
      </c>
      <c r="D93" s="112" t="n">
        <v>42094</v>
      </c>
      <c r="E93" s="120" t="inlineStr">
        <is>
          <t>grid_vtqvtw11.xlsx</t>
        </is>
      </c>
      <c r="F93" s="121" t="n">
        <v>62.91976721147871</v>
      </c>
      <c r="G93" s="121" t="n">
        <v>67.15597484482608</v>
      </c>
      <c r="H93" s="121" t="n">
        <v>103.9426521789777</v>
      </c>
      <c r="I93" s="121" t="n">
        <v>122.2763430018002</v>
      </c>
      <c r="J93" s="121" t="n">
        <v>48.10981391657854</v>
      </c>
      <c r="K93" s="121" t="n">
        <v>77.75092740132796</v>
      </c>
      <c r="L93" s="121" t="n">
        <v>59.75940770216637</v>
      </c>
      <c r="M93" s="121" t="n">
        <v>75.24543388365815</v>
      </c>
      <c r="N93" s="121" t="n"/>
      <c r="O93" s="121" t="n">
        <v>12.82755929171336</v>
      </c>
      <c r="P93" s="121" t="n">
        <v>64.46418869277551</v>
      </c>
      <c r="Q93" s="121" t="n">
        <v>41.64996229040098</v>
      </c>
    </row>
    <row r="94">
      <c r="C94" s="112" t="n">
        <v>42095</v>
      </c>
      <c r="D94" s="112" t="n">
        <v>42124</v>
      </c>
      <c r="E94" s="120" t="inlineStr">
        <is>
          <t>grid_vtqvtw11.xlsx</t>
        </is>
      </c>
      <c r="F94" s="121" t="n">
        <v>61.19821349631962</v>
      </c>
      <c r="G94" s="121" t="n">
        <v>69.89473105484612</v>
      </c>
      <c r="H94" s="121" t="n">
        <v>103.3888341145922</v>
      </c>
      <c r="I94" s="121" t="n">
        <v>122.5761525018578</v>
      </c>
      <c r="J94" s="121" t="n">
        <v>43.60546754699484</v>
      </c>
      <c r="K94" s="121" t="n">
        <v>78.10591864609144</v>
      </c>
      <c r="L94" s="121" t="n">
        <v>58.28828878984729</v>
      </c>
      <c r="M94" s="121" t="n">
        <v>75.31530797412125</v>
      </c>
      <c r="N94" s="121" t="n"/>
      <c r="O94" s="121" t="n">
        <v>-0.2567368768032981</v>
      </c>
      <c r="P94" s="121" t="n">
        <v>66.61749512068879</v>
      </c>
      <c r="Q94" s="121" t="n">
        <v>42.28231660555016</v>
      </c>
    </row>
    <row r="95">
      <c r="C95" s="112" t="n">
        <v>42125</v>
      </c>
      <c r="D95" s="112" t="n">
        <v>42153</v>
      </c>
      <c r="E95" s="120" t="inlineStr">
        <is>
          <t>grid_vtqvtw11.xlsx</t>
        </is>
      </c>
      <c r="F95" s="121" t="n">
        <v>62.51250062792912</v>
      </c>
      <c r="G95" s="121" t="n">
        <v>72.73445795339859</v>
      </c>
      <c r="H95" s="121" t="n">
        <v>107.8730159002793</v>
      </c>
      <c r="I95" s="121" t="n">
        <v>122.2390136776612</v>
      </c>
      <c r="J95" s="121" t="n">
        <v>49.72242393556244</v>
      </c>
      <c r="K95" s="121" t="n">
        <v>78.62417165829848</v>
      </c>
      <c r="L95" s="121" t="n">
        <v>60.0115966738607</v>
      </c>
      <c r="M95" s="121" t="n">
        <v>74.74762638249689</v>
      </c>
      <c r="N95" s="121" t="n"/>
      <c r="O95" s="121" t="n">
        <v>1.676461042821751</v>
      </c>
      <c r="P95" s="121" t="n">
        <v>64.77738767233349</v>
      </c>
      <c r="Q95" s="121" t="n">
        <v>43.52647504484707</v>
      </c>
    </row>
    <row r="96">
      <c r="C96" s="112" t="n">
        <v>42156</v>
      </c>
      <c r="D96" s="112" t="n">
        <v>42185</v>
      </c>
      <c r="E96" s="120" t="inlineStr">
        <is>
          <t>grid_vtqvtw11.xlsx</t>
        </is>
      </c>
      <c r="F96" s="121" t="n">
        <v>64.74448803318528</v>
      </c>
      <c r="G96" s="121" t="n">
        <v>77.37524234523225</v>
      </c>
      <c r="H96" s="121" t="n">
        <v>108.9694726732</v>
      </c>
      <c r="I96" s="121" t="n">
        <v>126.6903266919754</v>
      </c>
      <c r="J96" s="121" t="n">
        <v>51.69741952956191</v>
      </c>
      <c r="K96" s="121" t="n">
        <v>78.21541177988321</v>
      </c>
      <c r="L96" s="121" t="n">
        <v>59.40836172794847</v>
      </c>
      <c r="M96" s="121" t="n">
        <v>75.73127240555141</v>
      </c>
      <c r="N96" s="121" t="n"/>
      <c r="O96" s="121" t="n">
        <v>2.569045962184301</v>
      </c>
      <c r="P96" s="121" t="n">
        <v>63.42413584584441</v>
      </c>
      <c r="Q96" s="121" t="n">
        <v>42.08295120030963</v>
      </c>
    </row>
    <row r="97">
      <c r="C97" s="112" t="n">
        <v>42186</v>
      </c>
      <c r="D97" s="112" t="n">
        <v>42216</v>
      </c>
      <c r="E97" s="120" t="inlineStr">
        <is>
          <t>grid_vtqvtw11.xlsx</t>
        </is>
      </c>
      <c r="F97" s="121" t="n">
        <v>64.35981318413353</v>
      </c>
      <c r="G97" s="121" t="n">
        <v>82.32789247744195</v>
      </c>
      <c r="H97" s="121" t="n">
        <v>110.5007785073642</v>
      </c>
      <c r="I97" s="121" t="n">
        <v>127.8164060719153</v>
      </c>
      <c r="J97" s="121" t="n">
        <v>52.78133385502318</v>
      </c>
      <c r="K97" s="121" t="n">
        <v>78.60181634236454</v>
      </c>
      <c r="L97" s="121" t="n">
        <v>58.62234635870087</v>
      </c>
      <c r="M97" s="121" t="n">
        <v>80.35545730156586</v>
      </c>
      <c r="N97" s="121" t="n"/>
      <c r="O97" s="121" t="n">
        <v>4.17436829564722</v>
      </c>
      <c r="P97" s="121" t="n">
        <v>59.68764346979697</v>
      </c>
      <c r="Q97" s="121" t="n">
        <v>43.03474036669709</v>
      </c>
    </row>
    <row r="98">
      <c r="C98" s="112" t="n">
        <v>42217</v>
      </c>
      <c r="D98" s="112" t="n">
        <v>42247</v>
      </c>
      <c r="E98" s="120" t="inlineStr">
        <is>
          <t>grid_vtqvtw11.xlsx</t>
        </is>
      </c>
      <c r="F98" s="121" t="n">
        <v>63.14188429869997</v>
      </c>
      <c r="G98" s="121" t="n">
        <v>82.28264274241867</v>
      </c>
      <c r="H98" s="121" t="n">
        <v>112.2744338459391</v>
      </c>
      <c r="I98" s="121" t="n">
        <v>130.0826460339759</v>
      </c>
      <c r="J98" s="121" t="n">
        <v>49.40165940353877</v>
      </c>
      <c r="K98" s="121" t="n">
        <v>78.44024315909728</v>
      </c>
      <c r="L98" s="121" t="n">
        <v>58.50638405636642</v>
      </c>
      <c r="M98" s="121" t="n">
        <v>81.8415319837743</v>
      </c>
      <c r="N98" s="121" t="n"/>
      <c r="O98" s="121" t="n">
        <v>6.000509520706319</v>
      </c>
      <c r="P98" s="121" t="n">
        <v>61.96182207124332</v>
      </c>
      <c r="Q98" s="121" t="n">
        <v>42.50988450234224</v>
      </c>
    </row>
    <row r="99">
      <c r="C99" s="112" t="n">
        <v>42248</v>
      </c>
      <c r="D99" s="112" t="n">
        <v>42277</v>
      </c>
      <c r="E99" s="120" t="inlineStr">
        <is>
          <t>grid_vtqvtw11.xlsx</t>
        </is>
      </c>
      <c r="F99" s="121" t="n">
        <v>58.19480096062681</v>
      </c>
      <c r="G99" s="121" t="n">
        <v>88.64986554110985</v>
      </c>
      <c r="H99" s="121" t="n">
        <v>116.3586041207661</v>
      </c>
      <c r="I99" s="121" t="n">
        <v>120.7365121586087</v>
      </c>
      <c r="J99" s="121" t="n">
        <v>41.6987189969892</v>
      </c>
      <c r="K99" s="121" t="n">
        <v>78.90505306027585</v>
      </c>
      <c r="L99" s="121" t="n">
        <v>59.96276539930233</v>
      </c>
      <c r="M99" s="121" t="n">
        <v>85.91819475312798</v>
      </c>
      <c r="N99" s="121" t="n"/>
      <c r="O99" s="121" t="n">
        <v>3.925695955685044</v>
      </c>
      <c r="P99" s="121" t="n">
        <v>60.44210484264435</v>
      </c>
      <c r="Q99" s="121" t="n">
        <v>39.9794702441087</v>
      </c>
    </row>
    <row r="100">
      <c r="C100" s="112" t="n">
        <v>42278</v>
      </c>
      <c r="D100" s="112" t="n">
        <v>42307</v>
      </c>
      <c r="E100" s="120" t="inlineStr">
        <is>
          <t>grid_vtqvtw11.xlsx</t>
        </is>
      </c>
      <c r="F100" s="121" t="n">
        <v>57.76739812299607</v>
      </c>
      <c r="G100" s="121" t="n">
        <v>87.30974093341761</v>
      </c>
      <c r="H100" s="121" t="n">
        <v>118.834244883542</v>
      </c>
      <c r="I100" s="121" t="n">
        <v>132.7722612479147</v>
      </c>
      <c r="J100" s="121" t="n">
        <v>41.52017662446655</v>
      </c>
      <c r="K100" s="121" t="n">
        <v>75.06585178049201</v>
      </c>
      <c r="L100" s="121" t="n">
        <v>59.51236215337133</v>
      </c>
      <c r="M100" s="121" t="n">
        <v>90.23308549645073</v>
      </c>
      <c r="N100" s="121" t="n"/>
      <c r="O100" s="121" t="n">
        <v>8.44531918552007</v>
      </c>
      <c r="P100" s="121" t="n">
        <v>57.39673024161532</v>
      </c>
      <c r="Q100" s="121" t="n">
        <v>39.92409929666683</v>
      </c>
    </row>
    <row r="101">
      <c r="C101" s="112" t="n">
        <v>42309</v>
      </c>
      <c r="D101" s="112" t="n">
        <v>42338</v>
      </c>
      <c r="E101" s="120" t="inlineStr">
        <is>
          <t>grid_vtqvtw11.xlsx</t>
        </is>
      </c>
      <c r="F101" s="121" t="n">
        <v>58.04016834992986</v>
      </c>
      <c r="G101" s="121" t="n">
        <v>87.99739765463175</v>
      </c>
      <c r="H101" s="121" t="n">
        <v>118.7341118647844</v>
      </c>
      <c r="I101" s="121" t="n">
        <v>134.474738283283</v>
      </c>
      <c r="J101" s="121" t="n">
        <v>39.51693798542207</v>
      </c>
      <c r="K101" s="121" t="n">
        <v>74.18128618747451</v>
      </c>
      <c r="L101" s="121" t="n">
        <v>62.15166467225848</v>
      </c>
      <c r="M101" s="121" t="n">
        <v>93.66277748634255</v>
      </c>
      <c r="N101" s="121" t="n"/>
      <c r="O101" s="121" t="n">
        <v>9.719083172565139</v>
      </c>
      <c r="P101" s="121" t="n">
        <v>59.60139450009297</v>
      </c>
      <c r="Q101" s="121" t="n">
        <v>38.98532640417302</v>
      </c>
    </row>
    <row r="102">
      <c r="C102" s="112" t="n">
        <v>42339</v>
      </c>
      <c r="D102" s="112" t="n">
        <v>42369</v>
      </c>
      <c r="E102" s="120" t="inlineStr">
        <is>
          <t>grid_vtqvtw11.xlsx</t>
        </is>
      </c>
      <c r="F102" s="121" t="n">
        <v>56.35039211081667</v>
      </c>
      <c r="G102" s="121" t="n">
        <v>86.81883730632953</v>
      </c>
      <c r="H102" s="121" t="n">
        <v>121.5989465539286</v>
      </c>
      <c r="I102" s="121" t="n">
        <v>121.5525963197251</v>
      </c>
      <c r="J102" s="121" t="n">
        <v>37.31022972121799</v>
      </c>
      <c r="K102" s="121" t="n">
        <v>72.92958722806949</v>
      </c>
      <c r="L102" s="121" t="n">
        <v>67.56297426436645</v>
      </c>
      <c r="M102" s="121" t="n">
        <v>94.63477134675819</v>
      </c>
      <c r="N102" s="121" t="n"/>
      <c r="O102" s="121" t="n">
        <v>12.2981366162204</v>
      </c>
      <c r="P102" s="121" t="n">
        <v>65.93120824418722</v>
      </c>
      <c r="Q102" s="121" t="n">
        <v>39.17563487981708</v>
      </c>
    </row>
    <row r="103">
      <c r="C103" s="112" t="n">
        <v>42370</v>
      </c>
      <c r="D103" s="112" t="n">
        <v>42398</v>
      </c>
      <c r="E103" s="120" t="inlineStr">
        <is>
          <t>grid_vtqvtw11.xlsx</t>
        </is>
      </c>
      <c r="F103" s="121" t="n">
        <v>54.03292505401092</v>
      </c>
      <c r="G103" s="121" t="n">
        <v>84.51397191470433</v>
      </c>
      <c r="H103" s="121" t="n">
        <v>119.4239096112968</v>
      </c>
      <c r="I103" s="121" t="n">
        <v>127.8422747609893</v>
      </c>
      <c r="J103" s="121" t="n">
        <v>27.98366508598901</v>
      </c>
      <c r="K103" s="121" t="n">
        <v>72.31239133892802</v>
      </c>
      <c r="L103" s="121" t="n">
        <v>67.85212529122389</v>
      </c>
      <c r="M103" s="121" t="n">
        <v>95.3149345524688</v>
      </c>
      <c r="N103" s="121" t="n"/>
      <c r="O103" s="121" t="n">
        <v>6.636707738377612</v>
      </c>
      <c r="P103" s="121" t="n">
        <v>65.13975497650873</v>
      </c>
      <c r="Q103" s="121" t="n">
        <v>41.79113015726833</v>
      </c>
    </row>
    <row r="104">
      <c r="C104" s="112" t="n">
        <v>42401</v>
      </c>
      <c r="D104" s="112" t="n">
        <v>42429</v>
      </c>
      <c r="E104" s="120" t="inlineStr">
        <is>
          <t>grid_vtqvtw11.xlsx</t>
        </is>
      </c>
      <c r="F104" s="121" t="n">
        <v>51.70563354093274</v>
      </c>
      <c r="G104" s="121" t="n">
        <v>87.69097311117039</v>
      </c>
      <c r="H104" s="121" t="n">
        <v>123.6879522527371</v>
      </c>
      <c r="I104" s="121" t="n">
        <v>120.9564981973413</v>
      </c>
      <c r="J104" s="121" t="n">
        <v>25.8671079132042</v>
      </c>
      <c r="K104" s="121" t="n">
        <v>71.29967631939699</v>
      </c>
      <c r="L104" s="121" t="n">
        <v>73.02563329471266</v>
      </c>
      <c r="M104" s="121" t="n">
        <v>93.88769209309899</v>
      </c>
      <c r="N104" s="121" t="n"/>
      <c r="O104" s="121" t="n">
        <v>3.376901648256805</v>
      </c>
      <c r="P104" s="121" t="n">
        <v>63.34661026814937</v>
      </c>
      <c r="Q104" s="121" t="n">
        <v>41.9856912678245</v>
      </c>
    </row>
    <row r="105">
      <c r="C105" s="112" t="n">
        <v>42430</v>
      </c>
      <c r="D105" s="112" t="n">
        <v>42460</v>
      </c>
      <c r="E105" s="120" t="inlineStr">
        <is>
          <t>grid_vtqvtw11.xlsx</t>
        </is>
      </c>
      <c r="F105" s="121" t="n">
        <v>52.07614966330365</v>
      </c>
      <c r="G105" s="121" t="n">
        <v>90.38338133237114</v>
      </c>
      <c r="H105" s="121" t="n">
        <v>125.5394921547514</v>
      </c>
      <c r="I105" s="121" t="n">
        <v>119.768815549271</v>
      </c>
      <c r="J105" s="121" t="n">
        <v>17.08636655461633</v>
      </c>
      <c r="K105" s="121" t="n">
        <v>70.73890436288031</v>
      </c>
      <c r="L105" s="121" t="n">
        <v>76.63901437070363</v>
      </c>
      <c r="M105" s="121" t="n">
        <v>87.39718254898146</v>
      </c>
      <c r="N105" s="121" t="n"/>
      <c r="O105" s="121" t="n">
        <v>7.265908491403265</v>
      </c>
      <c r="P105" s="121" t="n">
        <v>65.8700571516104</v>
      </c>
      <c r="Q105" s="121" t="n">
        <v>42.6230969480506</v>
      </c>
    </row>
    <row r="106">
      <c r="C106" s="112" t="n">
        <v>42461</v>
      </c>
      <c r="D106" s="112" t="n">
        <v>42489</v>
      </c>
      <c r="E106" s="120" t="inlineStr">
        <is>
          <t>grid_vtqvtw11.xlsx</t>
        </is>
      </c>
      <c r="F106" s="121" t="n">
        <v>51.79186382106975</v>
      </c>
      <c r="G106" s="121" t="n">
        <v>91.12015410367177</v>
      </c>
      <c r="H106" s="121" t="n">
        <v>128.5379030827928</v>
      </c>
      <c r="I106" s="121" t="n">
        <v>122.4651776482799</v>
      </c>
      <c r="J106" s="121" t="n">
        <v>18.31104771682962</v>
      </c>
      <c r="K106" s="121" t="n">
        <v>70.0312851312131</v>
      </c>
      <c r="L106" s="121" t="n">
        <v>81.83295239705785</v>
      </c>
      <c r="M106" s="121" t="n">
        <v>83.61535279591004</v>
      </c>
      <c r="N106" s="121" t="n"/>
      <c r="O106" s="121" t="n">
        <v>7.229731410708295</v>
      </c>
      <c r="P106" s="121" t="n">
        <v>69.41747319216809</v>
      </c>
      <c r="Q106" s="121" t="n">
        <v>45.21635513218536</v>
      </c>
    </row>
    <row r="107">
      <c r="C107" s="112" t="n">
        <v>42491</v>
      </c>
      <c r="D107" s="112" t="n">
        <v>42521</v>
      </c>
      <c r="E107" s="120" t="inlineStr">
        <is>
          <t>grid_vtqvtw11.xlsx</t>
        </is>
      </c>
      <c r="F107" s="121" t="n">
        <v>54.1467704749509</v>
      </c>
      <c r="G107" s="121" t="n">
        <v>94.57807304330623</v>
      </c>
      <c r="H107" s="121" t="n">
        <v>130.8839281217048</v>
      </c>
      <c r="I107" s="121" t="n">
        <v>127.8832650626016</v>
      </c>
      <c r="J107" s="121" t="n">
        <v>22.2101030771669</v>
      </c>
      <c r="K107" s="121" t="n">
        <v>68.4366787248975</v>
      </c>
      <c r="L107" s="121" t="n">
        <v>86.14764933484309</v>
      </c>
      <c r="M107" s="121" t="n">
        <v>85.06952360055425</v>
      </c>
      <c r="N107" s="121" t="n"/>
      <c r="O107" s="121" t="n">
        <v>15.15289995814844</v>
      </c>
      <c r="P107" s="121" t="n">
        <v>68.92903195501023</v>
      </c>
      <c r="Q107" s="121" t="n">
        <v>46.44330097017703</v>
      </c>
    </row>
    <row r="108">
      <c r="C108" s="112" t="n">
        <v>42522</v>
      </c>
      <c r="D108" s="112" t="n">
        <v>42551</v>
      </c>
      <c r="E108" s="120" t="inlineStr">
        <is>
          <t>grid_vtqvtw11.xlsx</t>
        </is>
      </c>
      <c r="F108" s="121" t="n">
        <v>54.88536163549968</v>
      </c>
      <c r="G108" s="121" t="n">
        <v>96.19251603850084</v>
      </c>
      <c r="H108" s="121" t="n">
        <v>131.2320709801119</v>
      </c>
      <c r="I108" s="121" t="n">
        <v>125.809070319899</v>
      </c>
      <c r="J108" s="121" t="n">
        <v>25.3110130233278</v>
      </c>
      <c r="K108" s="121" t="n">
        <v>68.30834368383911</v>
      </c>
      <c r="L108" s="121" t="n">
        <v>84.18685767542046</v>
      </c>
      <c r="M108" s="121" t="n">
        <v>84.78942028840832</v>
      </c>
      <c r="N108" s="121" t="n"/>
      <c r="O108" s="121" t="n">
        <v>17.01453617961878</v>
      </c>
      <c r="P108" s="121" t="n">
        <v>69.61232560239068</v>
      </c>
      <c r="Q108" s="121" t="n">
        <v>46.60596529578302</v>
      </c>
    </row>
    <row r="109">
      <c r="C109" s="112" t="n">
        <v>42552</v>
      </c>
      <c r="D109" s="112" t="n">
        <v>42580</v>
      </c>
      <c r="E109" s="120" t="inlineStr">
        <is>
          <t>grid_vtqvtw11.xlsx</t>
        </is>
      </c>
      <c r="F109" s="121" t="n">
        <v>55.44581963432446</v>
      </c>
      <c r="G109" s="121" t="n">
        <v>91.58478839961398</v>
      </c>
      <c r="H109" s="121" t="n">
        <v>131.4757857250907</v>
      </c>
      <c r="I109" s="121" t="n">
        <v>118.5053594273066</v>
      </c>
      <c r="J109" s="121" t="n">
        <v>30.70065429953661</v>
      </c>
      <c r="K109" s="121" t="n">
        <v>68.85595819375887</v>
      </c>
      <c r="L109" s="121" t="n">
        <v>86.01070560422694</v>
      </c>
      <c r="M109" s="121" t="n">
        <v>81.17880562792676</v>
      </c>
      <c r="N109" s="121" t="n"/>
      <c r="O109" s="121" t="n">
        <v>14.36505560623847</v>
      </c>
      <c r="P109" s="121" t="n">
        <v>67.42770083877096</v>
      </c>
      <c r="Q109" s="121" t="n">
        <v>47.08066434370747</v>
      </c>
    </row>
    <row r="110">
      <c r="C110" s="112" t="n">
        <v>42583</v>
      </c>
      <c r="D110" s="112" t="n">
        <v>42613</v>
      </c>
      <c r="E110" s="120" t="inlineStr">
        <is>
          <t>grid_vtqvtw11.xlsx</t>
        </is>
      </c>
      <c r="F110" s="121" t="n">
        <v>59.1076371309771</v>
      </c>
      <c r="G110" s="121" t="n">
        <v>91.95593415621452</v>
      </c>
      <c r="H110" s="121" t="n">
        <v>132.3115822374461</v>
      </c>
      <c r="I110" s="121" t="n">
        <v>116.4186621437947</v>
      </c>
      <c r="J110" s="121" t="n">
        <v>37.45584842807664</v>
      </c>
      <c r="K110" s="121" t="n">
        <v>71.2216267325626</v>
      </c>
      <c r="L110" s="121" t="n">
        <v>85.65548974216657</v>
      </c>
      <c r="M110" s="121" t="n">
        <v>78.6549015845778</v>
      </c>
      <c r="N110" s="121" t="n"/>
      <c r="O110" s="121" t="n">
        <v>15.48786304604732</v>
      </c>
      <c r="P110" s="121" t="n">
        <v>66.61945619419721</v>
      </c>
      <c r="Q110" s="121" t="n">
        <v>48.89935552648821</v>
      </c>
    </row>
    <row r="111">
      <c r="C111" s="112" t="n">
        <v>42614</v>
      </c>
      <c r="D111" s="112" t="n">
        <v>42643</v>
      </c>
      <c r="E111" s="120" t="inlineStr">
        <is>
          <t>grid_vtqvtw11.xlsx</t>
        </is>
      </c>
      <c r="F111" s="121" t="n">
        <v>60.15023070815715</v>
      </c>
      <c r="G111" s="121" t="n">
        <v>91.62347252897743</v>
      </c>
      <c r="H111" s="121" t="n">
        <v>135.2156832734179</v>
      </c>
      <c r="I111" s="121" t="n">
        <v>121.8617121140142</v>
      </c>
      <c r="J111" s="121" t="n">
        <v>35.41913924389402</v>
      </c>
      <c r="K111" s="121" t="n">
        <v>71.66021520591592</v>
      </c>
      <c r="L111" s="121" t="n">
        <v>90.38194346326803</v>
      </c>
      <c r="M111" s="121" t="n">
        <v>79.43915660938934</v>
      </c>
      <c r="N111" s="121" t="n"/>
      <c r="O111" s="121" t="n">
        <v>19.5713621029117</v>
      </c>
      <c r="P111" s="121" t="n">
        <v>64.61897296305153</v>
      </c>
      <c r="Q111" s="121" t="n">
        <v>52.72076577695286</v>
      </c>
    </row>
    <row r="112">
      <c r="C112" s="112" t="n">
        <v>42644</v>
      </c>
      <c r="D112" s="112" t="n">
        <v>42674</v>
      </c>
      <c r="E112" s="120" t="inlineStr">
        <is>
          <t>grid_vtqvtw11.xlsx</t>
        </is>
      </c>
      <c r="F112" s="121" t="n">
        <v>62.12596582746556</v>
      </c>
      <c r="G112" s="121" t="n">
        <v>88.59416523466933</v>
      </c>
      <c r="H112" s="121" t="n">
        <v>137.3864019965485</v>
      </c>
      <c r="I112" s="121" t="n">
        <v>114.0304522120357</v>
      </c>
      <c r="J112" s="121" t="n">
        <v>35.67844558387822</v>
      </c>
      <c r="K112" s="121" t="n">
        <v>74.60134217130982</v>
      </c>
      <c r="L112" s="121" t="n">
        <v>89.55907728624473</v>
      </c>
      <c r="M112" s="121" t="n">
        <v>79.33937309144407</v>
      </c>
      <c r="N112" s="121" t="n"/>
      <c r="O112" s="121" t="n">
        <v>19.16355166226877</v>
      </c>
      <c r="P112" s="121" t="n">
        <v>60.59869638300904</v>
      </c>
      <c r="Q112" s="121" t="n">
        <v>54.12063999977867</v>
      </c>
    </row>
    <row r="113">
      <c r="C113" s="112" t="n">
        <v>42675</v>
      </c>
      <c r="D113" s="112" t="n">
        <v>42704</v>
      </c>
      <c r="E113" s="120" t="inlineStr">
        <is>
          <t>grid_vtqvtw11.xlsx</t>
        </is>
      </c>
      <c r="F113" s="121" t="n">
        <v>63.6528616183391</v>
      </c>
      <c r="G113" s="121" t="n">
        <v>91.22148696851806</v>
      </c>
      <c r="H113" s="121" t="n">
        <v>138.7820697142361</v>
      </c>
      <c r="I113" s="121" t="n">
        <v>110.0784040022595</v>
      </c>
      <c r="J113" s="121" t="n">
        <v>36.07214849750552</v>
      </c>
      <c r="K113" s="121" t="n">
        <v>78.18917808272174</v>
      </c>
      <c r="L113" s="121" t="n">
        <v>91.65184258334396</v>
      </c>
      <c r="M113" s="121" t="n">
        <v>77.84642808803139</v>
      </c>
      <c r="N113" s="121" t="n"/>
      <c r="O113" s="121" t="n">
        <v>22.18917398413723</v>
      </c>
      <c r="P113" s="121" t="n">
        <v>60.8261532716042</v>
      </c>
      <c r="Q113" s="121" t="n">
        <v>54.61112740050486</v>
      </c>
    </row>
    <row r="114">
      <c r="C114" s="112" t="n">
        <v>42705</v>
      </c>
      <c r="D114" s="112" t="n">
        <v>42734</v>
      </c>
      <c r="E114" s="120" t="inlineStr">
        <is>
          <t>grid_vtqvtw11.xlsx</t>
        </is>
      </c>
      <c r="F114" s="121" t="n">
        <v>66.15940732251467</v>
      </c>
      <c r="G114" s="121" t="n">
        <v>95.43191692800693</v>
      </c>
      <c r="H114" s="121" t="n">
        <v>135.826834707222</v>
      </c>
      <c r="I114" s="121" t="n">
        <v>109.2545576119111</v>
      </c>
      <c r="J114" s="121" t="n">
        <v>37.89171684971549</v>
      </c>
      <c r="K114" s="121" t="n">
        <v>78.57210116859387</v>
      </c>
      <c r="L114" s="121" t="n">
        <v>93.62092419846068</v>
      </c>
      <c r="M114" s="121" t="n">
        <v>77.99115718474646</v>
      </c>
      <c r="N114" s="121" t="n"/>
      <c r="O114" s="121" t="n">
        <v>33.66173265430614</v>
      </c>
      <c r="P114" s="121" t="n">
        <v>61.24425957046675</v>
      </c>
      <c r="Q114" s="121" t="n">
        <v>52.40059545808148</v>
      </c>
    </row>
    <row r="115">
      <c r="C115" s="112" t="n">
        <v>42736</v>
      </c>
      <c r="D115" s="112" t="n">
        <v>42766</v>
      </c>
      <c r="E115" s="120" t="inlineStr">
        <is>
          <t>grid_ovzcidwu.xlsx</t>
        </is>
      </c>
      <c r="F115" s="121" t="n">
        <v>71.7803452598888</v>
      </c>
      <c r="G115" s="121" t="n">
        <v>94.73747692960201</v>
      </c>
      <c r="H115" s="121" t="n">
        <v>135.2097069376444</v>
      </c>
      <c r="I115" s="121" t="n">
        <v>112.4776224933756</v>
      </c>
      <c r="J115" s="121" t="n">
        <v>44.3332980984862</v>
      </c>
      <c r="K115" s="121" t="n">
        <v>80.50986437246632</v>
      </c>
      <c r="L115" s="121" t="n">
        <v>95.72242165157549</v>
      </c>
      <c r="M115" s="121" t="n">
        <v>80.20123396306356</v>
      </c>
      <c r="N115" s="121" t="n"/>
      <c r="O115" s="121" t="n">
        <v>43.82333272471845</v>
      </c>
      <c r="P115" s="121" t="n">
        <v>63.42250416040775</v>
      </c>
      <c r="Q115" s="121" t="n">
        <v>54.30798530542703</v>
      </c>
    </row>
    <row r="116">
      <c r="C116" s="112" t="n">
        <v>42767</v>
      </c>
      <c r="D116" s="112" t="n">
        <v>42794</v>
      </c>
      <c r="E116" s="120" t="inlineStr">
        <is>
          <t>grid_ovzcidwu.xlsx</t>
        </is>
      </c>
      <c r="F116" s="121" t="n">
        <v>74.89988745959847</v>
      </c>
      <c r="G116" s="121" t="n">
        <v>93.64511654423056</v>
      </c>
      <c r="H116" s="121" t="n">
        <v>133.7096672096576</v>
      </c>
      <c r="I116" s="121" t="n">
        <v>117.2901294944594</v>
      </c>
      <c r="J116" s="121" t="n">
        <v>47.41168066549559</v>
      </c>
      <c r="K116" s="121" t="n">
        <v>81.78699825738089</v>
      </c>
      <c r="L116" s="121" t="n">
        <v>96.19209570154807</v>
      </c>
      <c r="M116" s="121" t="n">
        <v>85.87339685222602</v>
      </c>
      <c r="N116" s="121" t="n"/>
      <c r="O116" s="121" t="n">
        <v>49.21215307364106</v>
      </c>
      <c r="P116" s="121" t="n">
        <v>66.73885941732931</v>
      </c>
      <c r="Q116" s="121" t="n">
        <v>59.4892643845644</v>
      </c>
    </row>
    <row r="117">
      <c r="C117" s="112" t="n">
        <v>42795</v>
      </c>
      <c r="D117" s="112" t="n">
        <v>42825</v>
      </c>
      <c r="E117" s="120" t="inlineStr">
        <is>
          <t>grid_ovzcidwu.xlsx</t>
        </is>
      </c>
      <c r="F117" s="121" t="n">
        <v>76.13159117286482</v>
      </c>
      <c r="G117" s="121" t="n">
        <v>95.22654874272473</v>
      </c>
      <c r="H117" s="121" t="n">
        <v>133.7330409261753</v>
      </c>
      <c r="I117" s="121" t="n">
        <v>116.2160792325673</v>
      </c>
      <c r="J117" s="121" t="n">
        <v>46.43139961889082</v>
      </c>
      <c r="K117" s="121" t="n">
        <v>83.56405160087664</v>
      </c>
      <c r="L117" s="121" t="n">
        <v>96.8934145862813</v>
      </c>
      <c r="M117" s="121" t="n">
        <v>80.3815300350808</v>
      </c>
      <c r="N117" s="121" t="n"/>
      <c r="O117" s="121" t="n">
        <v>58.94157736638783</v>
      </c>
      <c r="P117" s="121" t="n">
        <v>69.25457919943037</v>
      </c>
      <c r="Q117" s="121" t="n">
        <v>62.18311954916086</v>
      </c>
    </row>
    <row r="118">
      <c r="C118" s="112" t="n">
        <v>42826</v>
      </c>
      <c r="D118" s="112" t="n">
        <v>42853</v>
      </c>
      <c r="E118" s="120" t="inlineStr">
        <is>
          <t>grid_ovzcidwu.xlsx</t>
        </is>
      </c>
      <c r="F118" s="121" t="n">
        <v>74.01810270856274</v>
      </c>
      <c r="G118" s="121" t="n">
        <v>85.45804042009907</v>
      </c>
      <c r="H118" s="121" t="n">
        <v>132.0661896633042</v>
      </c>
      <c r="I118" s="121" t="n">
        <v>110.7980263707006</v>
      </c>
      <c r="J118" s="121" t="n">
        <v>41.54732067583412</v>
      </c>
      <c r="K118" s="121" t="n">
        <v>83.9360673096222</v>
      </c>
      <c r="L118" s="121" t="n">
        <v>96.66878567925177</v>
      </c>
      <c r="M118" s="121" t="n">
        <v>81.45468389702903</v>
      </c>
      <c r="N118" s="121" t="n"/>
      <c r="O118" s="121" t="n">
        <v>57.92877819805097</v>
      </c>
      <c r="P118" s="121" t="n">
        <v>70.42571787058178</v>
      </c>
      <c r="Q118" s="121" t="n">
        <v>62.10524021894746</v>
      </c>
    </row>
    <row r="119">
      <c r="C119" s="112" t="n">
        <v>42856</v>
      </c>
      <c r="D119" s="112" t="n">
        <v>42886</v>
      </c>
      <c r="E119" s="120" t="inlineStr">
        <is>
          <t>grid_ovzcidwu.xlsx</t>
        </is>
      </c>
      <c r="F119" s="121" t="n">
        <v>73.35019693345784</v>
      </c>
      <c r="G119" s="121" t="n">
        <v>88.38377414474847</v>
      </c>
      <c r="H119" s="121" t="n">
        <v>137.136519948769</v>
      </c>
      <c r="I119" s="121" t="n">
        <v>105.932644339311</v>
      </c>
      <c r="J119" s="121" t="n">
        <v>50.78397906654006</v>
      </c>
      <c r="K119" s="121" t="n">
        <v>82.73884448070459</v>
      </c>
      <c r="L119" s="121" t="n">
        <v>94.32984473896408</v>
      </c>
      <c r="M119" s="121" t="n">
        <v>82.36742431843544</v>
      </c>
      <c r="N119" s="121" t="n"/>
      <c r="O119" s="121" t="n">
        <v>56.48947566899925</v>
      </c>
      <c r="P119" s="121" t="n">
        <v>72.43184647969049</v>
      </c>
      <c r="Q119" s="121" t="n">
        <v>57.53609242949415</v>
      </c>
    </row>
    <row r="120">
      <c r="C120" s="112" t="n">
        <v>42887</v>
      </c>
      <c r="D120" s="112" t="n">
        <v>42916</v>
      </c>
      <c r="E120" s="120" t="inlineStr">
        <is>
          <t>grid_ovzcidwu.xlsx</t>
        </is>
      </c>
      <c r="F120" s="121" t="n">
        <v>73.20939461093803</v>
      </c>
      <c r="G120" s="121" t="n">
        <v>89.13306204778347</v>
      </c>
      <c r="H120" s="121" t="n">
        <v>137.5480273236298</v>
      </c>
      <c r="I120" s="121" t="n">
        <v>110.9956714581407</v>
      </c>
      <c r="J120" s="121" t="n">
        <v>49.27927753885705</v>
      </c>
      <c r="K120" s="121" t="n">
        <v>83.37834860021033</v>
      </c>
      <c r="L120" s="121" t="n">
        <v>94.40980714494707</v>
      </c>
      <c r="M120" s="121" t="n">
        <v>83.53836243074647</v>
      </c>
      <c r="N120" s="121" t="n"/>
      <c r="O120" s="121" t="n">
        <v>52.33951929592779</v>
      </c>
      <c r="P120" s="121" t="n">
        <v>79.1580591131593</v>
      </c>
      <c r="Q120" s="121" t="n">
        <v>69.02033515333881</v>
      </c>
    </row>
    <row r="121">
      <c r="C121" s="112" t="n">
        <v>42917</v>
      </c>
      <c r="D121" s="112" t="n">
        <v>42947</v>
      </c>
      <c r="E121" s="120" t="inlineStr">
        <is>
          <t>grid_ovzcidwu.xlsx</t>
        </is>
      </c>
      <c r="F121" s="121" t="n">
        <v>72.89443224857162</v>
      </c>
      <c r="G121" s="121" t="n">
        <v>88.10740569812933</v>
      </c>
      <c r="H121" s="121" t="n">
        <v>135.1955148491921</v>
      </c>
      <c r="I121" s="121" t="n">
        <v>110.7940378263283</v>
      </c>
      <c r="J121" s="121" t="n">
        <v>50.9395577002248</v>
      </c>
      <c r="K121" s="121" t="n">
        <v>83.99525675380846</v>
      </c>
      <c r="L121" s="121" t="n">
        <v>93.83112983868251</v>
      </c>
      <c r="M121" s="121" t="n">
        <v>84.51667224654244</v>
      </c>
      <c r="N121" s="121" t="n"/>
      <c r="O121" s="121" t="n">
        <v>48.61817541457603</v>
      </c>
      <c r="P121" s="121" t="n">
        <v>82.18784616653971</v>
      </c>
      <c r="Q121" s="121" t="n">
        <v>67.86213754676996</v>
      </c>
    </row>
    <row r="122">
      <c r="C122" s="112" t="n">
        <v>42948</v>
      </c>
      <c r="D122" s="112" t="n">
        <v>42978</v>
      </c>
      <c r="E122" s="120" t="inlineStr">
        <is>
          <t>grid_ovzcidwu.xlsx</t>
        </is>
      </c>
      <c r="F122" s="121" t="n">
        <v>73.21219315401258</v>
      </c>
      <c r="G122" s="121" t="n">
        <v>88.71124189128933</v>
      </c>
      <c r="H122" s="121" t="n">
        <v>136.6862368905398</v>
      </c>
      <c r="I122" s="121" t="n">
        <v>110.1247877868207</v>
      </c>
      <c r="J122" s="121" t="n">
        <v>47.5964485739117</v>
      </c>
      <c r="K122" s="121" t="n">
        <v>86.0076796988281</v>
      </c>
      <c r="L122" s="121" t="n">
        <v>96.05845882161897</v>
      </c>
      <c r="M122" s="121" t="n">
        <v>83.05388895093583</v>
      </c>
      <c r="N122" s="121" t="n"/>
      <c r="O122" s="121" t="n">
        <v>49.3253530221685</v>
      </c>
      <c r="P122" s="121" t="n">
        <v>84.32826668588315</v>
      </c>
      <c r="Q122" s="121" t="n">
        <v>69.40489679211525</v>
      </c>
    </row>
    <row r="123">
      <c r="C123" s="112" t="n">
        <v>42979</v>
      </c>
      <c r="D123" s="112" t="n">
        <v>43007</v>
      </c>
      <c r="E123" s="120" t="inlineStr">
        <is>
          <t>grid_ovzcidwu.xlsx</t>
        </is>
      </c>
      <c r="F123" s="121" t="n">
        <v>71.63123167604687</v>
      </c>
      <c r="G123" s="121" t="n">
        <v>87.56098785838353</v>
      </c>
      <c r="H123" s="121" t="n">
        <v>137.6317462800577</v>
      </c>
      <c r="I123" s="121" t="n">
        <v>109.4845801260379</v>
      </c>
      <c r="J123" s="121" t="n">
        <v>45.74022888147529</v>
      </c>
      <c r="K123" s="121" t="n">
        <v>84.95896886423509</v>
      </c>
      <c r="L123" s="121" t="n">
        <v>94.55732555525212</v>
      </c>
      <c r="M123" s="121" t="n">
        <v>80.90678350013027</v>
      </c>
      <c r="N123" s="121" t="n"/>
      <c r="O123" s="121" t="n">
        <v>48.33984479459457</v>
      </c>
      <c r="P123" s="121" t="n">
        <v>83.04963106114698</v>
      </c>
      <c r="Q123" s="121" t="n">
        <v>69.69988466539903</v>
      </c>
    </row>
    <row r="124">
      <c r="C124" s="112" t="n">
        <v>43009</v>
      </c>
      <c r="D124" s="112" t="n">
        <v>43039</v>
      </c>
      <c r="E124" s="120" t="inlineStr">
        <is>
          <t>grid_ovzcidwu.xlsx</t>
        </is>
      </c>
      <c r="F124" s="121" t="n">
        <v>72.10478230711789</v>
      </c>
      <c r="G124" s="121" t="n">
        <v>87.96500842045573</v>
      </c>
      <c r="H124" s="121" t="n">
        <v>140.5460293093378</v>
      </c>
      <c r="I124" s="121" t="n">
        <v>110.9948225118249</v>
      </c>
      <c r="J124" s="121" t="n">
        <v>43.83832189022003</v>
      </c>
      <c r="K124" s="121" t="n">
        <v>87.27944541869383</v>
      </c>
      <c r="L124" s="121" t="n">
        <v>97.93984872887229</v>
      </c>
      <c r="M124" s="121" t="n">
        <v>78.73653274541164</v>
      </c>
      <c r="N124" s="121" t="n"/>
      <c r="O124" s="121" t="n">
        <v>45.57014266337532</v>
      </c>
      <c r="P124" s="121" t="n">
        <v>84.83008255033675</v>
      </c>
      <c r="Q124" s="121" t="n">
        <v>71.06983284049393</v>
      </c>
    </row>
    <row r="125">
      <c r="C125" s="112" t="n">
        <v>43040</v>
      </c>
      <c r="D125" s="112" t="n">
        <v>43069</v>
      </c>
      <c r="E125" s="120" t="inlineStr">
        <is>
          <t>grid_ovzcidwu.xlsx</t>
        </is>
      </c>
      <c r="F125" s="121" t="n">
        <v>74.31169679572666</v>
      </c>
      <c r="G125" s="121" t="n">
        <v>89.24247975668354</v>
      </c>
      <c r="H125" s="121" t="n">
        <v>141.4063543407727</v>
      </c>
      <c r="I125" s="121" t="n">
        <v>114.029150833132</v>
      </c>
      <c r="J125" s="121" t="n">
        <v>44.64462837459816</v>
      </c>
      <c r="K125" s="121" t="n">
        <v>87.23518251837157</v>
      </c>
      <c r="L125" s="121" t="n">
        <v>101.4055667185241</v>
      </c>
      <c r="M125" s="121" t="n">
        <v>77.95009623065488</v>
      </c>
      <c r="N125" s="121" t="n"/>
      <c r="O125" s="121" t="n">
        <v>53.27306341644644</v>
      </c>
      <c r="P125" s="121" t="n">
        <v>87.87281861241922</v>
      </c>
      <c r="Q125" s="121" t="n">
        <v>71.6410332052756</v>
      </c>
    </row>
    <row r="126">
      <c r="C126" s="112" t="n">
        <v>43070</v>
      </c>
      <c r="D126" s="112" t="n">
        <v>43098</v>
      </c>
      <c r="E126" s="120" t="inlineStr">
        <is>
          <t>grid_ovzcidwu.xlsx</t>
        </is>
      </c>
      <c r="F126" s="121" t="n">
        <v>77.22895663097998</v>
      </c>
      <c r="G126" s="121" t="n">
        <v>89.27214285562629</v>
      </c>
      <c r="H126" s="121" t="n">
        <v>136.762317083156</v>
      </c>
      <c r="I126" s="121" t="n">
        <v>114.639595240574</v>
      </c>
      <c r="J126" s="121" t="n">
        <v>50.62197761613546</v>
      </c>
      <c r="K126" s="121" t="n">
        <v>87.42826724405161</v>
      </c>
      <c r="L126" s="121" t="n">
        <v>88.52513471933601</v>
      </c>
      <c r="M126" s="121" t="n">
        <v>76.5608705878075</v>
      </c>
      <c r="N126" s="121" t="n"/>
      <c r="O126" s="121" t="n">
        <v>61.74617465572485</v>
      </c>
      <c r="P126" s="121" t="n">
        <v>81.31153211854958</v>
      </c>
      <c r="Q126" s="121" t="n">
        <v>75.53623565639768</v>
      </c>
    </row>
    <row r="127">
      <c r="C127" s="112" t="n">
        <v>43101</v>
      </c>
      <c r="D127" s="112" t="n">
        <v>43131</v>
      </c>
      <c r="E127" s="120" t="inlineStr">
        <is>
          <t>grid_ovzcidwu.xlsx</t>
        </is>
      </c>
      <c r="F127" s="121" t="n">
        <v>83.7965350891442</v>
      </c>
      <c r="G127" s="121" t="n">
        <v>91.85837493532603</v>
      </c>
      <c r="H127" s="121" t="n">
        <v>135.1944831696524</v>
      </c>
      <c r="I127" s="121" t="n">
        <v>123.3038099988861</v>
      </c>
      <c r="J127" s="121" t="n">
        <v>56.34888201830003</v>
      </c>
      <c r="K127" s="121" t="n">
        <v>90.26743963060706</v>
      </c>
      <c r="L127" s="121" t="n">
        <v>89.03572665736176</v>
      </c>
      <c r="M127" s="121" t="n">
        <v>77.67240039608046</v>
      </c>
      <c r="N127" s="121" t="n"/>
      <c r="O127" s="121" t="n">
        <v>62.75136354755681</v>
      </c>
      <c r="P127" s="121" t="n">
        <v>81.78045048112685</v>
      </c>
      <c r="Q127" s="121" t="n">
        <v>74.68210027302186</v>
      </c>
    </row>
    <row r="128">
      <c r="C128" s="112" t="n">
        <v>43132</v>
      </c>
      <c r="D128" s="112" t="n">
        <v>43159</v>
      </c>
      <c r="E128" s="120" t="inlineStr">
        <is>
          <t>grid_ovzcidwu.xlsx</t>
        </is>
      </c>
      <c r="F128" s="121" t="n">
        <v>90.62184137798855</v>
      </c>
      <c r="G128" s="121" t="n">
        <v>90.89840562101568</v>
      </c>
      <c r="H128" s="121" t="n">
        <v>131.9437477425349</v>
      </c>
      <c r="I128" s="121" t="n">
        <v>128.7947976180013</v>
      </c>
      <c r="J128" s="121" t="n">
        <v>67.24416833573423</v>
      </c>
      <c r="K128" s="121" t="n">
        <v>94.25696358883279</v>
      </c>
      <c r="L128" s="121" t="n">
        <v>91.40043154310212</v>
      </c>
      <c r="M128" s="121" t="n">
        <v>73.21461132510781</v>
      </c>
      <c r="N128" s="121" t="n"/>
      <c r="O128" s="121" t="n">
        <v>64.85864340775399</v>
      </c>
      <c r="P128" s="121" t="n">
        <v>81.8061468871404</v>
      </c>
      <c r="Q128" s="121" t="n">
        <v>78.55519443972685</v>
      </c>
    </row>
    <row r="129">
      <c r="C129" s="112" t="n">
        <v>43160</v>
      </c>
      <c r="D129" s="112" t="n">
        <v>43189</v>
      </c>
      <c r="E129" s="120" t="inlineStr">
        <is>
          <t>grid_ovzcidwu.xlsx</t>
        </is>
      </c>
      <c r="F129" s="121" t="n">
        <v>94.51687029839894</v>
      </c>
      <c r="G129" s="121" t="n">
        <v>93.01683372288072</v>
      </c>
      <c r="H129" s="121" t="n">
        <v>129.8528333046552</v>
      </c>
      <c r="I129" s="121" t="n">
        <v>140.0083045155787</v>
      </c>
      <c r="J129" s="121" t="n">
        <v>71.01671658687997</v>
      </c>
      <c r="K129" s="121" t="n">
        <v>96.88102897930352</v>
      </c>
      <c r="L129" s="121" t="n">
        <v>94.07050892598326</v>
      </c>
      <c r="M129" s="121" t="n">
        <v>74.6064783654502</v>
      </c>
      <c r="N129" s="121" t="n"/>
      <c r="O129" s="121" t="n">
        <v>66.25375936278569</v>
      </c>
      <c r="P129" s="121" t="n">
        <v>82.01432794821031</v>
      </c>
      <c r="Q129" s="121" t="n">
        <v>64.61679619866115</v>
      </c>
    </row>
    <row r="130">
      <c r="C130" s="112" t="n">
        <v>43191</v>
      </c>
      <c r="D130" s="112" t="n">
        <v>43220</v>
      </c>
      <c r="E130" s="120" t="inlineStr">
        <is>
          <t>grid_ovzcidwu.xlsx</t>
        </is>
      </c>
      <c r="F130" s="121" t="n">
        <v>98.18302032910425</v>
      </c>
      <c r="G130" s="121" t="n">
        <v>88.25885542088943</v>
      </c>
      <c r="H130" s="121" t="n">
        <v>126.8585837527369</v>
      </c>
      <c r="I130" s="121" t="n">
        <v>137.9248900692848</v>
      </c>
      <c r="J130" s="121" t="n">
        <v>75.36620939554504</v>
      </c>
      <c r="K130" s="121" t="n">
        <v>97.54069700683459</v>
      </c>
      <c r="L130" s="121" t="n">
        <v>92.6426236499989</v>
      </c>
      <c r="M130" s="121" t="n">
        <v>75.24131789929473</v>
      </c>
      <c r="N130" s="121" t="n"/>
      <c r="O130" s="121" t="n">
        <v>71.6701419674297</v>
      </c>
      <c r="P130" s="121" t="n">
        <v>82.83206992879309</v>
      </c>
      <c r="Q130" s="121" t="n">
        <v>66.74724574786011</v>
      </c>
    </row>
    <row r="131">
      <c r="C131" s="112" t="n">
        <v>43221</v>
      </c>
      <c r="D131" s="112" t="n">
        <v>43251</v>
      </c>
      <c r="E131" s="120" t="inlineStr">
        <is>
          <t>grid_ovzcidwu.xlsx</t>
        </is>
      </c>
      <c r="F131" s="121" t="n">
        <v>100.5653020049563</v>
      </c>
      <c r="G131" s="121" t="n">
        <v>91.63689464664544</v>
      </c>
      <c r="H131" s="121" t="n">
        <v>111.7181647028774</v>
      </c>
      <c r="I131" s="121" t="n">
        <v>134.1158373641339</v>
      </c>
      <c r="J131" s="121" t="n">
        <v>85.15023518140352</v>
      </c>
      <c r="K131" s="121" t="n">
        <v>98.5344973583958</v>
      </c>
      <c r="L131" s="121" t="n">
        <v>93.17344313484861</v>
      </c>
      <c r="M131" s="121" t="n">
        <v>74.43668316815096</v>
      </c>
      <c r="N131" s="121" t="n"/>
      <c r="O131" s="121" t="n">
        <v>77.13504599308565</v>
      </c>
      <c r="P131" s="121" t="n">
        <v>86.2834783600875</v>
      </c>
      <c r="Q131" s="121" t="n">
        <v>75.95047286587274</v>
      </c>
    </row>
    <row r="132">
      <c r="C132" s="112" t="n">
        <v>43252</v>
      </c>
      <c r="D132" s="112" t="n">
        <v>43280</v>
      </c>
      <c r="E132" s="120" t="inlineStr">
        <is>
          <t>grid_ovzcidwu.xlsx</t>
        </is>
      </c>
      <c r="F132" s="121" t="n">
        <v>100.8182662317473</v>
      </c>
      <c r="G132" s="121" t="n">
        <v>94.16148484960593</v>
      </c>
      <c r="H132" s="121" t="n">
        <v>108.0697221657126</v>
      </c>
      <c r="I132" s="121" t="n">
        <v>127.534524483277</v>
      </c>
      <c r="J132" s="121" t="n">
        <v>88.00146039656322</v>
      </c>
      <c r="K132" s="121" t="n">
        <v>98.69708944491529</v>
      </c>
      <c r="L132" s="121" t="n">
        <v>92.10077778507002</v>
      </c>
      <c r="M132" s="121" t="n">
        <v>75.43298001925356</v>
      </c>
      <c r="N132" s="121" t="n"/>
      <c r="O132" s="121" t="n">
        <v>79.49197616380388</v>
      </c>
      <c r="P132" s="121" t="n">
        <v>88.26405235767861</v>
      </c>
      <c r="Q132" s="121" t="n">
        <v>72.36575935312858</v>
      </c>
    </row>
    <row r="133">
      <c r="C133" s="112" t="n">
        <v>43282</v>
      </c>
      <c r="D133" s="112" t="n">
        <v>43312</v>
      </c>
      <c r="E133" s="120" t="inlineStr">
        <is>
          <t>grid_ovzcidwu.xlsx</t>
        </is>
      </c>
      <c r="F133" s="121" t="n">
        <v>106.5607572627664</v>
      </c>
      <c r="G133" s="121" t="n">
        <v>95.14369126612335</v>
      </c>
      <c r="H133" s="121" t="n">
        <v>106.9378879450451</v>
      </c>
      <c r="I133" s="121" t="n">
        <v>125.2894599468493</v>
      </c>
      <c r="J133" s="121" t="n">
        <v>92.40779208622099</v>
      </c>
      <c r="K133" s="121" t="n">
        <v>101.0965343894389</v>
      </c>
      <c r="L133" s="121" t="n">
        <v>91.93945319909919</v>
      </c>
      <c r="M133" s="121" t="n">
        <v>78.03566523916669</v>
      </c>
      <c r="N133" s="121" t="n"/>
      <c r="O133" s="121" t="n">
        <v>83.71890989600389</v>
      </c>
      <c r="P133" s="121" t="n">
        <v>87.88696505013925</v>
      </c>
      <c r="Q133" s="121" t="n">
        <v>78.13371695392249</v>
      </c>
    </row>
    <row r="134">
      <c r="C134" s="112" t="n">
        <v>43313</v>
      </c>
      <c r="D134" s="112" t="n">
        <v>43343</v>
      </c>
      <c r="E134" s="120" t="inlineStr">
        <is>
          <t>grid_ovzcidwu.xlsx</t>
        </is>
      </c>
      <c r="F134" s="121" t="n">
        <v>110.167007509179</v>
      </c>
      <c r="G134" s="121" t="n">
        <v>94.35631866466657</v>
      </c>
      <c r="H134" s="121" t="n">
        <v>105.2860743779898</v>
      </c>
      <c r="I134" s="121" t="n">
        <v>126.7723730300618</v>
      </c>
      <c r="J134" s="121" t="n">
        <v>101.2960813970142</v>
      </c>
      <c r="K134" s="121" t="n">
        <v>102.0771502675345</v>
      </c>
      <c r="L134" s="121" t="n">
        <v>95.67016723683192</v>
      </c>
      <c r="M134" s="121" t="n">
        <v>75.68676903839308</v>
      </c>
      <c r="N134" s="121" t="n"/>
      <c r="O134" s="121" t="n">
        <v>83.57135803793786</v>
      </c>
      <c r="P134" s="121" t="n">
        <v>89.02122732335135</v>
      </c>
      <c r="Q134" s="121" t="n">
        <v>79.89037628482183</v>
      </c>
    </row>
    <row r="135">
      <c r="C135" s="112" t="n">
        <v>43344</v>
      </c>
      <c r="D135" s="112" t="n">
        <v>43371</v>
      </c>
      <c r="E135" s="120" t="inlineStr">
        <is>
          <t>grid_ovzcidwu.xlsx</t>
        </is>
      </c>
      <c r="F135" s="121" t="n">
        <v>121.8693572940424</v>
      </c>
      <c r="G135" s="121" t="n">
        <v>96.18657235752137</v>
      </c>
      <c r="H135" s="121" t="n">
        <v>103.936165657945</v>
      </c>
      <c r="I135" s="121" t="n">
        <v>125.1678900168966</v>
      </c>
      <c r="J135" s="121" t="n">
        <v>109.6051057518634</v>
      </c>
      <c r="K135" s="121" t="n">
        <v>104.0820569296606</v>
      </c>
      <c r="L135" s="121" t="n">
        <v>100.2429018569453</v>
      </c>
      <c r="M135" s="121" t="n">
        <v>76.59864893884485</v>
      </c>
      <c r="N135" s="121" t="n"/>
      <c r="O135" s="121" t="n">
        <v>96.13722597659066</v>
      </c>
      <c r="P135" s="121" t="n">
        <v>88.65198002055014</v>
      </c>
      <c r="Q135" s="121" t="n">
        <v>82.73466167598281</v>
      </c>
    </row>
    <row r="136">
      <c r="C136" s="112" t="n">
        <v>43374</v>
      </c>
      <c r="D136" s="112" t="n">
        <v>43404</v>
      </c>
      <c r="E136" s="120" t="inlineStr">
        <is>
          <t>grid_ovzcidwu.xlsx</t>
        </is>
      </c>
      <c r="F136" s="121" t="n">
        <v>129.3884001052721</v>
      </c>
      <c r="G136" s="121" t="n">
        <v>99.52433057372532</v>
      </c>
      <c r="H136" s="121" t="n">
        <v>101.0137468884701</v>
      </c>
      <c r="I136" s="121" t="n">
        <v>114.8105629764317</v>
      </c>
      <c r="J136" s="121" t="n">
        <v>125.7019709268821</v>
      </c>
      <c r="K136" s="121" t="n">
        <v>102.9041459686674</v>
      </c>
      <c r="L136" s="121" t="n">
        <v>102.4321598807109</v>
      </c>
      <c r="M136" s="121" t="n">
        <v>75.62325181820241</v>
      </c>
      <c r="N136" s="121" t="n"/>
      <c r="O136" s="121" t="n">
        <v>97.96847919472104</v>
      </c>
      <c r="P136" s="121" t="n">
        <v>89.68295694982864</v>
      </c>
      <c r="Q136" s="121" t="n">
        <v>78.07809533792151</v>
      </c>
    </row>
    <row r="137">
      <c r="C137" s="112" t="n">
        <v>43405</v>
      </c>
      <c r="D137" s="112" t="n">
        <v>43434</v>
      </c>
      <c r="E137" s="120" t="inlineStr">
        <is>
          <t>grid_ovzcidwu.xlsx</t>
        </is>
      </c>
      <c r="F137" s="121" t="n">
        <v>125.2955661178431</v>
      </c>
      <c r="G137" s="121" t="n">
        <v>99.42126490666338</v>
      </c>
      <c r="H137" s="121" t="n">
        <v>99.53066050655373</v>
      </c>
      <c r="I137" s="121" t="n">
        <v>114.6043526347663</v>
      </c>
      <c r="J137" s="121" t="n">
        <v>120.6506781509177</v>
      </c>
      <c r="K137" s="121" t="n">
        <v>106.1154821806231</v>
      </c>
      <c r="L137" s="121" t="n">
        <v>103.1142832135342</v>
      </c>
      <c r="M137" s="121" t="n">
        <v>79.96289318353053</v>
      </c>
      <c r="N137" s="121" t="n"/>
      <c r="O137" s="121" t="n">
        <v>97.34103169959843</v>
      </c>
      <c r="P137" s="121" t="n">
        <v>91.27863088861453</v>
      </c>
      <c r="Q137" s="121" t="n">
        <v>67.198069948859</v>
      </c>
    </row>
    <row r="138">
      <c r="C138" s="112" t="n">
        <v>43435</v>
      </c>
      <c r="D138" s="112" t="n">
        <v>43465</v>
      </c>
      <c r="E138" s="120" t="inlineStr">
        <is>
          <t>grid_ovzcidwu.xlsx</t>
        </is>
      </c>
      <c r="F138" s="121" t="n">
        <v>122.4614797651564</v>
      </c>
      <c r="G138" s="121" t="n">
        <v>97.20829279359444</v>
      </c>
      <c r="H138" s="121" t="n">
        <v>99.00967692383644</v>
      </c>
      <c r="I138" s="121" t="n">
        <v>113.2299455179195</v>
      </c>
      <c r="J138" s="121" t="n">
        <v>111.4578214877672</v>
      </c>
      <c r="K138" s="121" t="n">
        <v>109.9956615054158</v>
      </c>
      <c r="L138" s="121" t="n">
        <v>102.9564301116748</v>
      </c>
      <c r="M138" s="121" t="n">
        <v>80.15434297347565</v>
      </c>
      <c r="N138" s="121" t="n"/>
      <c r="O138" s="121" t="n">
        <v>100.7966745462524</v>
      </c>
      <c r="P138" s="121" t="n">
        <v>89.5271871847259</v>
      </c>
      <c r="Q138" s="121" t="n">
        <v>67.81769778404843</v>
      </c>
    </row>
    <row r="139">
      <c r="C139" s="112" t="n">
        <v>43466</v>
      </c>
      <c r="D139" s="112" t="n">
        <v>43496</v>
      </c>
      <c r="E139" s="120" t="inlineStr">
        <is>
          <t>grid_ovzcidwu.xlsx</t>
        </is>
      </c>
      <c r="F139" s="121" t="n">
        <v>116.2373140462321</v>
      </c>
      <c r="G139" s="121" t="n">
        <v>98.28671811577344</v>
      </c>
      <c r="H139" s="121" t="n">
        <v>108.3775633180296</v>
      </c>
      <c r="I139" s="121" t="n">
        <v>114.1393094820433</v>
      </c>
      <c r="J139" s="121" t="n">
        <v>104.2782008362706</v>
      </c>
      <c r="K139" s="121" t="n">
        <v>106.8350756018725</v>
      </c>
      <c r="L139" s="121" t="n">
        <v>100.7487330558128</v>
      </c>
      <c r="M139" s="121" t="n">
        <v>75.55827862066732</v>
      </c>
      <c r="N139" s="121" t="n"/>
      <c r="O139" s="121" t="n">
        <v>97.80918212807427</v>
      </c>
      <c r="P139" s="121" t="n">
        <v>89.9728175030227</v>
      </c>
      <c r="Q139" s="121" t="n">
        <v>97.40629009026141</v>
      </c>
    </row>
    <row r="140">
      <c r="C140" s="112" t="n">
        <v>43497</v>
      </c>
      <c r="D140" s="112" t="n">
        <v>43524</v>
      </c>
      <c r="E140" s="120" t="inlineStr">
        <is>
          <t>grid_ovzcidwu.xlsx</t>
        </is>
      </c>
      <c r="F140" s="121" t="n">
        <v>121.1334272108064</v>
      </c>
      <c r="G140" s="121" t="n">
        <v>98.62165764470905</v>
      </c>
      <c r="H140" s="121" t="n">
        <v>109.4803618201355</v>
      </c>
      <c r="I140" s="121" t="n">
        <v>110.6664856107156</v>
      </c>
      <c r="J140" s="121" t="n">
        <v>110.3319123001206</v>
      </c>
      <c r="K140" s="121" t="n">
        <v>109.4497007004548</v>
      </c>
      <c r="L140" s="121" t="n">
        <v>100.6107590589558</v>
      </c>
      <c r="M140" s="121" t="n">
        <v>78.36164874406984</v>
      </c>
      <c r="N140" s="121" t="n"/>
      <c r="O140" s="121" t="n">
        <v>100.1485557178427</v>
      </c>
      <c r="P140" s="121" t="n">
        <v>88.81912054097863</v>
      </c>
      <c r="Q140" s="121" t="n">
        <v>97.68491179139319</v>
      </c>
    </row>
    <row r="141">
      <c r="C141" s="112" t="n">
        <v>43525</v>
      </c>
      <c r="D141" s="112" t="n">
        <v>43553</v>
      </c>
      <c r="E141" s="120" t="inlineStr">
        <is>
          <t>grid_ovzcidwu.xlsx</t>
        </is>
      </c>
      <c r="F141" s="121" t="n">
        <v>124.4985478843026</v>
      </c>
      <c r="G141" s="121" t="n">
        <v>97.83427055863027</v>
      </c>
      <c r="H141" s="121" t="n">
        <v>110.2810143301437</v>
      </c>
      <c r="I141" s="121" t="n">
        <v>107.6926263771871</v>
      </c>
      <c r="J141" s="121" t="n">
        <v>107.9551282060297</v>
      </c>
      <c r="K141" s="121" t="n">
        <v>112.2593027871965</v>
      </c>
      <c r="L141" s="121" t="n">
        <v>98.49278267507245</v>
      </c>
      <c r="M141" s="121" t="n">
        <v>77.92041370343016</v>
      </c>
      <c r="N141" s="121" t="n"/>
      <c r="O141" s="121" t="n">
        <v>102.5908466642395</v>
      </c>
      <c r="P141" s="121" t="n">
        <v>89.85716976923308</v>
      </c>
      <c r="Q141" s="121" t="n">
        <v>113.193109717435</v>
      </c>
    </row>
    <row r="142">
      <c r="C142" s="112" t="n">
        <v>43556</v>
      </c>
      <c r="D142" s="112" t="n">
        <v>43585</v>
      </c>
      <c r="E142" s="120" t="inlineStr">
        <is>
          <t>grid_ovzcidwu.xlsx</t>
        </is>
      </c>
      <c r="F142" s="121" t="n">
        <v>123.0919039893391</v>
      </c>
      <c r="G142" s="121" t="n">
        <v>97.79078245543448</v>
      </c>
      <c r="H142" s="121" t="n">
        <v>109.454202616526</v>
      </c>
      <c r="I142" s="121" t="n">
        <v>108.6432191572664</v>
      </c>
      <c r="J142" s="121" t="n">
        <v>107.6805442832735</v>
      </c>
      <c r="K142" s="121" t="n">
        <v>113.5187396951197</v>
      </c>
      <c r="L142" s="121" t="n">
        <v>99.49096457555908</v>
      </c>
      <c r="M142" s="121" t="n">
        <v>78.88426581662905</v>
      </c>
      <c r="N142" s="121" t="n"/>
      <c r="O142" s="121" t="n">
        <v>104.9025569917509</v>
      </c>
      <c r="P142" s="121" t="n">
        <v>89.86480116531062</v>
      </c>
      <c r="Q142" s="121" t="n">
        <v>106.495146221319</v>
      </c>
    </row>
    <row r="143">
      <c r="C143" s="112" t="n">
        <v>43586</v>
      </c>
      <c r="D143" s="112" t="n">
        <v>43616</v>
      </c>
      <c r="E143" s="120" t="inlineStr">
        <is>
          <t>grid_ovzcidwu.xlsx</t>
        </is>
      </c>
      <c r="F143" s="121" t="n">
        <v>119.4872938928043</v>
      </c>
      <c r="G143" s="121" t="n">
        <v>98.62003230415674</v>
      </c>
      <c r="H143" s="121" t="n">
        <v>112.7130800099658</v>
      </c>
      <c r="I143" s="121" t="n">
        <v>107.8700165441095</v>
      </c>
      <c r="J143" s="121" t="n">
        <v>109.5220232579386</v>
      </c>
      <c r="K143" s="121" t="n">
        <v>110.2832544196267</v>
      </c>
      <c r="L143" s="121" t="n">
        <v>102.4243179185128</v>
      </c>
      <c r="M143" s="121" t="n">
        <v>78.80358283661877</v>
      </c>
      <c r="N143" s="121" t="n"/>
      <c r="O143" s="121" t="n">
        <v>98.63453781143173</v>
      </c>
      <c r="P143" s="121" t="n">
        <v>90.55425521976855</v>
      </c>
      <c r="Q143" s="121" t="n">
        <v>107.2495837347015</v>
      </c>
    </row>
    <row r="144">
      <c r="C144" s="112" t="n">
        <v>43617</v>
      </c>
      <c r="D144" s="112" t="n">
        <v>43644</v>
      </c>
      <c r="E144" s="120" t="inlineStr">
        <is>
          <t>grid_ovzcidwu.xlsx</t>
        </is>
      </c>
      <c r="F144" s="121" t="n">
        <v>120.3082345606215</v>
      </c>
      <c r="G144" s="121" t="n">
        <v>98.55644258296887</v>
      </c>
      <c r="H144" s="121" t="n">
        <v>109.5708750500166</v>
      </c>
      <c r="I144" s="121" t="n">
        <v>108.1437181064959</v>
      </c>
      <c r="J144" s="121" t="n">
        <v>111.9495087151603</v>
      </c>
      <c r="K144" s="121" t="n">
        <v>110.3746291314456</v>
      </c>
      <c r="L144" s="121" t="n">
        <v>99.03813404009149</v>
      </c>
      <c r="M144" s="121" t="n">
        <v>82.38990842367852</v>
      </c>
      <c r="N144" s="121" t="n"/>
      <c r="O144" s="121" t="n">
        <v>97.10271153218658</v>
      </c>
      <c r="P144" s="121" t="n">
        <v>91.14784774857182</v>
      </c>
      <c r="Q144" s="121" t="n">
        <v>108.6565035681626</v>
      </c>
    </row>
    <row r="145">
      <c r="C145" s="112" t="n">
        <v>43647</v>
      </c>
      <c r="D145" s="112" t="n">
        <v>43677</v>
      </c>
      <c r="E145" s="120" t="inlineStr">
        <is>
          <t>grid_ovzcidwu.xlsx</t>
        </is>
      </c>
      <c r="F145" s="121" t="n">
        <v>115.8616910981004</v>
      </c>
      <c r="G145" s="121" t="n">
        <v>101.4955350415619</v>
      </c>
      <c r="H145" s="121" t="n">
        <v>106.8084613388922</v>
      </c>
      <c r="I145" s="121" t="n">
        <v>111.0118580070643</v>
      </c>
      <c r="J145" s="121" t="n">
        <v>111.5657720280867</v>
      </c>
      <c r="K145" s="121" t="n">
        <v>106.9825049122663</v>
      </c>
      <c r="L145" s="121" t="n">
        <v>98.65744515789221</v>
      </c>
      <c r="M145" s="121" t="n">
        <v>87.14097929115775</v>
      </c>
      <c r="N145" s="121" t="n"/>
      <c r="O145" s="121" t="n">
        <v>103.439386411086</v>
      </c>
      <c r="P145" s="121" t="n">
        <v>91.91513203480832</v>
      </c>
      <c r="Q145" s="121" t="n">
        <v>99.6867469009736</v>
      </c>
    </row>
    <row r="146">
      <c r="C146" s="112" t="n">
        <v>43678</v>
      </c>
      <c r="D146" s="112" t="n">
        <v>43707</v>
      </c>
      <c r="E146" s="120" t="inlineStr">
        <is>
          <t>grid_ovzcidwu.xlsx</t>
        </is>
      </c>
      <c r="F146" s="121" t="n">
        <v>109.9989320773559</v>
      </c>
      <c r="G146" s="121" t="n">
        <v>103.509602671528</v>
      </c>
      <c r="H146" s="121" t="n">
        <v>113.0449823295627</v>
      </c>
      <c r="I146" s="121" t="n">
        <v>108.6809132605856</v>
      </c>
      <c r="J146" s="121" t="n">
        <v>100.6698548920177</v>
      </c>
      <c r="K146" s="121" t="n">
        <v>106.3252023850297</v>
      </c>
      <c r="L146" s="121" t="n">
        <v>98.13481766868334</v>
      </c>
      <c r="M146" s="121" t="n">
        <v>92.19653863544954</v>
      </c>
      <c r="N146" s="121" t="n"/>
      <c r="O146" s="121" t="n">
        <v>102.0612590632447</v>
      </c>
      <c r="P146" s="121" t="n">
        <v>93.19639053388735</v>
      </c>
      <c r="Q146" s="121" t="n">
        <v>117.2475407086317</v>
      </c>
    </row>
    <row r="147">
      <c r="C147" s="112" t="n">
        <v>43709</v>
      </c>
      <c r="D147" s="112" t="n">
        <v>43738</v>
      </c>
      <c r="E147" s="120" t="inlineStr">
        <is>
          <t>grid_ovzcidwu.xlsx</t>
        </is>
      </c>
      <c r="F147" s="121" t="n">
        <v>110.3784433208379</v>
      </c>
      <c r="G147" s="121" t="n">
        <v>103.3514453061069</v>
      </c>
      <c r="H147" s="121" t="n">
        <v>108.0243544784106</v>
      </c>
      <c r="I147" s="121" t="n">
        <v>112.5010997893641</v>
      </c>
      <c r="J147" s="121" t="n">
        <v>101.0002978823395</v>
      </c>
      <c r="K147" s="121" t="n">
        <v>105.0300963499324</v>
      </c>
      <c r="L147" s="121" t="n">
        <v>94.42363950335476</v>
      </c>
      <c r="M147" s="121" t="n">
        <v>93.51755901838766</v>
      </c>
      <c r="N147" s="121" t="n"/>
      <c r="O147" s="121" t="n">
        <v>101.9233737102309</v>
      </c>
      <c r="P147" s="121" t="n">
        <v>93.76026816648955</v>
      </c>
      <c r="Q147" s="121" t="n">
        <v>106.7355641877345</v>
      </c>
    </row>
    <row r="148">
      <c r="C148" s="112" t="n">
        <v>43739</v>
      </c>
      <c r="D148" s="112" t="n">
        <v>43769</v>
      </c>
      <c r="E148" s="120" t="inlineStr">
        <is>
          <t>grid_ovzcidwu.xlsx</t>
        </is>
      </c>
      <c r="F148" s="121" t="n">
        <v>109.6761343264131</v>
      </c>
      <c r="G148" s="121" t="n">
        <v>104.1580626189557</v>
      </c>
      <c r="H148" s="121" t="n">
        <v>104.04984927706</v>
      </c>
      <c r="I148" s="121" t="n">
        <v>110.6118454457478</v>
      </c>
      <c r="J148" s="121" t="n">
        <v>94.35488639145329</v>
      </c>
      <c r="K148" s="121" t="n">
        <v>105.4604506128504</v>
      </c>
      <c r="L148" s="121" t="n">
        <v>94.63276757487689</v>
      </c>
      <c r="M148" s="121" t="n">
        <v>94.01888728696325</v>
      </c>
      <c r="N148" s="121" t="n"/>
      <c r="O148" s="121" t="n">
        <v>98.87829328996837</v>
      </c>
      <c r="P148" s="121" t="n">
        <v>96.22868943188165</v>
      </c>
      <c r="Q148" s="121" t="n">
        <v>106.743541842229</v>
      </c>
    </row>
    <row r="149">
      <c r="C149" s="112" t="n">
        <v>43770</v>
      </c>
      <c r="D149" s="112" t="n">
        <v>43798</v>
      </c>
      <c r="E149" s="120" t="inlineStr">
        <is>
          <t>grid_ovzcidwu.xlsx</t>
        </is>
      </c>
      <c r="F149" s="121" t="n">
        <v>107.6522921551917</v>
      </c>
      <c r="G149" s="121" t="n">
        <v>102.5780967500015</v>
      </c>
      <c r="H149" s="121" t="n">
        <v>102.4225422863509</v>
      </c>
      <c r="I149" s="121" t="n">
        <v>113.4295554225097</v>
      </c>
      <c r="J149" s="121" t="n">
        <v>97.65412278216296</v>
      </c>
      <c r="K149" s="121" t="n">
        <v>103.9174228590579</v>
      </c>
      <c r="L149" s="121" t="n">
        <v>94.38074617898494</v>
      </c>
      <c r="M149" s="121" t="n">
        <v>96.93347204871226</v>
      </c>
      <c r="N149" s="121" t="n"/>
      <c r="O149" s="121" t="n">
        <v>96.47602863111918</v>
      </c>
      <c r="P149" s="121" t="n">
        <v>98.10007928235312</v>
      </c>
      <c r="Q149" s="121" t="n">
        <v>97.17796114794839</v>
      </c>
    </row>
    <row r="150">
      <c r="C150" s="112" t="n">
        <v>43800</v>
      </c>
      <c r="D150" s="112" t="n">
        <v>43830</v>
      </c>
      <c r="E150" s="120" t="inlineStr">
        <is>
          <t>grid_ovzcidwu.xlsx</t>
        </is>
      </c>
      <c r="F150" s="121" t="n">
        <v>107.995003903324</v>
      </c>
      <c r="G150" s="121" t="n">
        <v>100.6162767165398</v>
      </c>
      <c r="H150" s="121" t="n">
        <v>101.0852338036961</v>
      </c>
      <c r="I150" s="121" t="n">
        <v>108.760146955058</v>
      </c>
      <c r="J150" s="121" t="n">
        <v>98.37497422932813</v>
      </c>
      <c r="K150" s="121" t="n">
        <v>106.7551814674254</v>
      </c>
      <c r="L150" s="121" t="n">
        <v>95.58418757988805</v>
      </c>
      <c r="M150" s="121" t="n">
        <v>99.28420722778395</v>
      </c>
      <c r="N150" s="121" t="n"/>
      <c r="O150" s="121" t="n">
        <v>100.0300027413982</v>
      </c>
      <c r="P150" s="121" t="n">
        <v>96.22895509445136</v>
      </c>
      <c r="Q150" s="121" t="n">
        <v>96.49423549687245</v>
      </c>
    </row>
    <row r="151">
      <c r="C151" s="112" t="n">
        <v>43831</v>
      </c>
      <c r="D151" s="112" t="n">
        <v>43861</v>
      </c>
      <c r="E151" s="120" t="inlineStr">
        <is>
          <t>grid_1mk3z2wn.xlsx</t>
        </is>
      </c>
      <c r="F151" s="121" t="n">
        <v>100</v>
      </c>
      <c r="G151" s="121" t="n">
        <v>100</v>
      </c>
      <c r="H151" s="121" t="n">
        <v>100</v>
      </c>
      <c r="I151" s="121" t="n">
        <v>100</v>
      </c>
      <c r="J151" s="121" t="n">
        <v>100</v>
      </c>
      <c r="K151" s="121" t="n">
        <v>100</v>
      </c>
      <c r="L151" s="121" t="n">
        <v>100</v>
      </c>
      <c r="M151" s="121" t="n">
        <v>100</v>
      </c>
      <c r="N151" s="121" t="n">
        <v>100</v>
      </c>
      <c r="O151" s="121" t="n">
        <v>100</v>
      </c>
      <c r="P151" s="121" t="n">
        <v>100</v>
      </c>
      <c r="Q151" s="121" t="n">
        <v>100</v>
      </c>
    </row>
    <row r="152">
      <c r="C152" s="112" t="n">
        <v>43862</v>
      </c>
      <c r="D152" s="112" t="n">
        <v>43889</v>
      </c>
      <c r="E152" s="120" t="inlineStr">
        <is>
          <t>grid_1mk3z2wn.xlsx</t>
        </is>
      </c>
      <c r="F152" s="121" t="n">
        <v>99.45715468623058</v>
      </c>
      <c r="G152" s="121" t="n">
        <v>97.7755203653247</v>
      </c>
      <c r="H152" s="121" t="n">
        <v>98.94744628466302</v>
      </c>
      <c r="I152" s="121" t="n">
        <v>92.89802451623345</v>
      </c>
      <c r="J152" s="121" t="n">
        <v>99.33844931203436</v>
      </c>
      <c r="K152" s="121" t="n">
        <v>100.7233365467119</v>
      </c>
      <c r="L152" s="121" t="n">
        <v>104.5594226192163</v>
      </c>
      <c r="M152" s="121" t="n">
        <v>104.5975989957349</v>
      </c>
      <c r="N152" s="121" t="n">
        <v>101.4014367930177</v>
      </c>
      <c r="O152" s="121" t="n">
        <v>99.48472771427768</v>
      </c>
      <c r="P152" s="121" t="n">
        <v>104.881375046225</v>
      </c>
      <c r="Q152" s="121" t="n">
        <v>103.5245556056767</v>
      </c>
    </row>
    <row r="153">
      <c r="C153" s="112" t="n">
        <v>43891</v>
      </c>
      <c r="D153" s="112" t="n">
        <v>43921</v>
      </c>
      <c r="E153" s="120" t="inlineStr">
        <is>
          <t>grid_1mk3z2wn.xlsx</t>
        </is>
      </c>
      <c r="F153" s="121" t="n">
        <v>86.18745477733046</v>
      </c>
      <c r="G153" s="121" t="n">
        <v>102.0063407290881</v>
      </c>
      <c r="H153" s="121" t="n">
        <v>83.00817760836077</v>
      </c>
      <c r="I153" s="121" t="n">
        <v>84.23683595337069</v>
      </c>
      <c r="J153" s="121" t="n">
        <v>37.66630116534002</v>
      </c>
      <c r="K153" s="121" t="n">
        <v>99.73931573168258</v>
      </c>
      <c r="L153" s="121" t="n">
        <v>107.0663184814773</v>
      </c>
      <c r="M153" s="121" t="n">
        <v>99.50530740430254</v>
      </c>
      <c r="N153" s="121" t="n">
        <v>99.8666195989701</v>
      </c>
      <c r="O153" s="121" t="n">
        <v>106.3929436369193</v>
      </c>
      <c r="P153" s="121" t="n">
        <v>74.18347678935086</v>
      </c>
      <c r="Q153" s="121" t="n">
        <v>104.8600804108593</v>
      </c>
    </row>
    <row r="154">
      <c r="C154" s="112" t="n">
        <v>43922</v>
      </c>
      <c r="D154" s="112" t="n">
        <v>43951</v>
      </c>
      <c r="E154" s="120" t="inlineStr">
        <is>
          <t>grid_1mk3z2wn.xlsx</t>
        </is>
      </c>
      <c r="F154" s="121" t="n">
        <v>72.74271288137525</v>
      </c>
      <c r="G154" s="121" t="n">
        <v>98.53859250810039</v>
      </c>
      <c r="H154" s="121" t="n">
        <v>71.91437495896137</v>
      </c>
      <c r="I154" s="121" t="n">
        <v>73.3481727875082</v>
      </c>
      <c r="J154" s="121" t="n">
        <v>18.27044810449296</v>
      </c>
      <c r="K154" s="121" t="n">
        <v>91.29166238817945</v>
      </c>
      <c r="L154" s="121" t="n">
        <v>103.3629416117079</v>
      </c>
      <c r="M154" s="121" t="n">
        <v>79.35838327500547</v>
      </c>
      <c r="N154" s="121" t="n">
        <v>101.3565641209514</v>
      </c>
      <c r="O154" s="121" t="n">
        <v>96.97295064515535</v>
      </c>
      <c r="P154" s="121" t="n">
        <v>58.14367815059035</v>
      </c>
      <c r="Q154" s="121" t="n">
        <v>100.4282144158278</v>
      </c>
    </row>
    <row r="155">
      <c r="C155" s="112" t="n">
        <v>43952</v>
      </c>
      <c r="D155" s="112" t="n">
        <v>43980</v>
      </c>
      <c r="E155" s="120" t="inlineStr">
        <is>
          <t>grid_1mk3z2wn.xlsx</t>
        </is>
      </c>
      <c r="F155" s="121" t="n">
        <v>68.03733855312389</v>
      </c>
      <c r="G155" s="121" t="n">
        <v>97.05802192773741</v>
      </c>
      <c r="H155" s="121" t="n">
        <v>69.8524629295606</v>
      </c>
      <c r="I155" s="121" t="n">
        <v>69.00777143767772</v>
      </c>
      <c r="J155" s="121" t="n">
        <v>5.65938170564204</v>
      </c>
      <c r="K155" s="121" t="n">
        <v>83.02719765803349</v>
      </c>
      <c r="L155" s="121" t="n">
        <v>100.3614499564425</v>
      </c>
      <c r="M155" s="121" t="n">
        <v>67.20481441914171</v>
      </c>
      <c r="N155" s="121" t="n">
        <v>104.494101833578</v>
      </c>
      <c r="O155" s="121" t="n">
        <v>106.8844327542282</v>
      </c>
      <c r="P155" s="121" t="n">
        <v>60.5624548304622</v>
      </c>
      <c r="Q155" s="121" t="n">
        <v>88.08430331194137</v>
      </c>
    </row>
    <row r="156">
      <c r="C156" s="112" t="n">
        <v>43983</v>
      </c>
      <c r="D156" s="112" t="n">
        <v>44012</v>
      </c>
      <c r="E156" s="120" t="inlineStr">
        <is>
          <t>grid_1mk3z2wn.xlsx</t>
        </is>
      </c>
      <c r="F156" s="121" t="n">
        <v>63.28152886648238</v>
      </c>
      <c r="G156" s="121" t="n">
        <v>94.81291488444784</v>
      </c>
      <c r="H156" s="121" t="n">
        <v>66.93026943354589</v>
      </c>
      <c r="I156" s="121" t="n">
        <v>69.14105241411796</v>
      </c>
      <c r="J156" s="121" t="n">
        <v>-3.190225061550488</v>
      </c>
      <c r="K156" s="121" t="n">
        <v>73.21609697403836</v>
      </c>
      <c r="L156" s="121" t="n">
        <v>102.1134580437443</v>
      </c>
      <c r="M156" s="121" t="n">
        <v>61.25821572687946</v>
      </c>
      <c r="N156" s="121" t="n">
        <v>104.1923338436383</v>
      </c>
      <c r="O156" s="121" t="n">
        <v>112.4366751465113</v>
      </c>
      <c r="P156" s="121" t="n">
        <v>67.24643012369785</v>
      </c>
      <c r="Q156" s="121" t="n">
        <v>97.16783806524798</v>
      </c>
    </row>
    <row r="157">
      <c r="C157" s="112" t="n">
        <v>44013</v>
      </c>
      <c r="D157" s="112" t="n">
        <v>44043</v>
      </c>
      <c r="E157" s="120" t="inlineStr">
        <is>
          <t>grid_1mk3z2wn.xlsx</t>
        </is>
      </c>
      <c r="F157" s="121" t="n">
        <v>66.99370605846902</v>
      </c>
      <c r="G157" s="121" t="n">
        <v>89.30425495980782</v>
      </c>
      <c r="H157" s="121" t="n">
        <v>70.65697884143002</v>
      </c>
      <c r="I157" s="121" t="n">
        <v>66.03946480970548</v>
      </c>
      <c r="J157" s="121" t="n">
        <v>5.599898291931918</v>
      </c>
      <c r="K157" s="121" t="n">
        <v>70.87066723214572</v>
      </c>
      <c r="L157" s="121" t="n">
        <v>101.2080703114733</v>
      </c>
      <c r="M157" s="121" t="n">
        <v>74.49203242615096</v>
      </c>
      <c r="N157" s="121" t="n">
        <v>106.1758582730144</v>
      </c>
      <c r="O157" s="121" t="n">
        <v>122.2406719182461</v>
      </c>
      <c r="P157" s="121" t="n">
        <v>68.8163167320414</v>
      </c>
      <c r="Q157" s="121" t="n">
        <v>101.0418508368876</v>
      </c>
    </row>
    <row r="158">
      <c r="C158" s="112" t="n">
        <v>44044</v>
      </c>
      <c r="D158" s="112" t="n">
        <v>44074</v>
      </c>
      <c r="E158" s="120" t="inlineStr">
        <is>
          <t>grid_1mk3z2wn.xlsx</t>
        </is>
      </c>
      <c r="F158" s="121" t="n">
        <v>73.97619602497477</v>
      </c>
      <c r="G158" s="121" t="n">
        <v>93.73201153354951</v>
      </c>
      <c r="H158" s="121" t="n">
        <v>71.43023299458116</v>
      </c>
      <c r="I158" s="121" t="n">
        <v>67.25244185373839</v>
      </c>
      <c r="J158" s="121" t="n">
        <v>18.96037767339805</v>
      </c>
      <c r="K158" s="121" t="n">
        <v>71.69476412123673</v>
      </c>
      <c r="L158" s="121" t="n">
        <v>100.2966810578731</v>
      </c>
      <c r="M158" s="121" t="n">
        <v>76.11746806791092</v>
      </c>
      <c r="N158" s="121" t="n">
        <v>102.8681969303599</v>
      </c>
      <c r="O158" s="121" t="n">
        <v>130.9247573336833</v>
      </c>
      <c r="P158" s="121" t="n">
        <v>69.72678523934938</v>
      </c>
      <c r="Q158" s="121" t="n">
        <v>112.495924522291</v>
      </c>
    </row>
    <row r="159">
      <c r="C159" s="112" t="n">
        <v>44075</v>
      </c>
      <c r="D159" s="112" t="n">
        <v>44104</v>
      </c>
      <c r="E159" s="120" t="inlineStr">
        <is>
          <t>grid_1mk3z2wn.xlsx</t>
        </is>
      </c>
      <c r="F159" s="121" t="n">
        <v>82.85310807025358</v>
      </c>
      <c r="G159" s="121" t="n">
        <v>94.54861244630918</v>
      </c>
      <c r="H159" s="121" t="n">
        <v>76.73652172175768</v>
      </c>
      <c r="I159" s="121" t="n">
        <v>68.37239245646688</v>
      </c>
      <c r="J159" s="121" t="n">
        <v>29.84306394900929</v>
      </c>
      <c r="K159" s="121" t="n">
        <v>76.16942563538178</v>
      </c>
      <c r="L159" s="121" t="n">
        <v>100.1060343028653</v>
      </c>
      <c r="M159" s="121" t="n">
        <v>86.1143231477695</v>
      </c>
      <c r="N159" s="121" t="n">
        <v>101.7583165410241</v>
      </c>
      <c r="O159" s="121" t="n">
        <v>150.711548927401</v>
      </c>
      <c r="P159" s="121" t="n">
        <v>63.96589023113525</v>
      </c>
      <c r="Q159" s="121" t="n">
        <v>106.6197853894298</v>
      </c>
    </row>
    <row r="160">
      <c r="C160" s="112" t="n">
        <v>44105</v>
      </c>
      <c r="D160" s="112" t="n">
        <v>44134</v>
      </c>
      <c r="E160" s="120" t="inlineStr">
        <is>
          <t>grid_1mk3z2wn.xlsx</t>
        </is>
      </c>
      <c r="F160" s="121" t="n">
        <v>99.96757067251187</v>
      </c>
      <c r="G160" s="121" t="n">
        <v>97.91647776549269</v>
      </c>
      <c r="H160" s="121" t="n">
        <v>77.42536837192829</v>
      </c>
      <c r="I160" s="121" t="n">
        <v>70.35022907153939</v>
      </c>
      <c r="J160" s="121" t="n">
        <v>52.11459689930832</v>
      </c>
      <c r="K160" s="121" t="n">
        <v>80.90514427973822</v>
      </c>
      <c r="L160" s="121" t="n">
        <v>105.7064770120965</v>
      </c>
      <c r="M160" s="121" t="n">
        <v>100.9994612391763</v>
      </c>
      <c r="N160" s="121" t="n">
        <v>111.5268336223517</v>
      </c>
      <c r="O160" s="121" t="n">
        <v>182.102527015454</v>
      </c>
      <c r="P160" s="121" t="n">
        <v>75.12219580135668</v>
      </c>
      <c r="Q160" s="121" t="n">
        <v>106.5039562030343</v>
      </c>
    </row>
    <row r="161">
      <c r="C161" s="112" t="n">
        <v>44136</v>
      </c>
      <c r="D161" s="112" t="n">
        <v>44165</v>
      </c>
      <c r="E161" s="120" t="inlineStr">
        <is>
          <t>grid_1mk3z2wn.xlsx</t>
        </is>
      </c>
      <c r="F161" s="121" t="n">
        <v>118.3859933059081</v>
      </c>
      <c r="G161" s="121" t="n">
        <v>95.88293859976281</v>
      </c>
      <c r="H161" s="121" t="n">
        <v>86.00420949814843</v>
      </c>
      <c r="I161" s="121" t="n">
        <v>73.3217558812633</v>
      </c>
      <c r="J161" s="121" t="n">
        <v>71.35983298892936</v>
      </c>
      <c r="K161" s="121" t="n">
        <v>87.1225487130576</v>
      </c>
      <c r="L161" s="121" t="n">
        <v>109.0306189678565</v>
      </c>
      <c r="M161" s="121" t="n">
        <v>96.85033671514455</v>
      </c>
      <c r="N161" s="121" t="n">
        <v>114.5003682862299</v>
      </c>
      <c r="O161" s="121" t="n">
        <v>201.9814988185946</v>
      </c>
      <c r="P161" s="121" t="n">
        <v>79.14812400090845</v>
      </c>
      <c r="Q161" s="121" t="n">
        <v>103.2336614879958</v>
      </c>
    </row>
    <row r="162">
      <c r="C162" s="112" t="n">
        <v>44166</v>
      </c>
      <c r="D162" s="112" t="n">
        <v>44196</v>
      </c>
      <c r="E162" s="120" t="inlineStr">
        <is>
          <t>grid_1mk3z2wn.xlsx</t>
        </is>
      </c>
      <c r="F162" s="121" t="n">
        <v>121.7526754211977</v>
      </c>
      <c r="G162" s="121" t="n">
        <v>104.595359030766</v>
      </c>
      <c r="H162" s="121" t="n">
        <v>88.65107067126164</v>
      </c>
      <c r="I162" s="121" t="n">
        <v>77.66704815353586</v>
      </c>
      <c r="J162" s="121" t="n">
        <v>90.39358144199896</v>
      </c>
      <c r="K162" s="121" t="n">
        <v>87.5194799744217</v>
      </c>
      <c r="L162" s="121" t="n">
        <v>116.2161324267103</v>
      </c>
      <c r="M162" s="121" t="n">
        <v>103.3796748776479</v>
      </c>
      <c r="N162" s="121" t="n">
        <v>117.4066899605583</v>
      </c>
      <c r="O162" s="121" t="n">
        <v>201.4297711323073</v>
      </c>
      <c r="P162" s="121" t="n">
        <v>75.20480208694434</v>
      </c>
      <c r="Q162" s="121" t="n">
        <v>108.9007451705806</v>
      </c>
    </row>
    <row r="163">
      <c r="C163" s="112" t="n">
        <v>44197</v>
      </c>
      <c r="D163" s="112" t="n">
        <v>44225</v>
      </c>
      <c r="E163" s="120" t="inlineStr">
        <is>
          <t>grid_1mk3z2wn.xlsx</t>
        </is>
      </c>
      <c r="F163" s="121" t="n">
        <v>138.332179693482</v>
      </c>
      <c r="G163" s="121" t="n">
        <v>104.627696503901</v>
      </c>
      <c r="H163" s="121" t="n">
        <v>88.25077020070613</v>
      </c>
      <c r="I163" s="121" t="n">
        <v>78.94105506259861</v>
      </c>
      <c r="J163" s="121" t="n">
        <v>93.73443607483438</v>
      </c>
      <c r="K163" s="121" t="n">
        <v>88.50287055637159</v>
      </c>
      <c r="L163" s="121" t="n">
        <v>122.1659026477831</v>
      </c>
      <c r="M163" s="121" t="n">
        <v>113.2680083825925</v>
      </c>
      <c r="N163" s="121" t="n">
        <v>115.4457759808692</v>
      </c>
      <c r="O163" s="121" t="n">
        <v>242.2567302034126</v>
      </c>
      <c r="P163" s="121" t="n">
        <v>74.04608634036319</v>
      </c>
      <c r="Q163" s="121" t="n">
        <v>103.9097274803566</v>
      </c>
    </row>
    <row r="164">
      <c r="C164" s="112" t="n">
        <v>44228</v>
      </c>
      <c r="D164" s="112" t="n">
        <v>44253</v>
      </c>
      <c r="E164" s="120" t="inlineStr">
        <is>
          <t>grid_1mk3z2wn.xlsx</t>
        </is>
      </c>
      <c r="F164" s="121" t="n">
        <v>151.7606418298712</v>
      </c>
      <c r="G164" s="121" t="n">
        <v>103.7039733504601</v>
      </c>
      <c r="H164" s="121" t="n">
        <v>89.50837962781928</v>
      </c>
      <c r="I164" s="121" t="n">
        <v>78.76824764521827</v>
      </c>
      <c r="J164" s="121" t="n">
        <v>103.1425116403707</v>
      </c>
      <c r="K164" s="121" t="n">
        <v>89.78117104335142</v>
      </c>
      <c r="L164" s="121" t="n">
        <v>119.9402476400906</v>
      </c>
      <c r="M164" s="121" t="n">
        <v>111.0597880393605</v>
      </c>
      <c r="N164" s="121" t="n">
        <v>120.0976212726583</v>
      </c>
      <c r="O164" s="121" t="n">
        <v>253.9650487796114</v>
      </c>
      <c r="P164" s="121" t="n">
        <v>71.81787709752963</v>
      </c>
      <c r="Q164" s="121" t="n">
        <v>109.2318541706748</v>
      </c>
    </row>
    <row r="165">
      <c r="C165" s="112" t="n">
        <v>44256</v>
      </c>
      <c r="D165" s="112" t="n">
        <v>44286</v>
      </c>
      <c r="E165" s="120" t="inlineStr">
        <is>
          <t>grid_1mk3z2wn.xlsx</t>
        </is>
      </c>
      <c r="F165" s="121" t="n">
        <v>171.2767340796041</v>
      </c>
      <c r="G165" s="121" t="n">
        <v>105.6227851725363</v>
      </c>
      <c r="H165" s="121" t="n">
        <v>98.3556462980245</v>
      </c>
      <c r="I165" s="121" t="n">
        <v>80.95308583150931</v>
      </c>
      <c r="J165" s="121" t="n">
        <v>119.6606888374788</v>
      </c>
      <c r="K165" s="121" t="n">
        <v>93.15098849162925</v>
      </c>
      <c r="L165" s="121" t="n">
        <v>127.2777681658701</v>
      </c>
      <c r="M165" s="121" t="n">
        <v>105.6696629483447</v>
      </c>
      <c r="N165" s="121" t="n">
        <v>124.0049440799725</v>
      </c>
      <c r="O165" s="121" t="n">
        <v>292.2586280325852</v>
      </c>
      <c r="P165" s="121" t="n">
        <v>70.21678392787705</v>
      </c>
      <c r="Q165" s="121" t="n">
        <v>111.6977168172996</v>
      </c>
    </row>
    <row r="166">
      <c r="C166" s="112" t="n">
        <v>44287</v>
      </c>
      <c r="D166" s="112" t="n">
        <v>44316</v>
      </c>
      <c r="E166" s="120" t="inlineStr">
        <is>
          <t>grid_1mk3z2wn.xlsx</t>
        </is>
      </c>
      <c r="F166" s="121" t="n">
        <v>198.0527297666094</v>
      </c>
      <c r="G166" s="121" t="n">
        <v>108.3455474663315</v>
      </c>
      <c r="H166" s="121" t="n">
        <v>96.40888979815023</v>
      </c>
      <c r="I166" s="121" t="n">
        <v>83.49136359159144</v>
      </c>
      <c r="J166" s="121" t="n">
        <v>151.1600568221796</v>
      </c>
      <c r="K166" s="121" t="n">
        <v>93.91054416706449</v>
      </c>
      <c r="L166" s="121" t="n">
        <v>123.4546929960606</v>
      </c>
      <c r="M166" s="121" t="n">
        <v>110.2329467903769</v>
      </c>
      <c r="N166" s="121" t="n">
        <v>124.7521095328178</v>
      </c>
      <c r="O166" s="121" t="n">
        <v>327.8843522260149</v>
      </c>
      <c r="P166" s="121" t="n">
        <v>65.49175091288234</v>
      </c>
      <c r="Q166" s="121" t="n">
        <v>113.8455614485243</v>
      </c>
    </row>
    <row r="167">
      <c r="C167" s="112" t="n">
        <v>44317</v>
      </c>
      <c r="D167" s="112" t="n">
        <v>44347</v>
      </c>
      <c r="E167" s="120" t="inlineStr">
        <is>
          <t>grid_1mk3z2wn.xlsx</t>
        </is>
      </c>
      <c r="F167" s="121" t="n">
        <v>187.3377005087162</v>
      </c>
      <c r="G167" s="121" t="n">
        <v>104.2760309483015</v>
      </c>
      <c r="H167" s="121" t="n">
        <v>107.359900432346</v>
      </c>
      <c r="I167" s="121" t="n">
        <v>87.81106571374538</v>
      </c>
      <c r="J167" s="121" t="n">
        <v>151.7249976477117</v>
      </c>
      <c r="K167" s="121" t="n">
        <v>92.81929669441531</v>
      </c>
      <c r="L167" s="121" t="n">
        <v>123.2784553149483</v>
      </c>
      <c r="M167" s="121" t="n">
        <v>108.0158565127452</v>
      </c>
      <c r="N167" s="121" t="n">
        <v>86.0135116883562</v>
      </c>
      <c r="O167" s="121" t="n">
        <v>325.4444110879998</v>
      </c>
      <c r="P167" s="121" t="n">
        <v>69.09621139054566</v>
      </c>
      <c r="Q167" s="121" t="n">
        <v>122.7780441791833</v>
      </c>
    </row>
    <row r="168">
      <c r="C168" s="112" t="n">
        <v>44348</v>
      </c>
      <c r="D168" s="112" t="n">
        <v>44377</v>
      </c>
      <c r="E168" s="120" t="inlineStr">
        <is>
          <t>grid_1mk3z2wn.xlsx</t>
        </is>
      </c>
      <c r="F168" s="121" t="n">
        <v>196.5090558885552</v>
      </c>
      <c r="G168" s="121" t="n">
        <v>106.8899443847215</v>
      </c>
      <c r="H168" s="121" t="n">
        <v>112.6247517348419</v>
      </c>
      <c r="I168" s="121" t="n">
        <v>85.55509908492927</v>
      </c>
      <c r="J168" s="121" t="n">
        <v>171.2578465893982</v>
      </c>
      <c r="K168" s="121" t="n">
        <v>93.47230374424988</v>
      </c>
      <c r="L168" s="121" t="n">
        <v>123.3920344577935</v>
      </c>
      <c r="M168" s="121" t="n">
        <v>109.2401646359557</v>
      </c>
      <c r="N168" s="121" t="n">
        <v>89.45265377567556</v>
      </c>
      <c r="O168" s="121" t="n">
        <v>334.871149495508</v>
      </c>
      <c r="P168" s="121" t="n">
        <v>73.73428989422133</v>
      </c>
      <c r="Q168" s="121" t="n">
        <v>127.6630672019976</v>
      </c>
    </row>
    <row r="169">
      <c r="C169" s="112" t="n">
        <v>44378</v>
      </c>
      <c r="D169" s="112" t="n">
        <v>44407</v>
      </c>
      <c r="E169" s="120" t="inlineStr">
        <is>
          <t>grid_1mk3z2wn.xlsx</t>
        </is>
      </c>
      <c r="F169" s="121" t="n">
        <v>206.9412387872192</v>
      </c>
      <c r="G169" s="121" t="n">
        <v>108.4607008066024</v>
      </c>
      <c r="H169" s="121" t="n">
        <v>124.9702590591049</v>
      </c>
      <c r="I169" s="121" t="n">
        <v>90.77869498057798</v>
      </c>
      <c r="J169" s="121" t="n">
        <v>172.5982405319348</v>
      </c>
      <c r="K169" s="121" t="n">
        <v>96.32365172810829</v>
      </c>
      <c r="L169" s="121" t="n">
        <v>136.4864646512459</v>
      </c>
      <c r="M169" s="121" t="n">
        <v>119.5529433233897</v>
      </c>
      <c r="N169" s="121" t="n">
        <v>127.6264740807313</v>
      </c>
      <c r="O169" s="121" t="n">
        <v>364.0808827909362</v>
      </c>
      <c r="P169" s="121" t="n">
        <v>74.03204119918151</v>
      </c>
      <c r="Q169" s="121" t="n">
        <v>130.5483874973856</v>
      </c>
    </row>
    <row r="170">
      <c r="C170" s="112" t="n">
        <v>44409</v>
      </c>
      <c r="D170" s="112" t="n">
        <v>44439</v>
      </c>
      <c r="E170" s="120" t="inlineStr">
        <is>
          <t>grid_1mk3z2wn.xlsx</t>
        </is>
      </c>
      <c r="F170" s="121" t="n">
        <v>201.6668558814396</v>
      </c>
      <c r="G170" s="121" t="n">
        <v>111.335154985409</v>
      </c>
      <c r="H170" s="121" t="n">
        <v>126.1387225157401</v>
      </c>
      <c r="I170" s="121" t="n">
        <v>90.14902741104899</v>
      </c>
      <c r="J170" s="121" t="n">
        <v>182.9795267181481</v>
      </c>
      <c r="K170" s="121" t="n">
        <v>99.67045264693401</v>
      </c>
      <c r="L170" s="121" t="n">
        <v>143.1254029472564</v>
      </c>
      <c r="M170" s="121" t="n">
        <v>122.6451206378079</v>
      </c>
      <c r="N170" s="121" t="n">
        <v>119.6687271207883</v>
      </c>
      <c r="O170" s="121" t="n">
        <v>338.3416579987613</v>
      </c>
      <c r="P170" s="121" t="n">
        <v>74.571239009179</v>
      </c>
      <c r="Q170" s="121" t="n">
        <v>125.9014906590854</v>
      </c>
    </row>
    <row r="171">
      <c r="C171" s="112" t="n">
        <v>44440</v>
      </c>
      <c r="D171" s="112" t="n">
        <v>44469</v>
      </c>
      <c r="E171" s="120" t="inlineStr">
        <is>
          <t>grid_1mk3z2wn.xlsx</t>
        </is>
      </c>
      <c r="F171" s="121" t="n">
        <v>188.9631310164909</v>
      </c>
      <c r="G171" s="121" t="n">
        <v>101.5988777410427</v>
      </c>
      <c r="H171" s="121" t="n">
        <v>130.7643232061978</v>
      </c>
      <c r="I171" s="121" t="n">
        <v>97.23348589119614</v>
      </c>
      <c r="J171" s="121" t="n">
        <v>185.3670524740197</v>
      </c>
      <c r="K171" s="121" t="n">
        <v>98.71329187623419</v>
      </c>
      <c r="L171" s="121" t="n">
        <v>177.1252982784764</v>
      </c>
      <c r="M171" s="121" t="n">
        <v>130.6307382014142</v>
      </c>
      <c r="N171" s="121" t="n">
        <v>104.114303192038</v>
      </c>
      <c r="O171" s="121" t="n">
        <v>288.2408461161401</v>
      </c>
      <c r="P171" s="121" t="n">
        <v>75.0207468424972</v>
      </c>
      <c r="Q171" s="121" t="n">
        <v>125.7698580994375</v>
      </c>
    </row>
    <row r="172">
      <c r="C172" s="112" t="n">
        <v>44470</v>
      </c>
      <c r="D172" s="112" t="n">
        <v>44498</v>
      </c>
      <c r="E172" s="120" t="inlineStr">
        <is>
          <t>grid_1mk3z2wn.xlsx</t>
        </is>
      </c>
      <c r="F172" s="121" t="n">
        <v>191.9018032663597</v>
      </c>
      <c r="G172" s="121" t="n">
        <v>114.5860072063402</v>
      </c>
      <c r="H172" s="121" t="n">
        <v>131.1450995475851</v>
      </c>
      <c r="I172" s="121" t="n">
        <v>107.4102051664624</v>
      </c>
      <c r="J172" s="121" t="n">
        <v>207.8903414294187</v>
      </c>
      <c r="K172" s="121" t="n">
        <v>102.7539818985343</v>
      </c>
      <c r="L172" s="121" t="n">
        <v>176.1680680624038</v>
      </c>
      <c r="M172" s="121" t="n">
        <v>135.8691783076775</v>
      </c>
      <c r="N172" s="121" t="n">
        <v>108.3043190170728</v>
      </c>
      <c r="O172" s="121" t="n">
        <v>257.6524011192737</v>
      </c>
      <c r="P172" s="121" t="n">
        <v>76.53467601490345</v>
      </c>
      <c r="Q172" s="121" t="n">
        <v>124.5058528126142</v>
      </c>
    </row>
    <row r="173">
      <c r="C173" s="112" t="n">
        <v>44501</v>
      </c>
      <c r="D173" s="112" t="n">
        <v>44530</v>
      </c>
      <c r="E173" s="120" t="inlineStr">
        <is>
          <t>grid_1mk3z2wn.xlsx</t>
        </is>
      </c>
      <c r="F173" s="121" t="n">
        <v>194.3835640428804</v>
      </c>
      <c r="G173" s="121" t="n">
        <v>107.37014498555</v>
      </c>
      <c r="H173" s="121" t="n">
        <v>118.5520798326274</v>
      </c>
      <c r="I173" s="121" t="n">
        <v>120.454214653836</v>
      </c>
      <c r="J173" s="121" t="n">
        <v>239.813281690036</v>
      </c>
      <c r="K173" s="121" t="n">
        <v>100.568653374237</v>
      </c>
      <c r="L173" s="121" t="n">
        <v>157.5262174933349</v>
      </c>
      <c r="M173" s="121" t="n">
        <v>134.7081101683849</v>
      </c>
      <c r="N173" s="121" t="n">
        <v>125.1262117045355</v>
      </c>
      <c r="O173" s="121" t="n">
        <v>217.4744529463124</v>
      </c>
      <c r="P173" s="121" t="n">
        <v>91.00854316110211</v>
      </c>
      <c r="Q173" s="121" t="n">
        <v>126.634760615879</v>
      </c>
    </row>
    <row r="174">
      <c r="C174" s="112" t="n">
        <v>44531</v>
      </c>
      <c r="D174" s="112" t="n">
        <v>44561</v>
      </c>
      <c r="E174" s="120" t="inlineStr">
        <is>
          <t>grid_1mk3z2wn.xlsx</t>
        </is>
      </c>
      <c r="F174" s="121" t="n">
        <v>192.0298784178417</v>
      </c>
      <c r="G174" s="121" t="n">
        <v>104.9171734766919</v>
      </c>
      <c r="H174" s="121" t="n">
        <v>110.8913520651801</v>
      </c>
      <c r="I174" s="121" t="n">
        <v>114.5936938697495</v>
      </c>
      <c r="J174" s="121" t="n">
        <v>239.3006833576438</v>
      </c>
      <c r="K174" s="121" t="n">
        <v>100.9028232243685</v>
      </c>
      <c r="L174" s="121" t="n">
        <v>160.8342862209985</v>
      </c>
      <c r="M174" s="121" t="n">
        <v>135.4480752821194</v>
      </c>
      <c r="N174" s="121" t="n">
        <v>116.8601778914757</v>
      </c>
      <c r="O174" s="121" t="n">
        <v>204.9436909526048</v>
      </c>
      <c r="P174" s="121" t="n">
        <v>84.41746199845863</v>
      </c>
      <c r="Q174" s="121" t="n">
        <v>121.6112540992367</v>
      </c>
    </row>
    <row r="175">
      <c r="C175" s="112" t="n">
        <v>44562</v>
      </c>
      <c r="D175" s="112" t="n">
        <v>44592</v>
      </c>
      <c r="E175" s="120" t="inlineStr">
        <is>
          <t>grid_1mk3z2wn.xlsx</t>
        </is>
      </c>
      <c r="F175" s="121" t="n">
        <v>200.0062891301158</v>
      </c>
      <c r="G175" s="121" t="n">
        <v>102.1673598547146</v>
      </c>
      <c r="H175" s="121" t="n">
        <v>118.3589680773098</v>
      </c>
      <c r="I175" s="121" t="n">
        <v>112.5587072597835</v>
      </c>
      <c r="J175" s="121" t="n">
        <v>234.3669246656612</v>
      </c>
      <c r="K175" s="121" t="n">
        <v>103.5468234035266</v>
      </c>
      <c r="L175" s="121" t="n">
        <v>158.3545797382339</v>
      </c>
      <c r="M175" s="121" t="n">
        <v>140.4723276221316</v>
      </c>
      <c r="N175" s="121" t="n">
        <v>123.1245594360843</v>
      </c>
      <c r="O175" s="121" t="n">
        <v>219.1631422136319</v>
      </c>
      <c r="P175" s="121" t="n">
        <v>84.24440265860221</v>
      </c>
      <c r="Q175" s="121" t="n">
        <v>120.8964011155872</v>
      </c>
    </row>
    <row r="176">
      <c r="C176" s="112" t="n">
        <v>44593</v>
      </c>
      <c r="D176" s="112" t="n">
        <v>44620</v>
      </c>
      <c r="E176" s="120" t="inlineStr">
        <is>
          <t>grid_1mk3z2wn.xlsx</t>
        </is>
      </c>
      <c r="F176" s="121" t="n">
        <v>213.3285566135021</v>
      </c>
      <c r="G176" s="121" t="n">
        <v>108.3821027963561</v>
      </c>
      <c r="H176" s="121" t="n">
        <v>115.5178668116731</v>
      </c>
      <c r="I176" s="121" t="n">
        <v>116.4632806484294</v>
      </c>
      <c r="J176" s="121" t="n">
        <v>232.6606575662297</v>
      </c>
      <c r="K176" s="121" t="n">
        <v>104.2704651543003</v>
      </c>
      <c r="L176" s="121" t="n">
        <v>192.5513619257877</v>
      </c>
      <c r="M176" s="121" t="n">
        <v>136.7987926358309</v>
      </c>
      <c r="N176" s="121" t="n">
        <v>133.1350015319346</v>
      </c>
      <c r="O176" s="121" t="n">
        <v>237.0921469280477</v>
      </c>
      <c r="P176" s="121" t="n">
        <v>85.63540144051832</v>
      </c>
      <c r="Q176" s="121" t="n">
        <v>115.0123453363737</v>
      </c>
    </row>
    <row r="177">
      <c r="C177" s="112" t="n">
        <v>44621</v>
      </c>
      <c r="D177" s="112" t="n">
        <v>44651</v>
      </c>
      <c r="E177" s="120" t="inlineStr">
        <is>
          <t>grid_1mk3z2wn.xlsx</t>
        </is>
      </c>
      <c r="F177" s="121" t="n">
        <v>227.9696391361436</v>
      </c>
      <c r="G177" s="121" t="n">
        <v>110.2297008827652</v>
      </c>
      <c r="H177" s="121" t="n">
        <v>116.7724637181603</v>
      </c>
      <c r="I177" s="121" t="n">
        <v>113.1846406690552</v>
      </c>
      <c r="J177" s="121" t="n">
        <v>273.6629602089507</v>
      </c>
      <c r="K177" s="121" t="n">
        <v>106.1725200775655</v>
      </c>
      <c r="L177" s="121" t="n">
        <v>214.4538007884547</v>
      </c>
      <c r="M177" s="121" t="n">
        <v>143.350351413336</v>
      </c>
      <c r="N177" s="121" t="n">
        <v>139.494261934561</v>
      </c>
      <c r="O177" s="121" t="n">
        <v>254.7058203583163</v>
      </c>
      <c r="P177" s="121" t="n">
        <v>87.04366033187118</v>
      </c>
      <c r="Q177" s="121" t="n">
        <v>121.1933233234383</v>
      </c>
    </row>
    <row r="178">
      <c r="C178" s="112" t="n">
        <v>44652</v>
      </c>
      <c r="D178" s="112" t="n">
        <v>44680</v>
      </c>
      <c r="E178" s="120" t="inlineStr">
        <is>
          <t>grid_1mk3z2wn.xlsx</t>
        </is>
      </c>
      <c r="F178" s="121" t="n">
        <v>243.7449410531384</v>
      </c>
      <c r="G178" s="121" t="n">
        <v>104.690064403813</v>
      </c>
      <c r="H178" s="121" t="n">
        <v>127.2809913064926</v>
      </c>
      <c r="I178" s="121" t="n">
        <v>122.9873827441698</v>
      </c>
      <c r="J178" s="121" t="n">
        <v>279.8972183988031</v>
      </c>
      <c r="K178" s="121" t="n">
        <v>107.676519254707</v>
      </c>
      <c r="L178" s="121" t="n">
        <v>211.4925889516589</v>
      </c>
      <c r="M178" s="121" t="n">
        <v>145.2896321720703</v>
      </c>
      <c r="N178" s="121" t="n">
        <v>150.9754339750325</v>
      </c>
      <c r="O178" s="121" t="n">
        <v>279.6418642901893</v>
      </c>
      <c r="P178" s="121" t="n">
        <v>90.28743050397024</v>
      </c>
      <c r="Q178" s="121" t="n">
        <v>116.9193965680992</v>
      </c>
    </row>
    <row r="179">
      <c r="C179" s="112" t="n">
        <v>44682</v>
      </c>
      <c r="D179" s="112" t="n">
        <v>44712</v>
      </c>
      <c r="E179" s="120" t="inlineStr">
        <is>
          <t>grid_1mk3z2wn.xlsx</t>
        </is>
      </c>
      <c r="F179" s="121" t="n">
        <v>248.702356557949</v>
      </c>
      <c r="G179" s="121" t="n">
        <v>103.8138620165301</v>
      </c>
      <c r="H179" s="121" t="n">
        <v>138.5600122488932</v>
      </c>
      <c r="I179" s="121" t="n">
        <v>112.6096615548071</v>
      </c>
      <c r="J179" s="121" t="n">
        <v>295.319481178421</v>
      </c>
      <c r="K179" s="121" t="n">
        <v>113.9480267278391</v>
      </c>
      <c r="L179" s="121" t="n">
        <v>215.2911176371077</v>
      </c>
      <c r="M179" s="121" t="n">
        <v>146.5984399728281</v>
      </c>
      <c r="N179" s="121" t="n">
        <v>153.7845491108991</v>
      </c>
      <c r="O179" s="121" t="n">
        <v>272.1895678737182</v>
      </c>
      <c r="P179" s="121" t="n">
        <v>95.15330821778399</v>
      </c>
      <c r="Q179" s="121" t="n">
        <v>126.9842795803455</v>
      </c>
    </row>
    <row r="180">
      <c r="C180" s="112" t="n">
        <v>44713</v>
      </c>
      <c r="D180" s="112" t="n">
        <v>44742</v>
      </c>
      <c r="E180" s="120" t="inlineStr">
        <is>
          <t>grid_1mk3z2wn.xlsx</t>
        </is>
      </c>
      <c r="F180" s="121" t="n">
        <v>258.5461300355431</v>
      </c>
      <c r="G180" s="121" t="n">
        <v>100.8689491813529</v>
      </c>
      <c r="H180" s="121" t="n">
        <v>133.7341660814054</v>
      </c>
      <c r="I180" s="121" t="n">
        <v>113.4990379119049</v>
      </c>
      <c r="J180" s="121" t="n">
        <v>323.5731432973046</v>
      </c>
      <c r="K180" s="121" t="n">
        <v>118.8546116020032</v>
      </c>
      <c r="L180" s="121" t="n">
        <v>199.5209847114167</v>
      </c>
      <c r="M180" s="121" t="n">
        <v>167.1113404808572</v>
      </c>
      <c r="N180" s="121" t="n">
        <v>158.7417826392739</v>
      </c>
      <c r="O180" s="121" t="n">
        <v>273.0726198757245</v>
      </c>
      <c r="P180" s="121" t="n">
        <v>95.69222402852287</v>
      </c>
      <c r="Q180" s="121" t="n">
        <v>166.0031722913245</v>
      </c>
    </row>
    <row r="181">
      <c r="C181" s="112" t="n">
        <v>44743</v>
      </c>
      <c r="D181" s="112" t="n">
        <v>44771</v>
      </c>
      <c r="E181" s="120" t="inlineStr">
        <is>
          <t>grid_1mk3z2wn.xlsx</t>
        </is>
      </c>
      <c r="F181" s="121" t="n">
        <v>256.1502271314952</v>
      </c>
      <c r="G181" s="121" t="n">
        <v>96.55078076647865</v>
      </c>
      <c r="H181" s="121" t="n">
        <v>135.1973614492883</v>
      </c>
      <c r="I181" s="121" t="n">
        <v>111.7413554851311</v>
      </c>
      <c r="J181" s="121" t="n">
        <v>330.2112527762024</v>
      </c>
      <c r="K181" s="121" t="n">
        <v>119.7078652607101</v>
      </c>
      <c r="L181" s="121" t="n">
        <v>204.8893907106195</v>
      </c>
      <c r="M181" s="121" t="n">
        <v>180.3596649699213</v>
      </c>
      <c r="N181" s="121" t="n">
        <v>158.434257261795</v>
      </c>
      <c r="O181" s="121" t="n">
        <v>243.6321948915332</v>
      </c>
      <c r="P181" s="121" t="n">
        <v>98.6480215719112</v>
      </c>
      <c r="Q181" s="121" t="n">
        <v>159.3572908080905</v>
      </c>
    </row>
    <row r="182">
      <c r="C182" s="112" t="n">
        <v>44774</v>
      </c>
      <c r="D182" s="112" t="n">
        <v>44804</v>
      </c>
      <c r="E182" s="120" t="inlineStr">
        <is>
          <t>grid_1mk3z2wn.xlsx</t>
        </is>
      </c>
      <c r="F182" s="121" t="n">
        <v>247.2039108747676</v>
      </c>
      <c r="G182" s="121" t="n">
        <v>88.94333994392751</v>
      </c>
      <c r="H182" s="121" t="n">
        <v>133.5763569052067</v>
      </c>
      <c r="I182" s="121" t="n">
        <v>113.0977014046565</v>
      </c>
      <c r="J182" s="121" t="n">
        <v>338.2666900987785</v>
      </c>
      <c r="K182" s="121" t="n">
        <v>120.9114244955329</v>
      </c>
      <c r="L182" s="121" t="n">
        <v>202.1341037082602</v>
      </c>
      <c r="M182" s="121" t="n">
        <v>176.2902386035539</v>
      </c>
      <c r="N182" s="121" t="n">
        <v>153.1005984823449</v>
      </c>
      <c r="O182" s="121" t="n">
        <v>233.5700034081112</v>
      </c>
      <c r="P182" s="121" t="n">
        <v>100.824976807634</v>
      </c>
      <c r="Q182" s="121" t="n">
        <v>141.3623704430941</v>
      </c>
    </row>
    <row r="183">
      <c r="C183" s="112" t="n">
        <v>44805</v>
      </c>
      <c r="D183" s="112" t="n">
        <v>44834</v>
      </c>
      <c r="E183" s="120" t="inlineStr">
        <is>
          <t>grid_1mk3z2wn.xlsx</t>
        </is>
      </c>
      <c r="F183" s="121" t="n">
        <v>235.629200937118</v>
      </c>
      <c r="G183" s="121" t="n">
        <v>85.89710292047489</v>
      </c>
      <c r="H183" s="121" t="n">
        <v>130.8263465231851</v>
      </c>
      <c r="I183" s="121" t="n">
        <v>109.1961174914101</v>
      </c>
      <c r="J183" s="121" t="n">
        <v>321.5038252277811</v>
      </c>
      <c r="K183" s="121" t="n">
        <v>123.7128406917677</v>
      </c>
      <c r="L183" s="121" t="n">
        <v>204.1788717698052</v>
      </c>
      <c r="M183" s="121" t="n">
        <v>195.333960503376</v>
      </c>
      <c r="N183" s="121" t="n">
        <v>159.3910244490449</v>
      </c>
      <c r="O183" s="121" t="n">
        <v>233.5753520159853</v>
      </c>
      <c r="P183" s="121" t="n">
        <v>101.3602328131496</v>
      </c>
      <c r="Q183" s="121" t="n">
        <v>151.8780514168166</v>
      </c>
    </row>
    <row r="184">
      <c r="C184" s="112" t="n">
        <v>44835</v>
      </c>
      <c r="D184" s="112" t="n">
        <v>44865</v>
      </c>
      <c r="E184" s="120" t="inlineStr">
        <is>
          <t>grid_1mk3z2wn.xlsx</t>
        </is>
      </c>
      <c r="F184" s="121" t="n">
        <v>215.5198640358759</v>
      </c>
      <c r="G184" s="121" t="n">
        <v>85.13256889142782</v>
      </c>
      <c r="H184" s="121" t="n">
        <v>137.9921254482415</v>
      </c>
      <c r="I184" s="121" t="n">
        <v>107.1551023028589</v>
      </c>
      <c r="J184" s="121" t="n">
        <v>313.9709859061489</v>
      </c>
      <c r="K184" s="121" t="n">
        <v>122.298070769684</v>
      </c>
      <c r="L184" s="121" t="n">
        <v>208.8396994931193</v>
      </c>
      <c r="M184" s="121" t="n">
        <v>204.8999466660227</v>
      </c>
      <c r="N184" s="121" t="n">
        <v>163.3968449732874</v>
      </c>
      <c r="O184" s="121" t="n">
        <v>200.1433375366894</v>
      </c>
      <c r="P184" s="121" t="n">
        <v>101.5777458278984</v>
      </c>
      <c r="Q184" s="121" t="n">
        <v>163.5492358752323</v>
      </c>
    </row>
    <row r="185">
      <c r="C185" s="112" t="n">
        <v>44866</v>
      </c>
      <c r="D185" s="112" t="n">
        <v>44895</v>
      </c>
      <c r="E185" s="120" t="inlineStr">
        <is>
          <t>grid_1mk3z2wn.xlsx</t>
        </is>
      </c>
      <c r="F185" s="121" t="n">
        <v>220.3535045969731</v>
      </c>
      <c r="G185" s="121" t="n">
        <v>86.61122740067813</v>
      </c>
      <c r="H185" s="121" t="n">
        <v>149.2746242596801</v>
      </c>
      <c r="I185" s="121" t="n">
        <v>110.9728990112674</v>
      </c>
      <c r="J185" s="121" t="n">
        <v>294.2777234990581</v>
      </c>
      <c r="K185" s="121" t="n">
        <v>119.5073889848149</v>
      </c>
      <c r="L185" s="121" t="n">
        <v>218.4885816395692</v>
      </c>
      <c r="M185" s="121" t="n">
        <v>217.3187679148819</v>
      </c>
      <c r="N185" s="121" t="n">
        <v>173.1715241378451</v>
      </c>
      <c r="O185" s="121" t="n">
        <v>204.5191461186057</v>
      </c>
      <c r="P185" s="121" t="n">
        <v>103.4814067650699</v>
      </c>
      <c r="Q185" s="121" t="n">
        <v>170.7044389600876</v>
      </c>
    </row>
    <row r="186">
      <c r="C186" s="112" t="n">
        <v>44896</v>
      </c>
      <c r="D186" s="112" t="n">
        <v>44925</v>
      </c>
      <c r="E186" s="120" t="inlineStr">
        <is>
          <t>grid_1mk3z2wn.xlsx</t>
        </is>
      </c>
      <c r="F186" s="121" t="n">
        <v>204.6567081967768</v>
      </c>
      <c r="G186" s="121" t="n">
        <v>87.09793507395941</v>
      </c>
      <c r="H186" s="121" t="n">
        <v>112.7699690535491</v>
      </c>
      <c r="I186" s="121" t="n">
        <v>103.0868706754309</v>
      </c>
      <c r="J186" s="121" t="n">
        <v>254.3834683637841</v>
      </c>
      <c r="K186" s="121" t="n">
        <v>119.9527645928726</v>
      </c>
      <c r="L186" s="121" t="n">
        <v>223.1823253524161</v>
      </c>
      <c r="M186" s="121" t="n">
        <v>224.5298679875826</v>
      </c>
      <c r="N186" s="121" t="n">
        <v>183.0643651474034</v>
      </c>
      <c r="O186" s="121" t="n">
        <v>195.1211300390725</v>
      </c>
      <c r="P186" s="121" t="n">
        <v>106.3194020627358</v>
      </c>
      <c r="Q186" s="121" t="n">
        <v>155.9607123647533</v>
      </c>
    </row>
    <row r="187">
      <c r="C187" s="112" t="n">
        <v>44927</v>
      </c>
      <c r="D187" s="112" t="n">
        <v>44957</v>
      </c>
      <c r="E187" s="120" t="inlineStr">
        <is>
          <t>grid_22fp35k1.xlsx</t>
        </is>
      </c>
      <c r="F187" s="121" t="n">
        <v>197.7913703162732</v>
      </c>
      <c r="G187" s="121" t="n">
        <v>86.8650468333412</v>
      </c>
      <c r="H187" s="121" t="n">
        <v>114.4311936905213</v>
      </c>
      <c r="I187" s="121" t="n">
        <v>90.51577285095604</v>
      </c>
      <c r="J187" s="121" t="n">
        <v>219.2021246581746</v>
      </c>
      <c r="K187" s="121" t="n">
        <v>121.387259522671</v>
      </c>
      <c r="L187" s="121" t="n">
        <v>203.9291748266427</v>
      </c>
      <c r="M187" s="121" t="n">
        <v>218.5992139724684</v>
      </c>
      <c r="N187" s="121" t="n">
        <v>191.4602159147435</v>
      </c>
      <c r="O187" s="121" t="n">
        <v>197.7681433815792</v>
      </c>
      <c r="P187" s="121" t="n">
        <v>110.123664455507</v>
      </c>
      <c r="Q187" s="121" t="n">
        <v>163.5307103307389</v>
      </c>
    </row>
    <row r="188">
      <c r="C188" s="112" t="n">
        <v>44958</v>
      </c>
      <c r="D188" s="112" t="n">
        <v>44985</v>
      </c>
      <c r="E188" s="120" t="inlineStr">
        <is>
          <t>grid_22fp35k1.xlsx</t>
        </is>
      </c>
      <c r="F188" s="121" t="n">
        <v>212.9936304670478</v>
      </c>
      <c r="G188" s="121" t="n">
        <v>86.74276442754422</v>
      </c>
      <c r="H188" s="121" t="n">
        <v>110.3804601503242</v>
      </c>
      <c r="I188" s="121" t="n">
        <v>94.51439703734098</v>
      </c>
      <c r="J188" s="121" t="n">
        <v>258.7191501408911</v>
      </c>
      <c r="K188" s="121" t="n">
        <v>124.1104003941904</v>
      </c>
      <c r="L188" s="121" t="n">
        <v>203.0536137536068</v>
      </c>
      <c r="M188" s="121" t="n">
        <v>227.1275146590608</v>
      </c>
      <c r="N188" s="121" t="n">
        <v>198.156680047511</v>
      </c>
      <c r="O188" s="121" t="n">
        <v>193.9903000903757</v>
      </c>
      <c r="P188" s="121" t="n">
        <v>115.9157643425313</v>
      </c>
      <c r="Q188" s="121" t="n">
        <v>163.9200720742097</v>
      </c>
    </row>
    <row r="189">
      <c r="C189" s="112" t="n">
        <v>44986</v>
      </c>
      <c r="D189" s="112" t="n">
        <v>45016</v>
      </c>
      <c r="E189" s="120" t="inlineStr">
        <is>
          <t>grid_22fp35k1.xlsx</t>
        </is>
      </c>
      <c r="F189" s="121" t="n">
        <v>206.7258970881919</v>
      </c>
      <c r="G189" s="121" t="n">
        <v>86.50841013215113</v>
      </c>
      <c r="H189" s="121" t="n">
        <v>115.3795557869863</v>
      </c>
      <c r="I189" s="121" t="n">
        <v>97.5000802588483</v>
      </c>
      <c r="J189" s="121" t="n">
        <v>247.6382420928255</v>
      </c>
      <c r="K189" s="121" t="n">
        <v>123.7907393422733</v>
      </c>
      <c r="L189" s="121" t="n">
        <v>206.9454801801029</v>
      </c>
      <c r="M189" s="121" t="n">
        <v>222.396320134368</v>
      </c>
      <c r="N189" s="121" t="n">
        <v>205.758962608602</v>
      </c>
      <c r="O189" s="121" t="n">
        <v>201.545632796558</v>
      </c>
      <c r="P189" s="121" t="n">
        <v>122.8919849500756</v>
      </c>
      <c r="Q189" s="121" t="n">
        <v>166.1356800466229</v>
      </c>
    </row>
    <row r="190">
      <c r="C190" s="112" t="n">
        <v>45017</v>
      </c>
      <c r="D190" s="112" t="n">
        <v>45044</v>
      </c>
      <c r="E190" s="120" t="inlineStr">
        <is>
          <t>grid_22fp35k1.xlsx</t>
        </is>
      </c>
      <c r="F190" s="121" t="n">
        <v>192.6713950423809</v>
      </c>
      <c r="G190" s="121" t="n">
        <v>88.36703596464376</v>
      </c>
      <c r="H190" s="121" t="n">
        <v>116.1799387944111</v>
      </c>
      <c r="I190" s="121" t="n">
        <v>100.3568414157873</v>
      </c>
      <c r="J190" s="121" t="n">
        <v>243.5969069310985</v>
      </c>
      <c r="K190" s="121" t="n">
        <v>123.448092872854</v>
      </c>
      <c r="L190" s="121" t="n">
        <v>207.1195333646883</v>
      </c>
      <c r="M190" s="121" t="n">
        <v>226.3503787873503</v>
      </c>
      <c r="N190" s="121" t="n">
        <v>198.7936813211258</v>
      </c>
      <c r="O190" s="121" t="n">
        <v>170.9222775271896</v>
      </c>
      <c r="P190" s="121" t="n">
        <v>118.6716122798976</v>
      </c>
      <c r="Q190" s="121" t="n">
        <v>162.9224579714594</v>
      </c>
    </row>
    <row r="191">
      <c r="C191" s="112" t="n">
        <v>45047</v>
      </c>
      <c r="D191" s="112" t="n">
        <v>45077</v>
      </c>
      <c r="E191" s="120" t="inlineStr">
        <is>
          <t>grid_22fp35k1.xlsx</t>
        </is>
      </c>
      <c r="F191" s="121" t="n">
        <v>187.0714838848419</v>
      </c>
      <c r="G191" s="121" t="n">
        <v>90.63446290882916</v>
      </c>
      <c r="H191" s="121" t="n">
        <v>111.6322040153893</v>
      </c>
      <c r="I191" s="121" t="n">
        <v>102.7001542502416</v>
      </c>
      <c r="J191" s="121" t="n">
        <v>244.7945165920434</v>
      </c>
      <c r="K191" s="121" t="n">
        <v>123.4939438233226</v>
      </c>
      <c r="L191" s="121" t="n">
        <v>206.6958866041377</v>
      </c>
      <c r="M191" s="121" t="n">
        <v>222.0450069891473</v>
      </c>
      <c r="N191" s="121" t="n">
        <v>183.9225199025395</v>
      </c>
      <c r="O191" s="121" t="n">
        <v>162.0559729789622</v>
      </c>
      <c r="P191" s="121" t="n">
        <v>159.4854892883038</v>
      </c>
      <c r="Q191" s="121" t="n">
        <v>182.6711973944773</v>
      </c>
    </row>
    <row r="192">
      <c r="C192" s="112" t="n">
        <v>45078</v>
      </c>
      <c r="D192" s="112" t="n">
        <v>45107</v>
      </c>
      <c r="E192" s="120" t="inlineStr">
        <is>
          <t>grid_22fp35k1.xlsx</t>
        </is>
      </c>
      <c r="F192" s="121" t="n">
        <v>181.8026264067594</v>
      </c>
      <c r="G192" s="121" t="n">
        <v>93.84780424392645</v>
      </c>
      <c r="H192" s="121" t="n">
        <v>93.05450444725749</v>
      </c>
      <c r="I192" s="121" t="n">
        <v>101.7095997733002</v>
      </c>
      <c r="J192" s="121" t="n">
        <v>239.8957178013087</v>
      </c>
      <c r="K192" s="121" t="n">
        <v>125.1868710900685</v>
      </c>
      <c r="L192" s="121" t="n">
        <v>211.4568181051394</v>
      </c>
      <c r="M192" s="121" t="n">
        <v>225.7960209129276</v>
      </c>
      <c r="N192" s="121" t="n">
        <v>185.1196775307374</v>
      </c>
      <c r="O192" s="121" t="n">
        <v>149.0600445380879</v>
      </c>
      <c r="P192" s="121" t="n">
        <v>160.2491850008869</v>
      </c>
      <c r="Q192" s="121" t="n">
        <v>160.5310384943395</v>
      </c>
    </row>
    <row r="193">
      <c r="C193" s="112" t="n">
        <v>45108</v>
      </c>
      <c r="D193" s="112" t="n">
        <v>45138</v>
      </c>
      <c r="E193" s="120" t="inlineStr">
        <is>
          <t>grid_22fp35k1.xlsx</t>
        </is>
      </c>
      <c r="F193" s="121" t="n">
        <v>180.9886929975631</v>
      </c>
      <c r="G193" s="121" t="n">
        <v>94.82912867590451</v>
      </c>
      <c r="H193" s="121" t="n">
        <v>97.07841724289959</v>
      </c>
      <c r="I193" s="121" t="n">
        <v>95.79830982676253</v>
      </c>
      <c r="J193" s="121" t="n">
        <v>233.8618952335049</v>
      </c>
      <c r="K193" s="121" t="n">
        <v>125.8539078636617</v>
      </c>
      <c r="L193" s="121" t="n">
        <v>225.8531423265672</v>
      </c>
      <c r="M193" s="121" t="n">
        <v>232.8195658370529</v>
      </c>
      <c r="N193" s="121" t="n">
        <v>192.3902529972918</v>
      </c>
      <c r="O193" s="121" t="n">
        <v>139.0125949743514</v>
      </c>
      <c r="P193" s="121" t="n">
        <v>167.5316775886527</v>
      </c>
      <c r="Q193" s="121" t="n">
        <v>165.3517924651327</v>
      </c>
    </row>
    <row r="194">
      <c r="C194" s="112" t="n">
        <v>45139</v>
      </c>
      <c r="D194" s="112" t="n">
        <v>45169</v>
      </c>
      <c r="E194" s="120" t="inlineStr">
        <is>
          <t>grid_22fp35k1.xlsx</t>
        </is>
      </c>
      <c r="F194" s="121" t="n">
        <v>189.2848848366537</v>
      </c>
      <c r="G194" s="121" t="n">
        <v>100.0202984308375</v>
      </c>
      <c r="H194" s="121" t="n">
        <v>114.3437862369084</v>
      </c>
      <c r="I194" s="121" t="n">
        <v>99.10147755750151</v>
      </c>
      <c r="J194" s="121" t="n">
        <v>243.0761263098343</v>
      </c>
      <c r="K194" s="121" t="n">
        <v>127.4012817265255</v>
      </c>
      <c r="L194" s="121" t="n">
        <v>234.3751958398273</v>
      </c>
      <c r="M194" s="121" t="n">
        <v>232.1096938490379</v>
      </c>
      <c r="N194" s="121" t="n">
        <v>190.3808570264744</v>
      </c>
      <c r="O194" s="121" t="n">
        <v>131.7681369051211</v>
      </c>
      <c r="P194" s="121" t="n">
        <v>162.2424902559533</v>
      </c>
      <c r="Q194" s="121" t="n">
        <v>171.6416419739594</v>
      </c>
    </row>
    <row r="195">
      <c r="C195" s="112" t="n">
        <v>45170</v>
      </c>
      <c r="D195" s="112" t="n">
        <v>45198</v>
      </c>
      <c r="E195" s="120" t="inlineStr">
        <is>
          <t>grid_22fp35k1.xlsx</t>
        </is>
      </c>
      <c r="F195" s="121" t="n">
        <v>194.9352099849333</v>
      </c>
      <c r="G195" s="121" t="n">
        <v>106.5403181439933</v>
      </c>
      <c r="H195" s="121" t="n">
        <v>127.3377469585147</v>
      </c>
      <c r="I195" s="121" t="n">
        <v>94.26385973935716</v>
      </c>
      <c r="J195" s="121" t="n">
        <v>240.1431946739976</v>
      </c>
      <c r="K195" s="121" t="n">
        <v>129.645791568909</v>
      </c>
      <c r="L195" s="121" t="n">
        <v>238.9315892750206</v>
      </c>
      <c r="M195" s="121" t="n">
        <v>238.9805622952513</v>
      </c>
      <c r="N195" s="121" t="n">
        <v>189.8394511088885</v>
      </c>
      <c r="O195" s="121" t="n">
        <v>140.4423230744192</v>
      </c>
      <c r="P195" s="121" t="n">
        <v>154.0768480411535</v>
      </c>
      <c r="Q195" s="121" t="n">
        <v>193.5747502996625</v>
      </c>
    </row>
    <row r="196">
      <c r="C196" s="112" t="n">
        <v>45200</v>
      </c>
      <c r="D196" s="112" t="n">
        <v>45230</v>
      </c>
      <c r="E196" s="120" t="inlineStr">
        <is>
          <t>grid_22fp35k1.xlsx</t>
        </is>
      </c>
      <c r="F196" s="121" t="n">
        <v>211.5860850520744</v>
      </c>
      <c r="G196" s="121" t="n">
        <v>108.8370302316036</v>
      </c>
      <c r="H196" s="121" t="n">
        <v>143.7146753688801</v>
      </c>
      <c r="I196" s="121" t="n">
        <v>95.97340946127966</v>
      </c>
      <c r="J196" s="121" t="n">
        <v>256.7894247473623</v>
      </c>
      <c r="K196" s="121" t="n">
        <v>133.3083843595387</v>
      </c>
      <c r="L196" s="121" t="n">
        <v>244.2087266818814</v>
      </c>
      <c r="M196" s="121" t="n">
        <v>238.3632344297982</v>
      </c>
      <c r="N196" s="121" t="n">
        <v>196.3992952598803</v>
      </c>
      <c r="O196" s="121" t="n">
        <v>150.868332422449</v>
      </c>
      <c r="P196" s="121" t="n">
        <v>157.8742597485665</v>
      </c>
      <c r="Q196" s="121" t="n">
        <v>200.9362501484864</v>
      </c>
    </row>
    <row r="197">
      <c r="C197" s="112" t="n">
        <v>45231</v>
      </c>
      <c r="D197" s="112" t="n">
        <v>45260</v>
      </c>
      <c r="E197" s="120" t="inlineStr">
        <is>
          <t>grid_22fp35k1.xlsx</t>
        </is>
      </c>
      <c r="F197" s="121" t="n">
        <v>203.8287790089487</v>
      </c>
      <c r="G197" s="121" t="n">
        <v>112.0482285959441</v>
      </c>
      <c r="H197" s="121" t="n">
        <v>155.293637115019</v>
      </c>
      <c r="I197" s="121" t="n">
        <v>91.44394924840937</v>
      </c>
      <c r="J197" s="121" t="n">
        <v>259.8339411888109</v>
      </c>
      <c r="K197" s="121" t="n">
        <v>133.2648537009743</v>
      </c>
      <c r="L197" s="121" t="n">
        <v>253.3925548208677</v>
      </c>
      <c r="M197" s="121" t="n">
        <v>241.0229432653519</v>
      </c>
      <c r="N197" s="121" t="n">
        <v>206.8082362415644</v>
      </c>
      <c r="O197" s="121" t="n">
        <v>153.5809943870108</v>
      </c>
      <c r="P197" s="121" t="n">
        <v>150.9193545520522</v>
      </c>
      <c r="Q197" s="121" t="n">
        <v>198.7957426008437</v>
      </c>
    </row>
    <row r="198">
      <c r="C198" s="112" t="n">
        <v>45261</v>
      </c>
      <c r="D198" s="112" t="n">
        <v>45289</v>
      </c>
      <c r="E198" s="120" t="inlineStr">
        <is>
          <t>grid_22fp35k1.xlsx</t>
        </is>
      </c>
      <c r="F198" s="121" t="n">
        <v>209.91772122642</v>
      </c>
      <c r="G198" s="121" t="n">
        <v>112.0307351875606</v>
      </c>
      <c r="H198" s="121" t="n">
        <v>154.8451994099877</v>
      </c>
      <c r="I198" s="121" t="n">
        <v>90.62571844432331</v>
      </c>
      <c r="J198" s="121" t="n">
        <v>273.0534616901298</v>
      </c>
      <c r="K198" s="121" t="n">
        <v>134.180400518767</v>
      </c>
      <c r="L198" s="121" t="n">
        <v>263.6215161431084</v>
      </c>
      <c r="M198" s="121" t="n">
        <v>249.3814198560714</v>
      </c>
      <c r="N198" s="121" t="n">
        <v>213.5719117641424</v>
      </c>
      <c r="O198" s="121" t="n">
        <v>159.2002760934272</v>
      </c>
      <c r="P198" s="121" t="n">
        <v>139.1102846474393</v>
      </c>
      <c r="Q198" s="121" t="n">
        <v>196.3303157964206</v>
      </c>
    </row>
    <row r="199">
      <c r="C199" s="112" t="n">
        <v>45292</v>
      </c>
      <c r="D199" s="112" t="n">
        <v>45322</v>
      </c>
      <c r="E199" s="120" t="inlineStr">
        <is>
          <t>grid_22fp35k1.xlsx</t>
        </is>
      </c>
      <c r="F199" s="121" t="n">
        <v>211.813760077414</v>
      </c>
      <c r="G199" s="121" t="n">
        <v>115.4714559250874</v>
      </c>
      <c r="H199" s="121" t="n">
        <v>167.1660531816921</v>
      </c>
      <c r="I199" s="121" t="n">
        <v>99.55752810655686</v>
      </c>
      <c r="J199" s="121" t="n">
        <v>261.4475933968628</v>
      </c>
      <c r="K199" s="121" t="n">
        <v>137.0753611944942</v>
      </c>
      <c r="L199" s="121" t="n">
        <v>267.9352522761131</v>
      </c>
      <c r="M199" s="121" t="n">
        <v>250.8387853467359</v>
      </c>
      <c r="N199" s="121" t="n">
        <v>214.7574929135919</v>
      </c>
      <c r="O199" s="121" t="n">
        <v>166.5043471031788</v>
      </c>
      <c r="P199" s="121" t="n">
        <v>135.2126081959066</v>
      </c>
      <c r="Q199" s="121" t="n">
        <v>180.4815349864973</v>
      </c>
    </row>
    <row r="200">
      <c r="C200" s="112" t="n">
        <v>45323</v>
      </c>
      <c r="D200" s="112" t="n">
        <v>45351</v>
      </c>
      <c r="E200" s="120" t="inlineStr">
        <is>
          <t>grid_22fp35k1.xlsx</t>
        </is>
      </c>
      <c r="F200" s="121" t="n">
        <v>207.3710194015535</v>
      </c>
      <c r="G200" s="121" t="n">
        <v>117.8089445736311</v>
      </c>
      <c r="H200" s="121" t="n">
        <v>175.8418203200353</v>
      </c>
      <c r="I200" s="121" t="n">
        <v>94.02106734960283</v>
      </c>
      <c r="J200" s="121" t="n">
        <v>258.9248638678772</v>
      </c>
      <c r="K200" s="121" t="n">
        <v>137.9470911017633</v>
      </c>
      <c r="L200" s="121" t="n">
        <v>269.3445515320781</v>
      </c>
      <c r="M200" s="121" t="n">
        <v>257.483485773066</v>
      </c>
      <c r="N200" s="121" t="n">
        <v>213.9660463837598</v>
      </c>
      <c r="O200" s="121" t="n">
        <v>161.4072896947179</v>
      </c>
      <c r="P200" s="121" t="n">
        <v>135.78494724844</v>
      </c>
      <c r="Q200" s="121" t="n">
        <v>186.4692477182576</v>
      </c>
    </row>
    <row r="201">
      <c r="C201" s="112" t="n">
        <v>45352</v>
      </c>
      <c r="D201" s="112" t="n">
        <v>45380</v>
      </c>
      <c r="E201" s="120" t="inlineStr">
        <is>
          <t>grid_22fp35k1.xlsx</t>
        </is>
      </c>
      <c r="F201" s="121" t="n">
        <v>197.8630638712398</v>
      </c>
      <c r="G201" s="121" t="n">
        <v>119.2234712625823</v>
      </c>
      <c r="H201" s="121" t="n">
        <v>179.1018681164374</v>
      </c>
      <c r="I201" s="121" t="n">
        <v>89.63971346877695</v>
      </c>
      <c r="J201" s="121" t="n">
        <v>249.8781775915859</v>
      </c>
      <c r="K201" s="121" t="n">
        <v>139.9406324378594</v>
      </c>
      <c r="L201" s="121" t="n">
        <v>279.6099273513217</v>
      </c>
      <c r="M201" s="121" t="n">
        <v>254.00117705864</v>
      </c>
      <c r="N201" s="121" t="n">
        <v>209.5138459795739</v>
      </c>
      <c r="O201" s="121" t="n">
        <v>151.6617863672784</v>
      </c>
      <c r="P201" s="121" t="n">
        <v>140.1758332335735</v>
      </c>
      <c r="Q201" s="121" t="n">
        <v>189.4939988981969</v>
      </c>
    </row>
    <row r="202">
      <c r="C202" s="112" t="n">
        <v>45383</v>
      </c>
      <c r="D202" s="112" t="n">
        <v>45412</v>
      </c>
      <c r="E202" s="120" t="inlineStr">
        <is>
          <t>grid_22fp35k1.xlsx</t>
        </is>
      </c>
      <c r="F202" s="121" t="n">
        <v>217.023101540184</v>
      </c>
      <c r="G202" s="121" t="n">
        <v>120.0292484743767</v>
      </c>
      <c r="H202" s="121" t="n">
        <v>182.8017648188869</v>
      </c>
      <c r="I202" s="121" t="n">
        <v>95.09440436660606</v>
      </c>
      <c r="J202" s="121" t="n">
        <v>273.700103512964</v>
      </c>
      <c r="K202" s="121" t="n">
        <v>140.4108510556798</v>
      </c>
      <c r="L202" s="121" t="n">
        <v>281.2186081630007</v>
      </c>
      <c r="M202" s="121" t="n">
        <v>259.4319969214409</v>
      </c>
      <c r="N202" s="121" t="n">
        <v>216.0244967498729</v>
      </c>
      <c r="O202" s="121" t="n">
        <v>139.9855965239286</v>
      </c>
      <c r="P202" s="121" t="n">
        <v>137.2651833441907</v>
      </c>
      <c r="Q202" s="121" t="n">
        <v>185.9614203234093</v>
      </c>
    </row>
    <row r="203">
      <c r="C203" s="112" t="n">
        <v>45413</v>
      </c>
      <c r="D203" s="112" t="n">
        <v>45443</v>
      </c>
      <c r="E203" s="120" t="inlineStr">
        <is>
          <t>grid_22fp35k1.xlsx</t>
        </is>
      </c>
      <c r="F203" s="121" t="n">
        <v>210.4571410853838</v>
      </c>
      <c r="G203" s="121" t="n">
        <v>118.6983828873338</v>
      </c>
      <c r="H203" s="121" t="n">
        <v>179.8554069311521</v>
      </c>
      <c r="I203" s="121" t="n">
        <v>104.4240769729167</v>
      </c>
      <c r="J203" s="121" t="n">
        <v>263.0626516107873</v>
      </c>
      <c r="K203" s="121" t="n">
        <v>142.2776536745684</v>
      </c>
      <c r="L203" s="121" t="n">
        <v>288.9785294048146</v>
      </c>
      <c r="M203" s="121" t="n">
        <v>259.0293933562239</v>
      </c>
      <c r="N203" s="121" t="n">
        <v>216.8585436188854</v>
      </c>
      <c r="O203" s="121" t="n">
        <v>148.0524144537793</v>
      </c>
      <c r="P203" s="121" t="n">
        <v>132.8791862691635</v>
      </c>
      <c r="Q203" s="121" t="n">
        <v>185.0890851422004</v>
      </c>
    </row>
    <row r="204">
      <c r="C204" s="112" t="n">
        <v>45444</v>
      </c>
      <c r="D204" s="112" t="n">
        <v>45471</v>
      </c>
      <c r="E204" s="120" t="inlineStr">
        <is>
          <t>grid_22fp35k1.xlsx</t>
        </is>
      </c>
      <c r="F204" s="121" t="n">
        <v>206.45170888178</v>
      </c>
      <c r="G204" s="121" t="n">
        <v>120.9401512618978</v>
      </c>
      <c r="H204" s="121" t="n">
        <v>181.3208607518001</v>
      </c>
      <c r="I204" s="121" t="n">
        <v>104.9661196289296</v>
      </c>
      <c r="J204" s="121" t="n">
        <v>248.127206595155</v>
      </c>
      <c r="K204" s="121" t="n">
        <v>145.5170165251861</v>
      </c>
      <c r="L204" s="121" t="n">
        <v>317.3804211140502</v>
      </c>
      <c r="M204" s="121" t="n">
        <v>267.3660083574953</v>
      </c>
      <c r="N204" s="121" t="n">
        <v>215.5623487417418</v>
      </c>
      <c r="O204" s="121" t="n">
        <v>156.646792720334</v>
      </c>
      <c r="P204" s="121" t="n">
        <v>133.5011144035743</v>
      </c>
      <c r="Q204" s="121" t="n">
        <v>183.3483085245228</v>
      </c>
    </row>
    <row r="205">
      <c r="C205" s="112" t="n">
        <v>45474</v>
      </c>
      <c r="D205" s="112" t="n">
        <v>45504</v>
      </c>
      <c r="E205" s="120" t="inlineStr">
        <is>
          <t>grid_22fp35k1.xlsx</t>
        </is>
      </c>
      <c r="F205" s="121" t="n">
        <v>214.2423295292949</v>
      </c>
      <c r="G205" s="121" t="n">
        <v>121.87884911134</v>
      </c>
      <c r="H205" s="121" t="n">
        <v>186.2962193924336</v>
      </c>
      <c r="I205" s="121" t="n">
        <v>107.0235429464503</v>
      </c>
      <c r="J205" s="121" t="n">
        <v>277.9879230317351</v>
      </c>
      <c r="K205" s="121" t="n">
        <v>146.8839262677029</v>
      </c>
      <c r="L205" s="121" t="n">
        <v>318.965756255613</v>
      </c>
      <c r="M205" s="121" t="n">
        <v>280.3649306325202</v>
      </c>
      <c r="N205" s="121" t="n">
        <v>211.8981783752337</v>
      </c>
      <c r="O205" s="121" t="n">
        <v>161.0301422806957</v>
      </c>
      <c r="P205" s="121" t="n">
        <v>135.9348298122257</v>
      </c>
      <c r="Q205" s="121" t="n">
        <v>175.7484448080316</v>
      </c>
    </row>
    <row r="206">
      <c r="C206" s="112" t="n">
        <v>45505</v>
      </c>
      <c r="D206" s="112" t="n">
        <v>45534</v>
      </c>
      <c r="E206" s="120" t="inlineStr">
        <is>
          <t>grid_22fp35k1.xlsx</t>
        </is>
      </c>
      <c r="F206" s="121" t="n">
        <v>202.7699488418423</v>
      </c>
      <c r="G206" s="121" t="n">
        <v>124.0413711500237</v>
      </c>
      <c r="H206" s="121" t="n">
        <v>181.7830816925594</v>
      </c>
      <c r="I206" s="121" t="n">
        <v>111.843314811227</v>
      </c>
      <c r="J206" s="121" t="n">
        <v>256.3093380082904</v>
      </c>
      <c r="K206" s="121" t="n">
        <v>148.9544170863326</v>
      </c>
      <c r="L206" s="121" t="n">
        <v>350.3552738347915</v>
      </c>
      <c r="M206" s="121" t="n">
        <v>281.8782690243344</v>
      </c>
      <c r="N206" s="121" t="n">
        <v>212.3236487183512</v>
      </c>
      <c r="O206" s="121" t="n">
        <v>153.4767201945234</v>
      </c>
      <c r="P206" s="121" t="n">
        <v>136.7010930790783</v>
      </c>
      <c r="Q206" s="121" t="n">
        <v>177.0528031366938</v>
      </c>
    </row>
    <row r="207">
      <c r="C207" s="112" t="n">
        <v>45536</v>
      </c>
      <c r="D207" s="112" t="n">
        <v>45565</v>
      </c>
      <c r="E207" s="120" t="inlineStr">
        <is>
          <t>grid_22fp35k1.xlsx</t>
        </is>
      </c>
      <c r="F207" s="121" t="n">
        <v>191.8951772363379</v>
      </c>
      <c r="G207" s="121" t="n">
        <v>127.9282532430258</v>
      </c>
      <c r="H207" s="121" t="n">
        <v>184.3152867898525</v>
      </c>
      <c r="I207" s="121" t="n">
        <v>115.090585756843</v>
      </c>
      <c r="J207" s="121" t="n">
        <v>232.6322726146762</v>
      </c>
      <c r="K207" s="121" t="n">
        <v>149.2295692243285</v>
      </c>
      <c r="L207" s="121" t="n">
        <v>341.3633979759058</v>
      </c>
      <c r="M207" s="121" t="n">
        <v>267.737949783122</v>
      </c>
      <c r="N207" s="121" t="n">
        <v>218.319904354303</v>
      </c>
      <c r="O207" s="121" t="n">
        <v>154.3065245617742</v>
      </c>
      <c r="P207" s="121" t="n">
        <v>143.81574906272</v>
      </c>
      <c r="Q207" s="121" t="n">
        <v>172.5061379959961</v>
      </c>
    </row>
    <row r="208">
      <c r="C208" s="112" t="n">
        <v>45566</v>
      </c>
      <c r="D208" s="112" t="n">
        <v>45596</v>
      </c>
      <c r="E208" s="120" t="inlineStr">
        <is>
          <t>grid_22fp35k1.xlsx</t>
        </is>
      </c>
      <c r="F208" s="121" t="n">
        <v>196.3027756756574</v>
      </c>
      <c r="G208" s="121" t="n">
        <v>130.6589995074943</v>
      </c>
      <c r="H208" s="121" t="n">
        <v>176.4792465455981</v>
      </c>
      <c r="I208" s="121" t="n">
        <v>117.2840456656636</v>
      </c>
      <c r="J208" s="121" t="n">
        <v>244.7124710069319</v>
      </c>
      <c r="K208" s="121" t="n">
        <v>150.6573275494045</v>
      </c>
      <c r="L208" s="121" t="n">
        <v>340.717084599912</v>
      </c>
      <c r="M208" s="121" t="n">
        <v>287.0051461684679</v>
      </c>
      <c r="N208" s="121" t="n">
        <v>220.8463322615919</v>
      </c>
      <c r="O208" s="121" t="n">
        <v>151.1355070106279</v>
      </c>
      <c r="P208" s="121" t="n">
        <v>143.3281389773326</v>
      </c>
      <c r="Q208" s="121" t="n">
        <v>179.3062856068284</v>
      </c>
    </row>
    <row r="209">
      <c r="C209" s="112" t="n">
        <v>45597</v>
      </c>
      <c r="D209" s="112" t="n">
        <v>45625</v>
      </c>
      <c r="E209" s="120" t="inlineStr">
        <is>
          <t>grid_22fp35k1.xlsx</t>
        </is>
      </c>
      <c r="F209" s="121" t="n">
        <v>210.3053667502245</v>
      </c>
      <c r="G209" s="121" t="n">
        <v>130.4475164689182</v>
      </c>
      <c r="H209" s="121" t="n">
        <v>179.859846681088</v>
      </c>
      <c r="I209" s="121" t="n">
        <v>119.123822197307</v>
      </c>
      <c r="J209" s="121" t="n">
        <v>257.5304203884936</v>
      </c>
      <c r="K209" s="121" t="n">
        <v>152.8305070240172</v>
      </c>
      <c r="L209" s="121" t="n">
        <v>351.5086550575568</v>
      </c>
      <c r="M209" s="121" t="n">
        <v>293.9184189096536</v>
      </c>
      <c r="N209" s="121" t="n">
        <v>225.0322883220497</v>
      </c>
      <c r="O209" s="121" t="n">
        <v>150.026626317461</v>
      </c>
      <c r="P209" s="121" t="n">
        <v>140.2397153122782</v>
      </c>
      <c r="Q209" s="121" t="n">
        <v>191.017468701834</v>
      </c>
    </row>
    <row r="210">
      <c r="C210" s="112" t="n">
        <v>45627</v>
      </c>
      <c r="D210" s="112" t="n">
        <v>45657</v>
      </c>
      <c r="E210" s="120" t="inlineStr">
        <is>
          <t>grid_22fp35k1.xlsx</t>
        </is>
      </c>
      <c r="F210" s="121" t="n">
        <v>212.1785888581714</v>
      </c>
      <c r="G210" s="121" t="n">
        <v>128.7942722160263</v>
      </c>
      <c r="H210" s="121" t="n">
        <v>186.7280854112495</v>
      </c>
      <c r="I210" s="121" t="n">
        <v>103.4334477959967</v>
      </c>
      <c r="J210" s="121" t="n">
        <v>261.7379222023031</v>
      </c>
      <c r="K210" s="121" t="n">
        <v>150.0302885712144</v>
      </c>
      <c r="L210" s="121" t="n">
        <v>355.061392775125</v>
      </c>
      <c r="M210" s="121" t="n">
        <v>304.51516056397</v>
      </c>
      <c r="N210" s="121" t="n">
        <v>230.8429091199986</v>
      </c>
      <c r="O210" s="121" t="n">
        <v>153.0345983963806</v>
      </c>
      <c r="P210" s="121" t="n">
        <v>139.1248967823369</v>
      </c>
      <c r="Q210" s="121" t="n">
        <v>187.1970822939178</v>
      </c>
    </row>
    <row r="211">
      <c r="C211" s="112" t="n">
        <v>45658</v>
      </c>
      <c r="D211" s="112" t="n">
        <v>45688</v>
      </c>
      <c r="E211" s="120" t="inlineStr">
        <is>
          <t>grid_22fp35k1.xlsx</t>
        </is>
      </c>
      <c r="F211" s="121" t="n">
        <v>208.0142585141306</v>
      </c>
      <c r="G211" s="121" t="n">
        <v>129.5856418127268</v>
      </c>
      <c r="H211" s="121" t="n">
        <v>171.1498968889468</v>
      </c>
      <c r="I211" s="121" t="n">
        <v>102.2262434607844</v>
      </c>
      <c r="J211" s="121" t="n">
        <v>265.3762341754243</v>
      </c>
      <c r="K211" s="121" t="n">
        <v>153.0204372773955</v>
      </c>
      <c r="L211" s="121" t="n">
        <v>348.2264555692554</v>
      </c>
      <c r="M211" s="121" t="n">
        <v>301.3933098671004</v>
      </c>
      <c r="N211" s="121" t="n">
        <v>244.7990671468213</v>
      </c>
      <c r="O211" s="121" t="n">
        <v>142.7994890331588</v>
      </c>
      <c r="P211" s="121" t="n">
        <v>136.3270388240055</v>
      </c>
      <c r="Q211" s="121" t="n">
        <v>182.1537909840478</v>
      </c>
    </row>
    <row r="212">
      <c r="C212" s="112" t="n">
        <v>45689</v>
      </c>
      <c r="D212" s="112" t="n">
        <v>45716</v>
      </c>
      <c r="E212" s="120" t="inlineStr">
        <is>
          <t>grid_22fp35k1.xlsx</t>
        </is>
      </c>
      <c r="F212" s="121" t="n">
        <v>209.140116139157</v>
      </c>
      <c r="G212" s="121" t="n">
        <v>129.1643842967881</v>
      </c>
      <c r="H212" s="121" t="n">
        <v>167.6183672700557</v>
      </c>
      <c r="I212" s="121" t="n">
        <v>116.2665147121498</v>
      </c>
      <c r="J212" s="121" t="n">
        <v>270.9431304120491</v>
      </c>
      <c r="K212" s="121" t="n">
        <v>152.5679679355384</v>
      </c>
      <c r="L212" s="121" t="n">
        <v>373.9675261083193</v>
      </c>
      <c r="M212" s="121" t="n">
        <v>289.8063710117733</v>
      </c>
      <c r="N212" s="121" t="n">
        <v>252.8168218208235</v>
      </c>
      <c r="O212" s="121" t="n">
        <v>147.0446444410336</v>
      </c>
      <c r="P212" s="121" t="n">
        <v>132.7650904000263</v>
      </c>
      <c r="Q212" s="121" t="n">
        <v>184.0057540319197</v>
      </c>
    </row>
    <row r="213">
      <c r="C213" s="112" t="n">
        <v>45717</v>
      </c>
      <c r="D213" s="112" t="n">
        <v>45747</v>
      </c>
      <c r="E213" s="120" t="inlineStr">
        <is>
          <t>grid_22fp35k1.xlsx</t>
        </is>
      </c>
      <c r="F213" s="121" t="n">
        <v>208.0135684239352</v>
      </c>
      <c r="G213" s="121" t="n">
        <v>128.5958406177467</v>
      </c>
      <c r="H213" s="121" t="n">
        <v>164.4659416610716</v>
      </c>
      <c r="I213" s="121" t="n">
        <v>121.1777469758274</v>
      </c>
      <c r="J213" s="121" t="n">
        <v>265.9874902757649</v>
      </c>
      <c r="K213" s="121" t="n">
        <v>152.0844052221473</v>
      </c>
      <c r="L213" s="121" t="n">
        <v>376.3861209218073</v>
      </c>
      <c r="M213" s="121" t="n">
        <v>289.5782430496611</v>
      </c>
      <c r="N213" s="121" t="n">
        <v>261.1072179048193</v>
      </c>
      <c r="O213" s="121" t="n">
        <v>150.4540321295011</v>
      </c>
      <c r="P213" s="121" t="n">
        <v>134.5867094900823</v>
      </c>
      <c r="Q213" s="121" t="n">
        <v>192.2275034030184</v>
      </c>
    </row>
    <row r="214">
      <c r="C214" s="112" t="n">
        <v>45748</v>
      </c>
      <c r="D214" s="112" t="n">
        <v>45777</v>
      </c>
      <c r="E214" s="120" t="inlineStr">
        <is>
          <t>grid_22fp35k1.xlsx</t>
        </is>
      </c>
      <c r="F214" s="121" t="n">
        <v>173.1067642477419</v>
      </c>
      <c r="G214" s="121" t="n">
        <v>130.6241049210383</v>
      </c>
      <c r="H214" s="121" t="n">
        <v>156.4090866848164</v>
      </c>
      <c r="I214" s="121" t="n">
        <v>124.7905953736434</v>
      </c>
      <c r="J214" s="121" t="n">
        <v>227.1814117009813</v>
      </c>
      <c r="K214" s="121" t="n">
        <v>153.3931506061724</v>
      </c>
      <c r="L214" s="121" t="n">
        <v>379.8743834784094</v>
      </c>
      <c r="M214" s="121" t="n">
        <v>287.7966900690817</v>
      </c>
      <c r="N214" s="121" t="n">
        <v>264.0131592503976</v>
      </c>
      <c r="O214" s="121" t="n">
        <v>138.0262299985206</v>
      </c>
      <c r="P214" s="121" t="n">
        <v>133.4090535952019</v>
      </c>
      <c r="Q214" s="121" t="n">
        <v>195.3445939236843</v>
      </c>
    </row>
    <row r="215">
      <c r="C215" s="112" t="n">
        <v>45778</v>
      </c>
      <c r="D215" s="112" t="n">
        <v>45807</v>
      </c>
      <c r="E215" s="120" t="inlineStr">
        <is>
          <t>grid_22fp35k1.xlsx</t>
        </is>
      </c>
      <c r="F215" s="121" t="n">
        <v>172.2404100330978</v>
      </c>
      <c r="G215" s="121" t="n">
        <v>133.0398814805307</v>
      </c>
      <c r="H215" s="121" t="n">
        <v>143.8905241190406</v>
      </c>
      <c r="I215" s="121" t="n">
        <v>127.6160329113057</v>
      </c>
      <c r="J215" s="121" t="n">
        <v>216.8426831146123</v>
      </c>
      <c r="K215" s="121" t="n">
        <v>149.5378994807787</v>
      </c>
      <c r="L215" s="121" t="n">
        <v>400.3921764343495</v>
      </c>
      <c r="M215" s="121" t="n">
        <v>301.334498496368</v>
      </c>
      <c r="N215" s="121" t="n">
        <v>290.0108531183014</v>
      </c>
      <c r="O215" s="121" t="n">
        <v>136.9301557222157</v>
      </c>
      <c r="P215" s="121" t="n">
        <v>139.8786298151904</v>
      </c>
      <c r="Q215" s="121" t="n">
        <v>181.0899930663081</v>
      </c>
    </row>
    <row r="216">
      <c r="C216" s="112" t="n">
        <v>45809</v>
      </c>
      <c r="D216" s="112" t="n">
        <v>45838</v>
      </c>
      <c r="E216" s="120" t="inlineStr">
        <is>
          <t>grid_22fp35k1.xlsx</t>
        </is>
      </c>
      <c r="F216" s="121" t="n">
        <v>173.1537594196751</v>
      </c>
      <c r="G216" s="121" t="n">
        <v>137.542106659216</v>
      </c>
      <c r="H216" s="121" t="n">
        <v>138.8079603609326</v>
      </c>
      <c r="I216" s="121" t="n">
        <v>115.3961043111579</v>
      </c>
      <c r="J216" s="121" t="n">
        <v>215.1308133244882</v>
      </c>
      <c r="K216" s="121" t="n">
        <v>146.569842012167</v>
      </c>
      <c r="L216" s="121" t="n">
        <v>412.8234405043036</v>
      </c>
      <c r="M216" s="121" t="n">
        <v>297.9211323939832</v>
      </c>
      <c r="N216" s="121" t="n">
        <v>295.1760102076757</v>
      </c>
      <c r="O216" s="121" t="n">
        <v>134.7462181736995</v>
      </c>
      <c r="P216" s="121" t="n">
        <v>143.2359896023738</v>
      </c>
      <c r="Q216" s="121" t="n">
        <v>180.333029535102</v>
      </c>
    </row>
    <row r="217">
      <c r="C217" s="112" t="n">
        <v>45839</v>
      </c>
      <c r="D217" s="112" t="n">
        <v>45869</v>
      </c>
      <c r="E217" s="120" t="inlineStr">
        <is>
          <t>grid_22fp35k1.xlsx</t>
        </is>
      </c>
      <c r="F217" s="121" t="n">
        <v>174.9757210299641</v>
      </c>
      <c r="G217" s="121" t="n">
        <v>143.3521301007697</v>
      </c>
      <c r="H217" s="121" t="n">
        <v>140.4893678258517</v>
      </c>
      <c r="I217" s="121" t="n">
        <v>114.9191892412766</v>
      </c>
      <c r="J217" s="121" t="n">
        <v>204.8308093115382</v>
      </c>
      <c r="K217" s="121" t="n">
        <v>148.5664350637945</v>
      </c>
      <c r="L217" s="121" t="n">
        <v>411.8755792598865</v>
      </c>
      <c r="M217" s="121" t="n">
        <v>284.3704148052366</v>
      </c>
      <c r="N217" s="121" t="n">
        <v>300.1894528568021</v>
      </c>
      <c r="O217" s="121" t="n">
        <v>130.3802630189656</v>
      </c>
      <c r="P217" s="121" t="n">
        <v>139.8282206917704</v>
      </c>
      <c r="Q217" s="121" t="n">
        <v>176.6531184736698</v>
      </c>
    </row>
    <row r="218">
      <c r="C218" s="112" t="n">
        <v>45870</v>
      </c>
      <c r="D218" s="112" t="n">
        <v>45898</v>
      </c>
      <c r="E218" s="120" t="inlineStr">
        <is>
          <t>grid_22fp35k1.xlsx</t>
        </is>
      </c>
      <c r="F218" s="121" t="n">
        <v>163.326937663203</v>
      </c>
      <c r="G218" s="121" t="n">
        <v>144.8864265436132</v>
      </c>
      <c r="H218" s="121" t="n">
        <v>146.6657705682626</v>
      </c>
      <c r="I218" s="121" t="n">
        <v>107.7616626026215</v>
      </c>
      <c r="J218" s="121" t="n">
        <v>185.3651386389594</v>
      </c>
      <c r="K218" s="121" t="n">
        <v>153.0210869635444</v>
      </c>
      <c r="L218" s="121" t="n">
        <v>438.4744404981071</v>
      </c>
      <c r="M218" s="121" t="n">
        <v>284.9102805938576</v>
      </c>
      <c r="N218" s="121" t="n">
        <v>305.031433402836</v>
      </c>
      <c r="O218" s="121" t="n">
        <v>130.2691449287523</v>
      </c>
      <c r="P218" s="121" t="n">
        <v>142.7570533076725</v>
      </c>
      <c r="Q218" s="121" t="n">
        <v>178.7542650149259</v>
      </c>
    </row>
    <row r="219">
      <c r="C219" s="112" t="n">
        <v>45901</v>
      </c>
      <c r="D219" s="112" t="n">
        <v>45930</v>
      </c>
      <c r="E219" s="120" t="inlineStr">
        <is>
          <t>grid_22fp35k1.xlsx</t>
        </is>
      </c>
      <c r="F219" s="121" t="n">
        <v>161.1822038044175</v>
      </c>
      <c r="G219" s="121" t="n">
        <v>144.9860337812885</v>
      </c>
      <c r="H219" s="121" t="n">
        <v>148.8057740441993</v>
      </c>
      <c r="I219" s="121" t="n">
        <v>111.4506369788636</v>
      </c>
      <c r="J219" s="121" t="n">
        <v>186.8833336413667</v>
      </c>
      <c r="K219" s="121" t="n">
        <v>150.8599401260701</v>
      </c>
      <c r="L219" s="121" t="n">
        <v>460.9978687269149</v>
      </c>
      <c r="M219" s="121" t="n">
        <v>288.6731415520068</v>
      </c>
      <c r="N219" s="121" t="n">
        <v>309.5312438596395</v>
      </c>
      <c r="O219" s="121" t="n">
        <v>127.2474802700542</v>
      </c>
      <c r="P219" s="121" t="n">
        <v>143.1986646081316</v>
      </c>
      <c r="Q219" s="121" t="n">
        <v>190.8582340694607</v>
      </c>
    </row>
    <row r="220">
      <c r="C220" s="112" t="n">
        <v>45931</v>
      </c>
      <c r="D220" s="112" t="n">
        <v>45961</v>
      </c>
      <c r="E220" s="120" t="inlineStr">
        <is>
          <t>grid_22fp35k1.xlsx</t>
        </is>
      </c>
      <c r="F220" s="121" t="n">
        <v>164.2863591700522</v>
      </c>
      <c r="G220" s="121" t="n">
        <v>146.3040824581688</v>
      </c>
      <c r="H220" s="121" t="n">
        <v>153.0002485621436</v>
      </c>
      <c r="I220" s="121" t="n">
        <v>112.8598958572272</v>
      </c>
      <c r="J220" s="121" t="n">
        <v>192.2859473792891</v>
      </c>
      <c r="K220" s="121" t="n">
        <v>153.9097837611977</v>
      </c>
      <c r="L220" s="121" t="n">
        <v>480.1020373035404</v>
      </c>
      <c r="M220" s="121" t="n">
        <v>291.9758237085919</v>
      </c>
      <c r="N220" s="121" t="n">
        <v>316.1390260924587</v>
      </c>
      <c r="O220" s="121" t="n">
        <v>136.6007569513039</v>
      </c>
      <c r="P220" s="121" t="n">
        <v>147.2449393936672</v>
      </c>
      <c r="Q220" s="121" t="n">
        <v>206.4886839027132</v>
      </c>
    </row>
    <row r="221">
      <c r="C221" s="112" t="n">
        <v>45962</v>
      </c>
      <c r="D221" s="112" t="n">
        <v>45989</v>
      </c>
      <c r="E221" s="120" t="inlineStr">
        <is>
          <t>grid_22fp35k1.xlsx</t>
        </is>
      </c>
      <c r="F221" s="121" t="n">
        <v>161.7343499423825</v>
      </c>
      <c r="G221" s="121" t="n">
        <v>152.5484935320891</v>
      </c>
      <c r="H221" s="121" t="n">
        <v>171.9752150499234</v>
      </c>
      <c r="I221" s="121" t="n">
        <v>111.9851457938954</v>
      </c>
      <c r="J221" s="121" t="n">
        <v>176.8695933787778</v>
      </c>
      <c r="K221" s="121" t="n">
        <v>154.7574932485509</v>
      </c>
      <c r="L221" s="121" t="n">
        <v>523.1710379611445</v>
      </c>
      <c r="M221" s="121" t="n">
        <v>300.5721682636634</v>
      </c>
      <c r="N221" s="121" t="n">
        <v>322.6607530126923</v>
      </c>
      <c r="O221" s="121" t="n">
        <v>142.1423231542943</v>
      </c>
      <c r="P221" s="121" t="n">
        <v>147.4628378451702</v>
      </c>
      <c r="Q221" s="121" t="n">
        <v>212.6342878558481</v>
      </c>
    </row>
    <row r="222">
      <c r="C222" s="112" t="n">
        <v>45992</v>
      </c>
      <c r="D222" s="112" t="n">
        <v>46022</v>
      </c>
      <c r="E222" s="120" t="inlineStr">
        <is>
          <t>grid_22fp35k1.xlsx</t>
        </is>
      </c>
      <c r="F222" s="121" t="n">
        <v>162.4079788466221</v>
      </c>
      <c r="G222" s="121" t="n">
        <v>156.5129757882506</v>
      </c>
      <c r="H222" s="121" t="n">
        <v>185.3252026456436</v>
      </c>
      <c r="I222" s="121" t="n">
        <v>117.2795114348987</v>
      </c>
      <c r="J222" s="121" t="n">
        <v>166.0366808779039</v>
      </c>
      <c r="K222" s="121" t="n">
        <v>156.4786293755878</v>
      </c>
      <c r="L222" s="121" t="n">
        <v>520.4034023477125</v>
      </c>
      <c r="M222" s="121" t="n">
        <v>311.8169561348478</v>
      </c>
      <c r="N222" s="121" t="n">
        <v>323.9139781479705</v>
      </c>
      <c r="O222" s="121" t="n">
        <v>145.4646435279393</v>
      </c>
      <c r="P222" s="121" t="n">
        <v>158.5760642151445</v>
      </c>
      <c r="Q222" s="121" t="n">
        <v>212.281453554189</v>
      </c>
    </row>
    <row r="223">
      <c r="C223" s="112" t="n">
        <v>46023</v>
      </c>
      <c r="D223" s="112" t="n">
        <v>46052</v>
      </c>
      <c r="E223" s="120" t="inlineStr">
        <is>
          <t>grid_22fp35k1.xlsx</t>
        </is>
      </c>
      <c r="F223" s="121" t="n">
        <v>169.79574809526</v>
      </c>
      <c r="G223" s="121" t="n">
        <v>159.1873661059444</v>
      </c>
      <c r="H223" s="121" t="n">
        <v>178.7848874061767</v>
      </c>
      <c r="I223" s="121" t="n">
        <v>118.1124486661305</v>
      </c>
      <c r="J223" s="121" t="n">
        <v>162.3618596872764</v>
      </c>
      <c r="K223" s="121" t="n">
        <v>159.8407793293067</v>
      </c>
      <c r="L223" s="121" t="n">
        <v>521.9174731553428</v>
      </c>
      <c r="M223" s="121" t="n">
        <v>317.0518458241368</v>
      </c>
      <c r="N223" s="121" t="n">
        <v>321.4389654282037</v>
      </c>
      <c r="O223" s="121" t="n">
        <v>151.6265272833088</v>
      </c>
      <c r="P223" s="121" t="n">
        <v>158.1062037631186</v>
      </c>
      <c r="Q223" s="121" t="n">
        <v>228.3577431053288</v>
      </c>
    </row>
    <row r="224">
      <c r="C224" s="112" t="n">
        <v>46054</v>
      </c>
      <c r="D224" s="112" t="n">
        <v>46080</v>
      </c>
      <c r="E224" s="120" t="inlineStr">
        <is>
          <t>grid_22fp35k1.xlsx</t>
        </is>
      </c>
      <c r="F224" s="121" t="n">
        <v>178.080220299221</v>
      </c>
      <c r="G224" s="121" t="n">
        <v>162.6720032548862</v>
      </c>
      <c r="H224" s="121" t="n">
        <v>175.8212989383586</v>
      </c>
      <c r="I224" s="121" t="n">
        <v>121.2531311556173</v>
      </c>
      <c r="J224" s="121" t="n">
        <v>183.0536450514921</v>
      </c>
      <c r="K224" s="121" t="n">
        <v>161.6201712193256</v>
      </c>
      <c r="L224" s="121" t="n">
        <v>509.5331479510012</v>
      </c>
      <c r="M224" s="121" t="n">
        <v>318.6898832116393</v>
      </c>
      <c r="N224" s="121" t="n">
        <v>321.5710660683047</v>
      </c>
      <c r="O224" s="121" t="n">
        <v>150.6836080454928</v>
      </c>
      <c r="P224" s="121" t="n">
        <v>151.1260094355664</v>
      </c>
      <c r="Q224" s="121" t="n">
        <v>235.8624922399367</v>
      </c>
    </row>
    <row r="225">
      <c r="C225" s="112" t="n">
        <v>46082</v>
      </c>
      <c r="D225" s="112" t="n">
        <v>46112</v>
      </c>
      <c r="E225" s="120" t="inlineStr">
        <is>
          <t>grid_22fp35k1.xlsx</t>
        </is>
      </c>
      <c r="F225" s="121" t="n">
        <v>223.8936388614199</v>
      </c>
      <c r="G225" s="121" t="n">
        <v>166.4388321645652</v>
      </c>
      <c r="H225" s="121" t="n">
        <v>188.5666149862517</v>
      </c>
      <c r="I225" s="121" t="n">
        <v>118.5614001874313</v>
      </c>
      <c r="J225" s="121" t="n">
        <v>264.6052811528312</v>
      </c>
      <c r="K225" s="121" t="n">
        <v>160.3580205171088</v>
      </c>
      <c r="L225" s="121" t="n">
        <v>495.9437361769596</v>
      </c>
      <c r="M225" s="121" t="n">
        <v>334.1209465867191</v>
      </c>
      <c r="N225" s="121" t="n">
        <v>337.6072423576283</v>
      </c>
      <c r="O225" s="121" t="n">
        <v>157.8248506044471</v>
      </c>
      <c r="P225" s="121" t="n">
        <v>153.9696850557513</v>
      </c>
      <c r="Q225" s="121" t="n">
        <v>238.5884478380011</v>
      </c>
    </row>
    <row r="226">
      <c r="C226" s="112" t="n">
        <v>46113</v>
      </c>
      <c r="D226" s="112" t="n">
        <v>46142</v>
      </c>
      <c r="E226" s="120" t="inlineStr">
        <is>
          <t>grid_22fp35k1.xlsx</t>
        </is>
      </c>
      <c r="F226" s="121" t="n">
        <v>235.5081616149667</v>
      </c>
      <c r="G226" s="121" t="n">
        <v>170.6786099494437</v>
      </c>
      <c r="H226" s="121" t="n">
        <v>219.3580043747316</v>
      </c>
      <c r="I226" s="121" t="n">
        <v>117.8499668689032</v>
      </c>
      <c r="J226" s="121" t="n">
        <v>294.278112275332</v>
      </c>
      <c r="K226" s="121" t="n">
        <v>162.5223001873093</v>
      </c>
      <c r="L226" s="121" t="n">
        <v>503.925410258028</v>
      </c>
      <c r="M226" s="121" t="n">
        <v>326.864147028468</v>
      </c>
      <c r="N226" s="121" t="n">
        <v>350.1671178651578</v>
      </c>
      <c r="O226" s="121" t="n">
        <v>142.4182582322609</v>
      </c>
      <c r="P226" s="121" t="n">
        <v>155.5877734706537</v>
      </c>
      <c r="Q226" s="121" t="n">
        <v>257.4615344210897</v>
      </c>
    </row>
    <row r="227">
      <c r="C227" s="112" t="n">
        <v>46143</v>
      </c>
      <c r="D227" s="112" t="n">
        <v>46171</v>
      </c>
      <c r="E227" s="120" t="inlineStr">
        <is>
          <t>grid_22fp35k1.xlsx</t>
        </is>
      </c>
      <c r="F227" s="121" t="n">
        <v>221.7519034404702</v>
      </c>
      <c r="G227" s="121" t="n">
        <v>167.5180233958763</v>
      </c>
      <c r="H227" s="121" t="n">
        <v>215.3661371723379</v>
      </c>
      <c r="I227" s="121" t="n">
        <v>137.7695940888829</v>
      </c>
      <c r="J227" s="121" t="n">
        <v>290.071939333185</v>
      </c>
      <c r="K227" s="121" t="n">
        <v>164.727350092207</v>
      </c>
      <c r="L227" s="121" t="n">
        <v>485.4809873611518</v>
      </c>
      <c r="M227" s="121" t="n">
        <v>323.0781411059226</v>
      </c>
      <c r="N227" s="121" t="n">
        <v>351.0413570409945</v>
      </c>
      <c r="O227" s="121" t="n">
        <v>140.9192866805354</v>
      </c>
      <c r="P227" s="121" t="n">
        <v>164.3007696273005</v>
      </c>
      <c r="Q227" s="121" t="n">
        <v>240.5751821702909</v>
      </c>
    </row>
    <row r="228">
      <c r="C228" s="112" t="n">
        <v>46174</v>
      </c>
      <c r="D228" s="112" t="n">
        <v>46203</v>
      </c>
      <c r="E228" s="120" t="inlineStr">
        <is>
          <t>grid_22fp35k1.xlsx</t>
        </is>
      </c>
      <c r="F228" s="121" t="n">
        <v>210.479235365228</v>
      </c>
      <c r="G228" s="121" t="n">
        <v>169.5732402443841</v>
      </c>
      <c r="H228" s="121" t="n">
        <v>216.2927756573219</v>
      </c>
      <c r="I228" s="121" t="n">
        <v>140.0451871321129</v>
      </c>
      <c r="J228" s="121" t="n">
        <v>283.7408995308882</v>
      </c>
      <c r="K228" s="121" t="n">
        <v>169.4411712168711</v>
      </c>
      <c r="L228" s="121" t="n">
        <v>504.2542255653628</v>
      </c>
      <c r="M228" s="121" t="n">
        <v>328.4115167253722</v>
      </c>
      <c r="N228" s="121" t="n">
        <v>325.5252318997001</v>
      </c>
      <c r="O228" s="121" t="n">
        <v>141.0123499595288</v>
      </c>
      <c r="P228" s="121" t="n">
        <v>169.2364595987117</v>
      </c>
      <c r="Q228" s="121" t="n">
        <v>239.4647596352397</v>
      </c>
    </row>
    <row r="229">
      <c r="C229" s="112" t="n">
        <v>46204</v>
      </c>
      <c r="D229" s="112" t="n">
        <v>46234</v>
      </c>
      <c r="E229" s="120" t="inlineStr">
        <is>
          <t>grid_22fp35k1.xlsx</t>
        </is>
      </c>
      <c r="F229" s="121" t="n">
        <v>219.8615749046318</v>
      </c>
      <c r="G229" s="121" t="n">
        <v>171.3191659904567</v>
      </c>
      <c r="H229" s="121" t="n">
        <v>254.9249159537053</v>
      </c>
      <c r="I229" s="121" t="n">
        <v>140.66379502466</v>
      </c>
      <c r="J229" s="121" t="n">
        <v>288.7167362353646</v>
      </c>
      <c r="K229" s="121" t="n">
        <v>168.9887199007376</v>
      </c>
      <c r="L229" s="121" t="n">
        <v>507.7873671521596</v>
      </c>
      <c r="M229" s="121" t="n">
        <v>332.158143615878</v>
      </c>
      <c r="N229" s="121" t="n">
        <v>324.4190279200483</v>
      </c>
      <c r="O229" s="121" t="n">
        <v>131.3133544832081</v>
      </c>
      <c r="P229" s="121" t="n">
        <v>171.0989927400585</v>
      </c>
      <c r="Q229" s="121" t="n">
        <v>237.2205821190803</v>
      </c>
    </row>
    <row r="230">
      <c r="C230" s="112" t="n">
        <v>46235</v>
      </c>
      <c r="D230" s="112" t="n">
        <v>46265</v>
      </c>
      <c r="E230" s="120" t="inlineStr">
        <is>
          <t>grid_22fp35k1.xlsx</t>
        </is>
      </c>
      <c r="F230" s="121" t="n">
        <v>223.6195363980373</v>
      </c>
      <c r="G230" s="121" t="n">
        <v>168.363655859738</v>
      </c>
      <c r="H230" s="121" t="n">
        <v>265.6402999121091</v>
      </c>
      <c r="I230" s="121" t="n">
        <v>134.1283437626888</v>
      </c>
      <c r="J230" s="121" t="n">
        <v>297.2445796336244</v>
      </c>
      <c r="K230" s="121" t="n">
        <v>165.1202604689286</v>
      </c>
      <c r="L230" s="121" t="n">
        <v>511.1717283619091</v>
      </c>
      <c r="M230" s="121" t="n">
        <v>343.0387989035578</v>
      </c>
      <c r="N230" s="121" t="n">
        <v>330.8823063733389</v>
      </c>
      <c r="O230" s="121" t="n">
        <v>129.9023662725388</v>
      </c>
      <c r="P230" s="121" t="n">
        <v>164.5336926306513</v>
      </c>
      <c r="Q230" s="121" t="n">
        <v>227.937597025501</v>
      </c>
    </row>
    <row r="231">
      <c r="C231" s="115" t="n">
        <v>46266</v>
      </c>
      <c r="D231" s="115" t="n">
        <v>46268</v>
      </c>
      <c r="E231" s="122" t="inlineStr">
        <is>
          <t>grid_22fp35k1.xlsx</t>
        </is>
      </c>
      <c r="F231" s="123" t="n">
        <v>224.4551104944883</v>
      </c>
      <c r="G231" s="123" t="n">
        <v>168.5902103054312</v>
      </c>
      <c r="H231" s="123" t="n">
        <v>266.8996897677066</v>
      </c>
      <c r="I231" s="123" t="n">
        <v>134.8821034987949</v>
      </c>
      <c r="J231" s="123" t="n">
        <v>299.9302857699442</v>
      </c>
      <c r="K231" s="123" t="n">
        <v>165.1147458630123</v>
      </c>
      <c r="L231" s="123" t="n">
        <v>514.320220162845</v>
      </c>
      <c r="M231" s="123" t="n">
        <v>345.6181352102506</v>
      </c>
      <c r="N231" s="123" t="n">
        <v>331.3301608870909</v>
      </c>
      <c r="O231" s="123" t="n">
        <v>128.6697179079185</v>
      </c>
      <c r="P231" s="123" t="n">
        <v>164.6739460787942</v>
      </c>
      <c r="Q231" s="123" t="n">
        <v>228.2513380231628</v>
      </c>
    </row>
    <row r="232"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</row>
    <row r="233">
      <c r="C233" s="74" t="inlineStr">
        <is>
          <t>Base auxiliar do gráfico</t>
        </is>
      </c>
      <c r="D233" s="75" t="n"/>
      <c r="E233" s="75" t="n"/>
      <c r="F233" s="75" t="n"/>
      <c r="G233" s="75" t="n"/>
      <c r="H233" s="75" t="n"/>
      <c r="I233" s="75" t="n"/>
      <c r="J233" s="75" t="n"/>
      <c r="K233" s="75" t="n"/>
      <c r="L233" s="75" t="n"/>
      <c r="M233" s="75" t="n"/>
      <c r="N233" s="75" t="n"/>
      <c r="O233" s="76" t="n"/>
      <c r="P233" s="99" t="n"/>
      <c r="Q233" s="99" t="n"/>
    </row>
    <row r="234"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</row>
    <row r="235">
      <c r="C235" s="11" t="inlineStr">
        <is>
          <t>month_label</t>
        </is>
      </c>
      <c r="D235" s="11" t="inlineStr">
        <is>
          <t>IBOV</t>
        </is>
      </c>
      <c r="E235" s="11" t="inlineStr">
        <is>
          <t>Communication Services</t>
        </is>
      </c>
      <c r="F235" s="11" t="inlineStr">
        <is>
          <t>Consumer Discretionary</t>
        </is>
      </c>
      <c r="G235" s="11" t="inlineStr">
        <is>
          <t>Consumer Staples</t>
        </is>
      </c>
      <c r="H235" s="11" t="inlineStr">
        <is>
          <t>Energy</t>
        </is>
      </c>
      <c r="I235" s="11" t="inlineStr">
        <is>
          <t>Financials</t>
        </is>
      </c>
      <c r="J235" s="11" t="inlineStr">
        <is>
          <t>Health Care</t>
        </is>
      </c>
      <c r="K235" s="11" t="inlineStr">
        <is>
          <t>Industrials</t>
        </is>
      </c>
      <c r="L235" s="11" t="inlineStr">
        <is>
          <t>Information Technology</t>
        </is>
      </c>
      <c r="M235" s="11" t="inlineStr">
        <is>
          <t>Materials</t>
        </is>
      </c>
      <c r="N235" s="11" t="inlineStr">
        <is>
          <t>Real Estate</t>
        </is>
      </c>
      <c r="O235" s="11" t="inlineStr">
        <is>
          <t>Utilities</t>
        </is>
      </c>
      <c r="P235" s="99" t="n"/>
      <c r="Q235" s="99" t="n"/>
    </row>
    <row r="236">
      <c r="C236" s="6" t="inlineStr">
        <is>
          <t>2008-01</t>
        </is>
      </c>
      <c r="D236" s="6">
        <f>F7</f>
        <v/>
      </c>
      <c r="E236" s="6">
        <f>G7</f>
        <v/>
      </c>
      <c r="F236" s="6">
        <f>H7</f>
        <v/>
      </c>
      <c r="G236" s="6">
        <f>I7</f>
        <v/>
      </c>
      <c r="H236" s="6">
        <f>J7</f>
        <v/>
      </c>
      <c r="I236" s="6">
        <f>K7</f>
        <v/>
      </c>
      <c r="J236" s="6">
        <f>L7</f>
        <v/>
      </c>
      <c r="K236" s="6">
        <f>M7</f>
        <v/>
      </c>
      <c r="L236" s="6">
        <f>N7</f>
        <v/>
      </c>
      <c r="M236" s="6">
        <f>O7</f>
        <v/>
      </c>
      <c r="N236" s="6">
        <f>P7</f>
        <v/>
      </c>
      <c r="O236" s="6">
        <f>Q7</f>
        <v/>
      </c>
      <c r="P236" s="99" t="n"/>
      <c r="Q236" s="99" t="n"/>
    </row>
    <row r="237">
      <c r="C237" s="6" t="inlineStr">
        <is>
          <t>2008-02</t>
        </is>
      </c>
      <c r="D237" s="6">
        <f>F8</f>
        <v/>
      </c>
      <c r="E237" s="6">
        <f>G8</f>
        <v/>
      </c>
      <c r="F237" s="6">
        <f>H8</f>
        <v/>
      </c>
      <c r="G237" s="6">
        <f>I8</f>
        <v/>
      </c>
      <c r="H237" s="6">
        <f>J8</f>
        <v/>
      </c>
      <c r="I237" s="6">
        <f>K8</f>
        <v/>
      </c>
      <c r="J237" s="6">
        <f>L8</f>
        <v/>
      </c>
      <c r="K237" s="6">
        <f>M8</f>
        <v/>
      </c>
      <c r="L237" s="6">
        <f>N8</f>
        <v/>
      </c>
      <c r="M237" s="6">
        <f>O8</f>
        <v/>
      </c>
      <c r="N237" s="6">
        <f>P8</f>
        <v/>
      </c>
      <c r="O237" s="6">
        <f>Q8</f>
        <v/>
      </c>
      <c r="P237" s="99" t="n"/>
      <c r="Q237" s="99" t="n"/>
    </row>
    <row r="238">
      <c r="C238" s="6" t="inlineStr">
        <is>
          <t>2008-03</t>
        </is>
      </c>
      <c r="D238" s="6">
        <f>F9</f>
        <v/>
      </c>
      <c r="E238" s="6">
        <f>G9</f>
        <v/>
      </c>
      <c r="F238" s="6">
        <f>H9</f>
        <v/>
      </c>
      <c r="G238" s="6">
        <f>I9</f>
        <v/>
      </c>
      <c r="H238" s="6">
        <f>J9</f>
        <v/>
      </c>
      <c r="I238" s="6">
        <f>K9</f>
        <v/>
      </c>
      <c r="J238" s="6">
        <f>L9</f>
        <v/>
      </c>
      <c r="K238" s="6">
        <f>M9</f>
        <v/>
      </c>
      <c r="L238" s="6">
        <f>N9</f>
        <v/>
      </c>
      <c r="M238" s="6">
        <f>O9</f>
        <v/>
      </c>
      <c r="N238" s="6">
        <f>P9</f>
        <v/>
      </c>
      <c r="O238" s="6">
        <f>Q9</f>
        <v/>
      </c>
      <c r="P238" s="99" t="n"/>
      <c r="Q238" s="99" t="n"/>
    </row>
    <row r="239">
      <c r="C239" s="6" t="inlineStr">
        <is>
          <t>2008-04</t>
        </is>
      </c>
      <c r="D239" s="6">
        <f>F10</f>
        <v/>
      </c>
      <c r="E239" s="6">
        <f>G10</f>
        <v/>
      </c>
      <c r="F239" s="6">
        <f>H10</f>
        <v/>
      </c>
      <c r="G239" s="6">
        <f>I10</f>
        <v/>
      </c>
      <c r="H239" s="6">
        <f>J10</f>
        <v/>
      </c>
      <c r="I239" s="6">
        <f>K10</f>
        <v/>
      </c>
      <c r="J239" s="6">
        <f>L10</f>
        <v/>
      </c>
      <c r="K239" s="6">
        <f>M10</f>
        <v/>
      </c>
      <c r="L239" s="6">
        <f>N10</f>
        <v/>
      </c>
      <c r="M239" s="6">
        <f>O10</f>
        <v/>
      </c>
      <c r="N239" s="6">
        <f>P10</f>
        <v/>
      </c>
      <c r="O239" s="6">
        <f>Q10</f>
        <v/>
      </c>
      <c r="P239" s="99" t="n"/>
      <c r="Q239" s="99" t="n"/>
    </row>
    <row r="240">
      <c r="C240" s="6" t="inlineStr">
        <is>
          <t>2008-05</t>
        </is>
      </c>
      <c r="D240" s="6">
        <f>F11</f>
        <v/>
      </c>
      <c r="E240" s="6">
        <f>G11</f>
        <v/>
      </c>
      <c r="F240" s="6">
        <f>H11</f>
        <v/>
      </c>
      <c r="G240" s="6">
        <f>I11</f>
        <v/>
      </c>
      <c r="H240" s="6">
        <f>J11</f>
        <v/>
      </c>
      <c r="I240" s="6">
        <f>K11</f>
        <v/>
      </c>
      <c r="J240" s="6">
        <f>L11</f>
        <v/>
      </c>
      <c r="K240" s="6">
        <f>M11</f>
        <v/>
      </c>
      <c r="L240" s="6">
        <f>N11</f>
        <v/>
      </c>
      <c r="M240" s="6">
        <f>O11</f>
        <v/>
      </c>
      <c r="N240" s="6">
        <f>P11</f>
        <v/>
      </c>
      <c r="O240" s="6">
        <f>Q11</f>
        <v/>
      </c>
      <c r="P240" s="99" t="n"/>
      <c r="Q240" s="99" t="n"/>
    </row>
    <row r="241">
      <c r="C241" s="6" t="inlineStr">
        <is>
          <t>2008-06</t>
        </is>
      </c>
      <c r="D241" s="6">
        <f>F12</f>
        <v/>
      </c>
      <c r="E241" s="6">
        <f>G12</f>
        <v/>
      </c>
      <c r="F241" s="6">
        <f>H12</f>
        <v/>
      </c>
      <c r="G241" s="6">
        <f>I12</f>
        <v/>
      </c>
      <c r="H241" s="6">
        <f>J12</f>
        <v/>
      </c>
      <c r="I241" s="6">
        <f>K12</f>
        <v/>
      </c>
      <c r="J241" s="6">
        <f>L12</f>
        <v/>
      </c>
      <c r="K241" s="6">
        <f>M12</f>
        <v/>
      </c>
      <c r="L241" s="6">
        <f>N12</f>
        <v/>
      </c>
      <c r="M241" s="6">
        <f>O12</f>
        <v/>
      </c>
      <c r="N241" s="6">
        <f>P12</f>
        <v/>
      </c>
      <c r="O241" s="6">
        <f>Q12</f>
        <v/>
      </c>
      <c r="P241" s="99" t="n"/>
      <c r="Q241" s="99" t="n"/>
    </row>
    <row r="242">
      <c r="C242" s="6" t="inlineStr">
        <is>
          <t>2008-07</t>
        </is>
      </c>
      <c r="D242" s="6">
        <f>F13</f>
        <v/>
      </c>
      <c r="E242" s="6">
        <f>G13</f>
        <v/>
      </c>
      <c r="F242" s="6">
        <f>H13</f>
        <v/>
      </c>
      <c r="G242" s="6">
        <f>I13</f>
        <v/>
      </c>
      <c r="H242" s="6">
        <f>J13</f>
        <v/>
      </c>
      <c r="I242" s="6">
        <f>K13</f>
        <v/>
      </c>
      <c r="J242" s="6">
        <f>L13</f>
        <v/>
      </c>
      <c r="K242" s="6">
        <f>M13</f>
        <v/>
      </c>
      <c r="L242" s="6">
        <f>N13</f>
        <v/>
      </c>
      <c r="M242" s="6">
        <f>O13</f>
        <v/>
      </c>
      <c r="N242" s="6">
        <f>P13</f>
        <v/>
      </c>
      <c r="O242" s="6">
        <f>Q13</f>
        <v/>
      </c>
      <c r="P242" s="99" t="n"/>
      <c r="Q242" s="99" t="n"/>
    </row>
    <row r="243">
      <c r="C243" s="6" t="inlineStr">
        <is>
          <t>2008-08</t>
        </is>
      </c>
      <c r="D243" s="6">
        <f>F14</f>
        <v/>
      </c>
      <c r="E243" s="6">
        <f>G14</f>
        <v/>
      </c>
      <c r="F243" s="6">
        <f>H14</f>
        <v/>
      </c>
      <c r="G243" s="6">
        <f>I14</f>
        <v/>
      </c>
      <c r="H243" s="6">
        <f>J14</f>
        <v/>
      </c>
      <c r="I243" s="6">
        <f>K14</f>
        <v/>
      </c>
      <c r="J243" s="6">
        <f>L14</f>
        <v/>
      </c>
      <c r="K243" s="6">
        <f>M14</f>
        <v/>
      </c>
      <c r="L243" s="6">
        <f>N14</f>
        <v/>
      </c>
      <c r="M243" s="6">
        <f>O14</f>
        <v/>
      </c>
      <c r="N243" s="6">
        <f>P14</f>
        <v/>
      </c>
      <c r="O243" s="6">
        <f>Q14</f>
        <v/>
      </c>
      <c r="P243" s="99" t="n"/>
      <c r="Q243" s="99" t="n"/>
    </row>
    <row r="244">
      <c r="C244" s="6" t="inlineStr">
        <is>
          <t>2008-09</t>
        </is>
      </c>
      <c r="D244" s="6">
        <f>F15</f>
        <v/>
      </c>
      <c r="E244" s="6">
        <f>G15</f>
        <v/>
      </c>
      <c r="F244" s="6">
        <f>H15</f>
        <v/>
      </c>
      <c r="G244" s="6">
        <f>I15</f>
        <v/>
      </c>
      <c r="H244" s="6">
        <f>J15</f>
        <v/>
      </c>
      <c r="I244" s="6">
        <f>K15</f>
        <v/>
      </c>
      <c r="J244" s="6">
        <f>L15</f>
        <v/>
      </c>
      <c r="K244" s="6">
        <f>M15</f>
        <v/>
      </c>
      <c r="L244" s="6">
        <f>N15</f>
        <v/>
      </c>
      <c r="M244" s="6">
        <f>O15</f>
        <v/>
      </c>
      <c r="N244" s="6">
        <f>P15</f>
        <v/>
      </c>
      <c r="O244" s="6">
        <f>Q15</f>
        <v/>
      </c>
      <c r="P244" s="99" t="n"/>
      <c r="Q244" s="99" t="n"/>
    </row>
    <row r="245">
      <c r="C245" s="6" t="inlineStr">
        <is>
          <t>2008-10</t>
        </is>
      </c>
      <c r="D245" s="6">
        <f>F16</f>
        <v/>
      </c>
      <c r="E245" s="6">
        <f>G16</f>
        <v/>
      </c>
      <c r="F245" s="6">
        <f>H16</f>
        <v/>
      </c>
      <c r="G245" s="6">
        <f>I16</f>
        <v/>
      </c>
      <c r="H245" s="6">
        <f>J16</f>
        <v/>
      </c>
      <c r="I245" s="6">
        <f>K16</f>
        <v/>
      </c>
      <c r="J245" s="6">
        <f>L16</f>
        <v/>
      </c>
      <c r="K245" s="6">
        <f>M16</f>
        <v/>
      </c>
      <c r="L245" s="6">
        <f>N16</f>
        <v/>
      </c>
      <c r="M245" s="6">
        <f>O16</f>
        <v/>
      </c>
      <c r="N245" s="6">
        <f>P16</f>
        <v/>
      </c>
      <c r="O245" s="6">
        <f>Q16</f>
        <v/>
      </c>
      <c r="P245" s="99" t="n"/>
      <c r="Q245" s="99" t="n"/>
    </row>
    <row r="246">
      <c r="C246" s="6" t="inlineStr">
        <is>
          <t>2008-11</t>
        </is>
      </c>
      <c r="D246" s="6">
        <f>F17</f>
        <v/>
      </c>
      <c r="E246" s="6">
        <f>G17</f>
        <v/>
      </c>
      <c r="F246" s="6">
        <f>H17</f>
        <v/>
      </c>
      <c r="G246" s="6">
        <f>I17</f>
        <v/>
      </c>
      <c r="H246" s="6">
        <f>J17</f>
        <v/>
      </c>
      <c r="I246" s="6">
        <f>K17</f>
        <v/>
      </c>
      <c r="J246" s="6">
        <f>L17</f>
        <v/>
      </c>
      <c r="K246" s="6">
        <f>M17</f>
        <v/>
      </c>
      <c r="L246" s="6">
        <f>N17</f>
        <v/>
      </c>
      <c r="M246" s="6">
        <f>O17</f>
        <v/>
      </c>
      <c r="N246" s="6">
        <f>P17</f>
        <v/>
      </c>
      <c r="O246" s="6">
        <f>Q17</f>
        <v/>
      </c>
      <c r="P246" s="99" t="n"/>
      <c r="Q246" s="99" t="n"/>
    </row>
    <row r="247">
      <c r="C247" s="6" t="inlineStr">
        <is>
          <t>2008-12</t>
        </is>
      </c>
      <c r="D247" s="6">
        <f>F18</f>
        <v/>
      </c>
      <c r="E247" s="6">
        <f>G18</f>
        <v/>
      </c>
      <c r="F247" s="6">
        <f>H18</f>
        <v/>
      </c>
      <c r="G247" s="6">
        <f>I18</f>
        <v/>
      </c>
      <c r="H247" s="6">
        <f>J18</f>
        <v/>
      </c>
      <c r="I247" s="6">
        <f>K18</f>
        <v/>
      </c>
      <c r="J247" s="6">
        <f>L18</f>
        <v/>
      </c>
      <c r="K247" s="6">
        <f>M18</f>
        <v/>
      </c>
      <c r="L247" s="6">
        <f>N18</f>
        <v/>
      </c>
      <c r="M247" s="6">
        <f>O18</f>
        <v/>
      </c>
      <c r="N247" s="6">
        <f>P18</f>
        <v/>
      </c>
      <c r="O247" s="6">
        <f>Q18</f>
        <v/>
      </c>
      <c r="P247" s="99" t="n"/>
      <c r="Q247" s="99" t="n"/>
    </row>
    <row r="248">
      <c r="C248" s="6" t="inlineStr">
        <is>
          <t>2009-01</t>
        </is>
      </c>
      <c r="D248" s="6">
        <f>F19</f>
        <v/>
      </c>
      <c r="E248" s="6">
        <f>G19</f>
        <v/>
      </c>
      <c r="F248" s="6">
        <f>H19</f>
        <v/>
      </c>
      <c r="G248" s="6">
        <f>I19</f>
        <v/>
      </c>
      <c r="H248" s="6">
        <f>J19</f>
        <v/>
      </c>
      <c r="I248" s="6">
        <f>K19</f>
        <v/>
      </c>
      <c r="J248" s="6">
        <f>L19</f>
        <v/>
      </c>
      <c r="K248" s="6">
        <f>M19</f>
        <v/>
      </c>
      <c r="L248" s="6">
        <f>N19</f>
        <v/>
      </c>
      <c r="M248" s="6">
        <f>O19</f>
        <v/>
      </c>
      <c r="N248" s="6">
        <f>P19</f>
        <v/>
      </c>
      <c r="O248" s="6">
        <f>Q19</f>
        <v/>
      </c>
      <c r="P248" s="99" t="n"/>
      <c r="Q248" s="99" t="n"/>
    </row>
    <row r="249">
      <c r="C249" s="6" t="inlineStr">
        <is>
          <t>2009-02</t>
        </is>
      </c>
      <c r="D249" s="6">
        <f>F20</f>
        <v/>
      </c>
      <c r="E249" s="6">
        <f>G20</f>
        <v/>
      </c>
      <c r="F249" s="6">
        <f>H20</f>
        <v/>
      </c>
      <c r="G249" s="6">
        <f>I20</f>
        <v/>
      </c>
      <c r="H249" s="6">
        <f>J20</f>
        <v/>
      </c>
      <c r="I249" s="6">
        <f>K20</f>
        <v/>
      </c>
      <c r="J249" s="6">
        <f>L20</f>
        <v/>
      </c>
      <c r="K249" s="6">
        <f>M20</f>
        <v/>
      </c>
      <c r="L249" s="6">
        <f>N20</f>
        <v/>
      </c>
      <c r="M249" s="6">
        <f>O20</f>
        <v/>
      </c>
      <c r="N249" s="6">
        <f>P20</f>
        <v/>
      </c>
      <c r="O249" s="6">
        <f>Q20</f>
        <v/>
      </c>
      <c r="P249" s="99" t="n"/>
      <c r="Q249" s="99" t="n"/>
    </row>
    <row r="250">
      <c r="C250" s="6" t="inlineStr">
        <is>
          <t>2009-03</t>
        </is>
      </c>
      <c r="D250" s="6">
        <f>F21</f>
        <v/>
      </c>
      <c r="E250" s="6">
        <f>G21</f>
        <v/>
      </c>
      <c r="F250" s="6">
        <f>H21</f>
        <v/>
      </c>
      <c r="G250" s="6">
        <f>I21</f>
        <v/>
      </c>
      <c r="H250" s="6">
        <f>J21</f>
        <v/>
      </c>
      <c r="I250" s="6">
        <f>K21</f>
        <v/>
      </c>
      <c r="J250" s="6">
        <f>L21</f>
        <v/>
      </c>
      <c r="K250" s="6">
        <f>M21</f>
        <v/>
      </c>
      <c r="L250" s="6">
        <f>N21</f>
        <v/>
      </c>
      <c r="M250" s="6">
        <f>O21</f>
        <v/>
      </c>
      <c r="N250" s="6">
        <f>P21</f>
        <v/>
      </c>
      <c r="O250" s="6">
        <f>Q21</f>
        <v/>
      </c>
      <c r="P250" s="99" t="n"/>
      <c r="Q250" s="99" t="n"/>
    </row>
    <row r="251">
      <c r="C251" s="6" t="inlineStr">
        <is>
          <t>2009-04</t>
        </is>
      </c>
      <c r="D251" s="6">
        <f>F22</f>
        <v/>
      </c>
      <c r="E251" s="6">
        <f>G22</f>
        <v/>
      </c>
      <c r="F251" s="6">
        <f>H22</f>
        <v/>
      </c>
      <c r="G251" s="6">
        <f>I22</f>
        <v/>
      </c>
      <c r="H251" s="6">
        <f>J22</f>
        <v/>
      </c>
      <c r="I251" s="6">
        <f>K22</f>
        <v/>
      </c>
      <c r="J251" s="6">
        <f>L22</f>
        <v/>
      </c>
      <c r="K251" s="6">
        <f>M22</f>
        <v/>
      </c>
      <c r="L251" s="6">
        <f>N22</f>
        <v/>
      </c>
      <c r="M251" s="6">
        <f>O22</f>
        <v/>
      </c>
      <c r="N251" s="6">
        <f>P22</f>
        <v/>
      </c>
      <c r="O251" s="6">
        <f>Q22</f>
        <v/>
      </c>
      <c r="P251" s="99" t="n"/>
      <c r="Q251" s="99" t="n"/>
    </row>
    <row r="252">
      <c r="C252" s="6" t="inlineStr">
        <is>
          <t>2009-05</t>
        </is>
      </c>
      <c r="D252" s="6">
        <f>F23</f>
        <v/>
      </c>
      <c r="E252" s="6">
        <f>G23</f>
        <v/>
      </c>
      <c r="F252" s="6">
        <f>H23</f>
        <v/>
      </c>
      <c r="G252" s="6">
        <f>I23</f>
        <v/>
      </c>
      <c r="H252" s="6">
        <f>J23</f>
        <v/>
      </c>
      <c r="I252" s="6">
        <f>K23</f>
        <v/>
      </c>
      <c r="J252" s="6">
        <f>L23</f>
        <v/>
      </c>
      <c r="K252" s="6">
        <f>M23</f>
        <v/>
      </c>
      <c r="L252" s="6">
        <f>N23</f>
        <v/>
      </c>
      <c r="M252" s="6">
        <f>O23</f>
        <v/>
      </c>
      <c r="N252" s="6">
        <f>P23</f>
        <v/>
      </c>
      <c r="O252" s="6">
        <f>Q23</f>
        <v/>
      </c>
      <c r="P252" s="99" t="n"/>
      <c r="Q252" s="99" t="n"/>
    </row>
    <row r="253">
      <c r="C253" s="6" t="inlineStr">
        <is>
          <t>2009-06</t>
        </is>
      </c>
      <c r="D253" s="6">
        <f>F24</f>
        <v/>
      </c>
      <c r="E253" s="6">
        <f>G24</f>
        <v/>
      </c>
      <c r="F253" s="6">
        <f>H24</f>
        <v/>
      </c>
      <c r="G253" s="6">
        <f>I24</f>
        <v/>
      </c>
      <c r="H253" s="6">
        <f>J24</f>
        <v/>
      </c>
      <c r="I253" s="6">
        <f>K24</f>
        <v/>
      </c>
      <c r="J253" s="6">
        <f>L24</f>
        <v/>
      </c>
      <c r="K253" s="6">
        <f>M24</f>
        <v/>
      </c>
      <c r="L253" s="6">
        <f>N24</f>
        <v/>
      </c>
      <c r="M253" s="6">
        <f>O24</f>
        <v/>
      </c>
      <c r="N253" s="6">
        <f>P24</f>
        <v/>
      </c>
      <c r="O253" s="6">
        <f>Q24</f>
        <v/>
      </c>
      <c r="P253" s="99" t="n"/>
      <c r="Q253" s="99" t="n"/>
    </row>
    <row r="254">
      <c r="C254" s="6" t="inlineStr">
        <is>
          <t>2009-07</t>
        </is>
      </c>
      <c r="D254" s="6">
        <f>F25</f>
        <v/>
      </c>
      <c r="E254" s="6">
        <f>G25</f>
        <v/>
      </c>
      <c r="F254" s="6">
        <f>H25</f>
        <v/>
      </c>
      <c r="G254" s="6">
        <f>I25</f>
        <v/>
      </c>
      <c r="H254" s="6">
        <f>J25</f>
        <v/>
      </c>
      <c r="I254" s="6">
        <f>K25</f>
        <v/>
      </c>
      <c r="J254" s="6">
        <f>L25</f>
        <v/>
      </c>
      <c r="K254" s="6">
        <f>M25</f>
        <v/>
      </c>
      <c r="L254" s="6">
        <f>N25</f>
        <v/>
      </c>
      <c r="M254" s="6">
        <f>O25</f>
        <v/>
      </c>
      <c r="N254" s="6">
        <f>P25</f>
        <v/>
      </c>
      <c r="O254" s="6">
        <f>Q25</f>
        <v/>
      </c>
      <c r="P254" s="99" t="n"/>
      <c r="Q254" s="99" t="n"/>
    </row>
    <row r="255">
      <c r="C255" s="6" t="inlineStr">
        <is>
          <t>2009-08</t>
        </is>
      </c>
      <c r="D255" s="6">
        <f>F26</f>
        <v/>
      </c>
      <c r="E255" s="6">
        <f>G26</f>
        <v/>
      </c>
      <c r="F255" s="6">
        <f>H26</f>
        <v/>
      </c>
      <c r="G255" s="6">
        <f>I26</f>
        <v/>
      </c>
      <c r="H255" s="6">
        <f>J26</f>
        <v/>
      </c>
      <c r="I255" s="6">
        <f>K26</f>
        <v/>
      </c>
      <c r="J255" s="6">
        <f>L26</f>
        <v/>
      </c>
      <c r="K255" s="6">
        <f>M26</f>
        <v/>
      </c>
      <c r="L255" s="6">
        <f>N26</f>
        <v/>
      </c>
      <c r="M255" s="6">
        <f>O26</f>
        <v/>
      </c>
      <c r="N255" s="6">
        <f>P26</f>
        <v/>
      </c>
      <c r="O255" s="6">
        <f>Q26</f>
        <v/>
      </c>
      <c r="P255" s="99" t="n"/>
      <c r="Q255" s="99" t="n"/>
    </row>
    <row r="256">
      <c r="C256" s="6" t="inlineStr">
        <is>
          <t>2009-09</t>
        </is>
      </c>
      <c r="D256" s="6">
        <f>F27</f>
        <v/>
      </c>
      <c r="E256" s="6">
        <f>G27</f>
        <v/>
      </c>
      <c r="F256" s="6">
        <f>H27</f>
        <v/>
      </c>
      <c r="G256" s="6">
        <f>I27</f>
        <v/>
      </c>
      <c r="H256" s="6">
        <f>J27</f>
        <v/>
      </c>
      <c r="I256" s="6">
        <f>K27</f>
        <v/>
      </c>
      <c r="J256" s="6">
        <f>L27</f>
        <v/>
      </c>
      <c r="K256" s="6">
        <f>M27</f>
        <v/>
      </c>
      <c r="L256" s="6">
        <f>N27</f>
        <v/>
      </c>
      <c r="M256" s="6">
        <f>O27</f>
        <v/>
      </c>
      <c r="N256" s="6">
        <f>P27</f>
        <v/>
      </c>
      <c r="O256" s="6">
        <f>Q27</f>
        <v/>
      </c>
      <c r="P256" s="99" t="n"/>
      <c r="Q256" s="99" t="n"/>
    </row>
    <row r="257">
      <c r="C257" s="6" t="inlineStr">
        <is>
          <t>2009-10</t>
        </is>
      </c>
      <c r="D257" s="6">
        <f>F28</f>
        <v/>
      </c>
      <c r="E257" s="6">
        <f>G28</f>
        <v/>
      </c>
      <c r="F257" s="6">
        <f>H28</f>
        <v/>
      </c>
      <c r="G257" s="6">
        <f>I28</f>
        <v/>
      </c>
      <c r="H257" s="6">
        <f>J28</f>
        <v/>
      </c>
      <c r="I257" s="6">
        <f>K28</f>
        <v/>
      </c>
      <c r="J257" s="6">
        <f>L28</f>
        <v/>
      </c>
      <c r="K257" s="6">
        <f>M28</f>
        <v/>
      </c>
      <c r="L257" s="6">
        <f>N28</f>
        <v/>
      </c>
      <c r="M257" s="6">
        <f>O28</f>
        <v/>
      </c>
      <c r="N257" s="6">
        <f>P28</f>
        <v/>
      </c>
      <c r="O257" s="6">
        <f>Q28</f>
        <v/>
      </c>
      <c r="P257" s="99" t="n"/>
      <c r="Q257" s="99" t="n"/>
    </row>
    <row r="258">
      <c r="C258" s="6" t="inlineStr">
        <is>
          <t>2009-11</t>
        </is>
      </c>
      <c r="D258" s="6">
        <f>F29</f>
        <v/>
      </c>
      <c r="E258" s="6">
        <f>G29</f>
        <v/>
      </c>
      <c r="F258" s="6">
        <f>H29</f>
        <v/>
      </c>
      <c r="G258" s="6">
        <f>I29</f>
        <v/>
      </c>
      <c r="H258" s="6">
        <f>J29</f>
        <v/>
      </c>
      <c r="I258" s="6">
        <f>K29</f>
        <v/>
      </c>
      <c r="J258" s="6">
        <f>L29</f>
        <v/>
      </c>
      <c r="K258" s="6">
        <f>M29</f>
        <v/>
      </c>
      <c r="L258" s="6">
        <f>N29</f>
        <v/>
      </c>
      <c r="M258" s="6">
        <f>O29</f>
        <v/>
      </c>
      <c r="N258" s="6">
        <f>P29</f>
        <v/>
      </c>
      <c r="O258" s="6">
        <f>Q29</f>
        <v/>
      </c>
      <c r="P258" s="99" t="n"/>
      <c r="Q258" s="99" t="n"/>
    </row>
    <row r="259">
      <c r="C259" s="6" t="inlineStr">
        <is>
          <t>2009-12</t>
        </is>
      </c>
      <c r="D259" s="6">
        <f>F30</f>
        <v/>
      </c>
      <c r="E259" s="6">
        <f>G30</f>
        <v/>
      </c>
      <c r="F259" s="6">
        <f>H30</f>
        <v/>
      </c>
      <c r="G259" s="6">
        <f>I30</f>
        <v/>
      </c>
      <c r="H259" s="6">
        <f>J30</f>
        <v/>
      </c>
      <c r="I259" s="6">
        <f>K30</f>
        <v/>
      </c>
      <c r="J259" s="6">
        <f>L30</f>
        <v/>
      </c>
      <c r="K259" s="6">
        <f>M30</f>
        <v/>
      </c>
      <c r="L259" s="6">
        <f>N30</f>
        <v/>
      </c>
      <c r="M259" s="6">
        <f>O30</f>
        <v/>
      </c>
      <c r="N259" s="6">
        <f>P30</f>
        <v/>
      </c>
      <c r="O259" s="6">
        <f>Q30</f>
        <v/>
      </c>
      <c r="P259" s="99" t="n"/>
      <c r="Q259" s="99" t="n"/>
    </row>
    <row r="260">
      <c r="C260" s="6" t="inlineStr">
        <is>
          <t>2010-01</t>
        </is>
      </c>
      <c r="D260" s="6">
        <f>F31</f>
        <v/>
      </c>
      <c r="E260" s="6">
        <f>G31</f>
        <v/>
      </c>
      <c r="F260" s="6">
        <f>H31</f>
        <v/>
      </c>
      <c r="G260" s="6">
        <f>I31</f>
        <v/>
      </c>
      <c r="H260" s="6">
        <f>J31</f>
        <v/>
      </c>
      <c r="I260" s="6">
        <f>K31</f>
        <v/>
      </c>
      <c r="J260" s="6">
        <f>L31</f>
        <v/>
      </c>
      <c r="K260" s="6">
        <f>M31</f>
        <v/>
      </c>
      <c r="L260" s="6">
        <f>N31</f>
        <v/>
      </c>
      <c r="M260" s="6">
        <f>O31</f>
        <v/>
      </c>
      <c r="N260" s="6">
        <f>P31</f>
        <v/>
      </c>
      <c r="O260" s="6">
        <f>Q31</f>
        <v/>
      </c>
      <c r="P260" s="99" t="n"/>
      <c r="Q260" s="99" t="n"/>
    </row>
    <row r="261">
      <c r="C261" s="6" t="inlineStr">
        <is>
          <t>2010-02</t>
        </is>
      </c>
      <c r="D261" s="6">
        <f>F32</f>
        <v/>
      </c>
      <c r="E261" s="6">
        <f>G32</f>
        <v/>
      </c>
      <c r="F261" s="6">
        <f>H32</f>
        <v/>
      </c>
      <c r="G261" s="6">
        <f>I32</f>
        <v/>
      </c>
      <c r="H261" s="6">
        <f>J32</f>
        <v/>
      </c>
      <c r="I261" s="6">
        <f>K32</f>
        <v/>
      </c>
      <c r="J261" s="6">
        <f>L32</f>
        <v/>
      </c>
      <c r="K261" s="6">
        <f>M32</f>
        <v/>
      </c>
      <c r="L261" s="6">
        <f>N32</f>
        <v/>
      </c>
      <c r="M261" s="6">
        <f>O32</f>
        <v/>
      </c>
      <c r="N261" s="6">
        <f>P32</f>
        <v/>
      </c>
      <c r="O261" s="6">
        <f>Q32</f>
        <v/>
      </c>
      <c r="P261" s="99" t="n"/>
      <c r="Q261" s="99" t="n"/>
    </row>
    <row r="262">
      <c r="C262" s="6" t="inlineStr">
        <is>
          <t>2010-03</t>
        </is>
      </c>
      <c r="D262" s="6">
        <f>F33</f>
        <v/>
      </c>
      <c r="E262" s="6">
        <f>G33</f>
        <v/>
      </c>
      <c r="F262" s="6">
        <f>H33</f>
        <v/>
      </c>
      <c r="G262" s="6">
        <f>I33</f>
        <v/>
      </c>
      <c r="H262" s="6">
        <f>J33</f>
        <v/>
      </c>
      <c r="I262" s="6">
        <f>K33</f>
        <v/>
      </c>
      <c r="J262" s="6">
        <f>L33</f>
        <v/>
      </c>
      <c r="K262" s="6">
        <f>M33</f>
        <v/>
      </c>
      <c r="L262" s="6">
        <f>N33</f>
        <v/>
      </c>
      <c r="M262" s="6">
        <f>O33</f>
        <v/>
      </c>
      <c r="N262" s="6">
        <f>P33</f>
        <v/>
      </c>
      <c r="O262" s="6">
        <f>Q33</f>
        <v/>
      </c>
      <c r="P262" s="99" t="n"/>
      <c r="Q262" s="99" t="n"/>
    </row>
    <row r="263">
      <c r="C263" s="6" t="inlineStr">
        <is>
          <t>2010-04</t>
        </is>
      </c>
      <c r="D263" s="6">
        <f>F34</f>
        <v/>
      </c>
      <c r="E263" s="6">
        <f>G34</f>
        <v/>
      </c>
      <c r="F263" s="6">
        <f>H34</f>
        <v/>
      </c>
      <c r="G263" s="6">
        <f>I34</f>
        <v/>
      </c>
      <c r="H263" s="6">
        <f>J34</f>
        <v/>
      </c>
      <c r="I263" s="6">
        <f>K34</f>
        <v/>
      </c>
      <c r="J263" s="6">
        <f>L34</f>
        <v/>
      </c>
      <c r="K263" s="6">
        <f>M34</f>
        <v/>
      </c>
      <c r="L263" s="6">
        <f>N34</f>
        <v/>
      </c>
      <c r="M263" s="6">
        <f>O34</f>
        <v/>
      </c>
      <c r="N263" s="6">
        <f>P34</f>
        <v/>
      </c>
      <c r="O263" s="6">
        <f>Q34</f>
        <v/>
      </c>
      <c r="P263" s="99" t="n"/>
      <c r="Q263" s="99" t="n"/>
    </row>
    <row r="264">
      <c r="C264" s="6" t="inlineStr">
        <is>
          <t>2010-05</t>
        </is>
      </c>
      <c r="D264" s="6">
        <f>F35</f>
        <v/>
      </c>
      <c r="E264" s="6">
        <f>G35</f>
        <v/>
      </c>
      <c r="F264" s="6">
        <f>H35</f>
        <v/>
      </c>
      <c r="G264" s="6">
        <f>I35</f>
        <v/>
      </c>
      <c r="H264" s="6">
        <f>J35</f>
        <v/>
      </c>
      <c r="I264" s="6">
        <f>K35</f>
        <v/>
      </c>
      <c r="J264" s="6">
        <f>L35</f>
        <v/>
      </c>
      <c r="K264" s="6">
        <f>M35</f>
        <v/>
      </c>
      <c r="L264" s="6">
        <f>N35</f>
        <v/>
      </c>
      <c r="M264" s="6">
        <f>O35</f>
        <v/>
      </c>
      <c r="N264" s="6">
        <f>P35</f>
        <v/>
      </c>
      <c r="O264" s="6">
        <f>Q35</f>
        <v/>
      </c>
      <c r="P264" s="99" t="n"/>
      <c r="Q264" s="99" t="n"/>
    </row>
    <row r="265">
      <c r="C265" s="6" t="inlineStr">
        <is>
          <t>2010-06</t>
        </is>
      </c>
      <c r="D265" s="6">
        <f>F36</f>
        <v/>
      </c>
      <c r="E265" s="6">
        <f>G36</f>
        <v/>
      </c>
      <c r="F265" s="6">
        <f>H36</f>
        <v/>
      </c>
      <c r="G265" s="6">
        <f>I36</f>
        <v/>
      </c>
      <c r="H265" s="6">
        <f>J36</f>
        <v/>
      </c>
      <c r="I265" s="6">
        <f>K36</f>
        <v/>
      </c>
      <c r="J265" s="6">
        <f>L36</f>
        <v/>
      </c>
      <c r="K265" s="6">
        <f>M36</f>
        <v/>
      </c>
      <c r="L265" s="6">
        <f>N36</f>
        <v/>
      </c>
      <c r="M265" s="6">
        <f>O36</f>
        <v/>
      </c>
      <c r="N265" s="6">
        <f>P36</f>
        <v/>
      </c>
      <c r="O265" s="6">
        <f>Q36</f>
        <v/>
      </c>
      <c r="P265" s="99" t="n"/>
      <c r="Q265" s="99" t="n"/>
    </row>
    <row r="266">
      <c r="C266" s="6" t="inlineStr">
        <is>
          <t>2010-07</t>
        </is>
      </c>
      <c r="D266" s="6">
        <f>F37</f>
        <v/>
      </c>
      <c r="E266" s="6">
        <f>G37</f>
        <v/>
      </c>
      <c r="F266" s="6">
        <f>H37</f>
        <v/>
      </c>
      <c r="G266" s="6">
        <f>I37</f>
        <v/>
      </c>
      <c r="H266" s="6">
        <f>J37</f>
        <v/>
      </c>
      <c r="I266" s="6">
        <f>K37</f>
        <v/>
      </c>
      <c r="J266" s="6">
        <f>L37</f>
        <v/>
      </c>
      <c r="K266" s="6">
        <f>M37</f>
        <v/>
      </c>
      <c r="L266" s="6">
        <f>N37</f>
        <v/>
      </c>
      <c r="M266" s="6">
        <f>O37</f>
        <v/>
      </c>
      <c r="N266" s="6">
        <f>P37</f>
        <v/>
      </c>
      <c r="O266" s="6">
        <f>Q37</f>
        <v/>
      </c>
      <c r="P266" s="99" t="n"/>
      <c r="Q266" s="99" t="n"/>
    </row>
    <row r="267">
      <c r="C267" s="6" t="inlineStr">
        <is>
          <t>2010-08</t>
        </is>
      </c>
      <c r="D267" s="6">
        <f>F38</f>
        <v/>
      </c>
      <c r="E267" s="6">
        <f>G38</f>
        <v/>
      </c>
      <c r="F267" s="6">
        <f>H38</f>
        <v/>
      </c>
      <c r="G267" s="6">
        <f>I38</f>
        <v/>
      </c>
      <c r="H267" s="6">
        <f>J38</f>
        <v/>
      </c>
      <c r="I267" s="6">
        <f>K38</f>
        <v/>
      </c>
      <c r="J267" s="6">
        <f>L38</f>
        <v/>
      </c>
      <c r="K267" s="6">
        <f>M38</f>
        <v/>
      </c>
      <c r="L267" s="6">
        <f>N38</f>
        <v/>
      </c>
      <c r="M267" s="6">
        <f>O38</f>
        <v/>
      </c>
      <c r="N267" s="6">
        <f>P38</f>
        <v/>
      </c>
      <c r="O267" s="6">
        <f>Q38</f>
        <v/>
      </c>
      <c r="P267" s="99" t="n"/>
      <c r="Q267" s="99" t="n"/>
    </row>
    <row r="268">
      <c r="C268" s="6" t="inlineStr">
        <is>
          <t>2010-09</t>
        </is>
      </c>
      <c r="D268" s="6">
        <f>F39</f>
        <v/>
      </c>
      <c r="E268" s="6">
        <f>G39</f>
        <v/>
      </c>
      <c r="F268" s="6">
        <f>H39</f>
        <v/>
      </c>
      <c r="G268" s="6">
        <f>I39</f>
        <v/>
      </c>
      <c r="H268" s="6">
        <f>J39</f>
        <v/>
      </c>
      <c r="I268" s="6">
        <f>K39</f>
        <v/>
      </c>
      <c r="J268" s="6">
        <f>L39</f>
        <v/>
      </c>
      <c r="K268" s="6">
        <f>M39</f>
        <v/>
      </c>
      <c r="L268" s="6">
        <f>N39</f>
        <v/>
      </c>
      <c r="M268" s="6">
        <f>O39</f>
        <v/>
      </c>
      <c r="N268" s="6">
        <f>P39</f>
        <v/>
      </c>
      <c r="O268" s="6">
        <f>Q39</f>
        <v/>
      </c>
      <c r="P268" s="99" t="n"/>
      <c r="Q268" s="99" t="n"/>
    </row>
    <row r="269">
      <c r="C269" s="6" t="inlineStr">
        <is>
          <t>2010-10</t>
        </is>
      </c>
      <c r="D269" s="6">
        <f>F40</f>
        <v/>
      </c>
      <c r="E269" s="6">
        <f>G40</f>
        <v/>
      </c>
      <c r="F269" s="6">
        <f>H40</f>
        <v/>
      </c>
      <c r="G269" s="6">
        <f>I40</f>
        <v/>
      </c>
      <c r="H269" s="6">
        <f>J40</f>
        <v/>
      </c>
      <c r="I269" s="6">
        <f>K40</f>
        <v/>
      </c>
      <c r="J269" s="6">
        <f>L40</f>
        <v/>
      </c>
      <c r="K269" s="6">
        <f>M40</f>
        <v/>
      </c>
      <c r="L269" s="6">
        <f>N40</f>
        <v/>
      </c>
      <c r="M269" s="6">
        <f>O40</f>
        <v/>
      </c>
      <c r="N269" s="6">
        <f>P40</f>
        <v/>
      </c>
      <c r="O269" s="6">
        <f>Q40</f>
        <v/>
      </c>
      <c r="P269" s="99" t="n"/>
      <c r="Q269" s="99" t="n"/>
    </row>
    <row r="270">
      <c r="C270" s="6" t="inlineStr">
        <is>
          <t>2010-11</t>
        </is>
      </c>
      <c r="D270" s="6">
        <f>F41</f>
        <v/>
      </c>
      <c r="E270" s="6">
        <f>G41</f>
        <v/>
      </c>
      <c r="F270" s="6">
        <f>H41</f>
        <v/>
      </c>
      <c r="G270" s="6">
        <f>I41</f>
        <v/>
      </c>
      <c r="H270" s="6">
        <f>J41</f>
        <v/>
      </c>
      <c r="I270" s="6">
        <f>K41</f>
        <v/>
      </c>
      <c r="J270" s="6">
        <f>L41</f>
        <v/>
      </c>
      <c r="K270" s="6">
        <f>M41</f>
        <v/>
      </c>
      <c r="L270" s="6">
        <f>N41</f>
        <v/>
      </c>
      <c r="M270" s="6">
        <f>O41</f>
        <v/>
      </c>
      <c r="N270" s="6">
        <f>P41</f>
        <v/>
      </c>
      <c r="O270" s="6">
        <f>Q41</f>
        <v/>
      </c>
      <c r="P270" s="99" t="n"/>
      <c r="Q270" s="99" t="n"/>
    </row>
    <row r="271">
      <c r="C271" s="6" t="inlineStr">
        <is>
          <t>2010-12</t>
        </is>
      </c>
      <c r="D271" s="6">
        <f>F42</f>
        <v/>
      </c>
      <c r="E271" s="6">
        <f>G42</f>
        <v/>
      </c>
      <c r="F271" s="6">
        <f>H42</f>
        <v/>
      </c>
      <c r="G271" s="6">
        <f>I42</f>
        <v/>
      </c>
      <c r="H271" s="6">
        <f>J42</f>
        <v/>
      </c>
      <c r="I271" s="6">
        <f>K42</f>
        <v/>
      </c>
      <c r="J271" s="6">
        <f>L42</f>
        <v/>
      </c>
      <c r="K271" s="6">
        <f>M42</f>
        <v/>
      </c>
      <c r="L271" s="6">
        <f>N42</f>
        <v/>
      </c>
      <c r="M271" s="6">
        <f>O42</f>
        <v/>
      </c>
      <c r="N271" s="6">
        <f>P42</f>
        <v/>
      </c>
      <c r="O271" s="6">
        <f>Q42</f>
        <v/>
      </c>
      <c r="P271" s="99" t="n"/>
      <c r="Q271" s="99" t="n"/>
    </row>
    <row r="272">
      <c r="C272" s="6" t="inlineStr">
        <is>
          <t>2011-01</t>
        </is>
      </c>
      <c r="D272" s="6">
        <f>F43</f>
        <v/>
      </c>
      <c r="E272" s="6">
        <f>G43</f>
        <v/>
      </c>
      <c r="F272" s="6">
        <f>H43</f>
        <v/>
      </c>
      <c r="G272" s="6">
        <f>I43</f>
        <v/>
      </c>
      <c r="H272" s="6">
        <f>J43</f>
        <v/>
      </c>
      <c r="I272" s="6">
        <f>K43</f>
        <v/>
      </c>
      <c r="J272" s="6">
        <f>L43</f>
        <v/>
      </c>
      <c r="K272" s="6">
        <f>M43</f>
        <v/>
      </c>
      <c r="L272" s="6">
        <f>N43</f>
        <v/>
      </c>
      <c r="M272" s="6">
        <f>O43</f>
        <v/>
      </c>
      <c r="N272" s="6">
        <f>P43</f>
        <v/>
      </c>
      <c r="O272" s="6">
        <f>Q43</f>
        <v/>
      </c>
      <c r="P272" s="99" t="n"/>
      <c r="Q272" s="99" t="n"/>
    </row>
    <row r="273">
      <c r="C273" s="6" t="inlineStr">
        <is>
          <t>2011-02</t>
        </is>
      </c>
      <c r="D273" s="6">
        <f>F44</f>
        <v/>
      </c>
      <c r="E273" s="6">
        <f>G44</f>
        <v/>
      </c>
      <c r="F273" s="6">
        <f>H44</f>
        <v/>
      </c>
      <c r="G273" s="6">
        <f>I44</f>
        <v/>
      </c>
      <c r="H273" s="6">
        <f>J44</f>
        <v/>
      </c>
      <c r="I273" s="6">
        <f>K44</f>
        <v/>
      </c>
      <c r="J273" s="6">
        <f>L44</f>
        <v/>
      </c>
      <c r="K273" s="6">
        <f>M44</f>
        <v/>
      </c>
      <c r="L273" s="6">
        <f>N44</f>
        <v/>
      </c>
      <c r="M273" s="6">
        <f>O44</f>
        <v/>
      </c>
      <c r="N273" s="6">
        <f>P44</f>
        <v/>
      </c>
      <c r="O273" s="6">
        <f>Q44</f>
        <v/>
      </c>
      <c r="P273" s="99" t="n"/>
      <c r="Q273" s="99" t="n"/>
    </row>
    <row r="274">
      <c r="C274" s="6" t="inlineStr">
        <is>
          <t>2011-03</t>
        </is>
      </c>
      <c r="D274" s="6">
        <f>F45</f>
        <v/>
      </c>
      <c r="E274" s="6">
        <f>G45</f>
        <v/>
      </c>
      <c r="F274" s="6">
        <f>H45</f>
        <v/>
      </c>
      <c r="G274" s="6">
        <f>I45</f>
        <v/>
      </c>
      <c r="H274" s="6">
        <f>J45</f>
        <v/>
      </c>
      <c r="I274" s="6">
        <f>K45</f>
        <v/>
      </c>
      <c r="J274" s="6">
        <f>L45</f>
        <v/>
      </c>
      <c r="K274" s="6">
        <f>M45</f>
        <v/>
      </c>
      <c r="L274" s="6">
        <f>N45</f>
        <v/>
      </c>
      <c r="M274" s="6">
        <f>O45</f>
        <v/>
      </c>
      <c r="N274" s="6">
        <f>P45</f>
        <v/>
      </c>
      <c r="O274" s="6">
        <f>Q45</f>
        <v/>
      </c>
      <c r="P274" s="99" t="n"/>
      <c r="Q274" s="99" t="n"/>
    </row>
    <row r="275">
      <c r="C275" s="6" t="inlineStr">
        <is>
          <t>2011-04</t>
        </is>
      </c>
      <c r="D275" s="6">
        <f>F46</f>
        <v/>
      </c>
      <c r="E275" s="6">
        <f>G46</f>
        <v/>
      </c>
      <c r="F275" s="6">
        <f>H46</f>
        <v/>
      </c>
      <c r="G275" s="6">
        <f>I46</f>
        <v/>
      </c>
      <c r="H275" s="6">
        <f>J46</f>
        <v/>
      </c>
      <c r="I275" s="6">
        <f>K46</f>
        <v/>
      </c>
      <c r="J275" s="6">
        <f>L46</f>
        <v/>
      </c>
      <c r="K275" s="6">
        <f>M46</f>
        <v/>
      </c>
      <c r="L275" s="6">
        <f>N46</f>
        <v/>
      </c>
      <c r="M275" s="6">
        <f>O46</f>
        <v/>
      </c>
      <c r="N275" s="6">
        <f>P46</f>
        <v/>
      </c>
      <c r="O275" s="6">
        <f>Q46</f>
        <v/>
      </c>
      <c r="P275" s="99" t="n"/>
      <c r="Q275" s="99" t="n"/>
    </row>
    <row r="276">
      <c r="C276" s="6" t="inlineStr">
        <is>
          <t>2011-05</t>
        </is>
      </c>
      <c r="D276" s="6">
        <f>F47</f>
        <v/>
      </c>
      <c r="E276" s="6">
        <f>G47</f>
        <v/>
      </c>
      <c r="F276" s="6">
        <f>H47</f>
        <v/>
      </c>
      <c r="G276" s="6">
        <f>I47</f>
        <v/>
      </c>
      <c r="H276" s="6">
        <f>J47</f>
        <v/>
      </c>
      <c r="I276" s="6">
        <f>K47</f>
        <v/>
      </c>
      <c r="J276" s="6">
        <f>L47</f>
        <v/>
      </c>
      <c r="K276" s="6">
        <f>M47</f>
        <v/>
      </c>
      <c r="L276" s="6">
        <f>N47</f>
        <v/>
      </c>
      <c r="M276" s="6">
        <f>O47</f>
        <v/>
      </c>
      <c r="N276" s="6">
        <f>P47</f>
        <v/>
      </c>
      <c r="O276" s="6">
        <f>Q47</f>
        <v/>
      </c>
      <c r="P276" s="99" t="n"/>
      <c r="Q276" s="99" t="n"/>
    </row>
    <row r="277">
      <c r="C277" s="6" t="inlineStr">
        <is>
          <t>2011-06</t>
        </is>
      </c>
      <c r="D277" s="6">
        <f>F48</f>
        <v/>
      </c>
      <c r="E277" s="6">
        <f>G48</f>
        <v/>
      </c>
      <c r="F277" s="6">
        <f>H48</f>
        <v/>
      </c>
      <c r="G277" s="6">
        <f>I48</f>
        <v/>
      </c>
      <c r="H277" s="6">
        <f>J48</f>
        <v/>
      </c>
      <c r="I277" s="6">
        <f>K48</f>
        <v/>
      </c>
      <c r="J277" s="6">
        <f>L48</f>
        <v/>
      </c>
      <c r="K277" s="6">
        <f>M48</f>
        <v/>
      </c>
      <c r="L277" s="6">
        <f>N48</f>
        <v/>
      </c>
      <c r="M277" s="6">
        <f>O48</f>
        <v/>
      </c>
      <c r="N277" s="6">
        <f>P48</f>
        <v/>
      </c>
      <c r="O277" s="6">
        <f>Q48</f>
        <v/>
      </c>
      <c r="P277" s="99" t="n"/>
      <c r="Q277" s="99" t="n"/>
    </row>
    <row r="278">
      <c r="C278" s="6" t="inlineStr">
        <is>
          <t>2011-07</t>
        </is>
      </c>
      <c r="D278" s="6">
        <f>F49</f>
        <v/>
      </c>
      <c r="E278" s="6">
        <f>G49</f>
        <v/>
      </c>
      <c r="F278" s="6">
        <f>H49</f>
        <v/>
      </c>
      <c r="G278" s="6">
        <f>I49</f>
        <v/>
      </c>
      <c r="H278" s="6">
        <f>J49</f>
        <v/>
      </c>
      <c r="I278" s="6">
        <f>K49</f>
        <v/>
      </c>
      <c r="J278" s="6">
        <f>L49</f>
        <v/>
      </c>
      <c r="K278" s="6">
        <f>M49</f>
        <v/>
      </c>
      <c r="L278" s="6">
        <f>N49</f>
        <v/>
      </c>
      <c r="M278" s="6">
        <f>O49</f>
        <v/>
      </c>
      <c r="N278" s="6">
        <f>P49</f>
        <v/>
      </c>
      <c r="O278" s="6">
        <f>Q49</f>
        <v/>
      </c>
      <c r="P278" s="99" t="n"/>
      <c r="Q278" s="99" t="n"/>
    </row>
    <row r="279">
      <c r="C279" s="6" t="inlineStr">
        <is>
          <t>2011-08</t>
        </is>
      </c>
      <c r="D279" s="6">
        <f>F50</f>
        <v/>
      </c>
      <c r="E279" s="6">
        <f>G50</f>
        <v/>
      </c>
      <c r="F279" s="6">
        <f>H50</f>
        <v/>
      </c>
      <c r="G279" s="6">
        <f>I50</f>
        <v/>
      </c>
      <c r="H279" s="6">
        <f>J50</f>
        <v/>
      </c>
      <c r="I279" s="6">
        <f>K50</f>
        <v/>
      </c>
      <c r="J279" s="6">
        <f>L50</f>
        <v/>
      </c>
      <c r="K279" s="6">
        <f>M50</f>
        <v/>
      </c>
      <c r="L279" s="6">
        <f>N50</f>
        <v/>
      </c>
      <c r="M279" s="6">
        <f>O50</f>
        <v/>
      </c>
      <c r="N279" s="6">
        <f>P50</f>
        <v/>
      </c>
      <c r="O279" s="6">
        <f>Q50</f>
        <v/>
      </c>
      <c r="P279" s="99" t="n"/>
      <c r="Q279" s="99" t="n"/>
    </row>
    <row r="280">
      <c r="C280" s="6" t="inlineStr">
        <is>
          <t>2011-09</t>
        </is>
      </c>
      <c r="D280" s="6">
        <f>F51</f>
        <v/>
      </c>
      <c r="E280" s="6">
        <f>G51</f>
        <v/>
      </c>
      <c r="F280" s="6">
        <f>H51</f>
        <v/>
      </c>
      <c r="G280" s="6">
        <f>I51</f>
        <v/>
      </c>
      <c r="H280" s="6">
        <f>J51</f>
        <v/>
      </c>
      <c r="I280" s="6">
        <f>K51</f>
        <v/>
      </c>
      <c r="J280" s="6">
        <f>L51</f>
        <v/>
      </c>
      <c r="K280" s="6">
        <f>M51</f>
        <v/>
      </c>
      <c r="L280" s="6">
        <f>N51</f>
        <v/>
      </c>
      <c r="M280" s="6">
        <f>O51</f>
        <v/>
      </c>
      <c r="N280" s="6">
        <f>P51</f>
        <v/>
      </c>
      <c r="O280" s="6">
        <f>Q51</f>
        <v/>
      </c>
      <c r="P280" s="99" t="n"/>
      <c r="Q280" s="99" t="n"/>
    </row>
    <row r="281">
      <c r="C281" s="6" t="inlineStr">
        <is>
          <t>2011-10</t>
        </is>
      </c>
      <c r="D281" s="6">
        <f>F52</f>
        <v/>
      </c>
      <c r="E281" s="6">
        <f>G52</f>
        <v/>
      </c>
      <c r="F281" s="6">
        <f>H52</f>
        <v/>
      </c>
      <c r="G281" s="6">
        <f>I52</f>
        <v/>
      </c>
      <c r="H281" s="6">
        <f>J52</f>
        <v/>
      </c>
      <c r="I281" s="6">
        <f>K52</f>
        <v/>
      </c>
      <c r="J281" s="6">
        <f>L52</f>
        <v/>
      </c>
      <c r="K281" s="6">
        <f>M52</f>
        <v/>
      </c>
      <c r="L281" s="6">
        <f>N52</f>
        <v/>
      </c>
      <c r="M281" s="6">
        <f>O52</f>
        <v/>
      </c>
      <c r="N281" s="6">
        <f>P52</f>
        <v/>
      </c>
      <c r="O281" s="6">
        <f>Q52</f>
        <v/>
      </c>
      <c r="P281" s="99" t="n"/>
      <c r="Q281" s="99" t="n"/>
    </row>
    <row r="282">
      <c r="C282" s="6" t="inlineStr">
        <is>
          <t>2011-11</t>
        </is>
      </c>
      <c r="D282" s="6">
        <f>F53</f>
        <v/>
      </c>
      <c r="E282" s="6">
        <f>G53</f>
        <v/>
      </c>
      <c r="F282" s="6">
        <f>H53</f>
        <v/>
      </c>
      <c r="G282" s="6">
        <f>I53</f>
        <v/>
      </c>
      <c r="H282" s="6">
        <f>J53</f>
        <v/>
      </c>
      <c r="I282" s="6">
        <f>K53</f>
        <v/>
      </c>
      <c r="J282" s="6">
        <f>L53</f>
        <v/>
      </c>
      <c r="K282" s="6">
        <f>M53</f>
        <v/>
      </c>
      <c r="L282" s="6">
        <f>N53</f>
        <v/>
      </c>
      <c r="M282" s="6">
        <f>O53</f>
        <v/>
      </c>
      <c r="N282" s="6">
        <f>P53</f>
        <v/>
      </c>
      <c r="O282" s="6">
        <f>Q53</f>
        <v/>
      </c>
      <c r="P282" s="99" t="n"/>
      <c r="Q282" s="99" t="n"/>
    </row>
    <row r="283">
      <c r="C283" s="6" t="inlineStr">
        <is>
          <t>2011-12</t>
        </is>
      </c>
      <c r="D283" s="6">
        <f>F54</f>
        <v/>
      </c>
      <c r="E283" s="6">
        <f>G54</f>
        <v/>
      </c>
      <c r="F283" s="6">
        <f>H54</f>
        <v/>
      </c>
      <c r="G283" s="6">
        <f>I54</f>
        <v/>
      </c>
      <c r="H283" s="6">
        <f>J54</f>
        <v/>
      </c>
      <c r="I283" s="6">
        <f>K54</f>
        <v/>
      </c>
      <c r="J283" s="6">
        <f>L54</f>
        <v/>
      </c>
      <c r="K283" s="6">
        <f>M54</f>
        <v/>
      </c>
      <c r="L283" s="6">
        <f>N54</f>
        <v/>
      </c>
      <c r="M283" s="6">
        <f>O54</f>
        <v/>
      </c>
      <c r="N283" s="6">
        <f>P54</f>
        <v/>
      </c>
      <c r="O283" s="6">
        <f>Q54</f>
        <v/>
      </c>
      <c r="P283" s="99" t="n"/>
      <c r="Q283" s="99" t="n"/>
    </row>
    <row r="284">
      <c r="C284" s="6" t="inlineStr">
        <is>
          <t>2012-01</t>
        </is>
      </c>
      <c r="D284" s="6">
        <f>F55</f>
        <v/>
      </c>
      <c r="E284" s="6">
        <f>G55</f>
        <v/>
      </c>
      <c r="F284" s="6">
        <f>H55</f>
        <v/>
      </c>
      <c r="G284" s="6">
        <f>I55</f>
        <v/>
      </c>
      <c r="H284" s="6">
        <f>J55</f>
        <v/>
      </c>
      <c r="I284" s="6">
        <f>K55</f>
        <v/>
      </c>
      <c r="J284" s="6">
        <f>L55</f>
        <v/>
      </c>
      <c r="K284" s="6">
        <f>M55</f>
        <v/>
      </c>
      <c r="L284" s="6">
        <f>N55</f>
        <v/>
      </c>
      <c r="M284" s="6">
        <f>O55</f>
        <v/>
      </c>
      <c r="N284" s="6">
        <f>P55</f>
        <v/>
      </c>
      <c r="O284" s="6">
        <f>Q55</f>
        <v/>
      </c>
      <c r="P284" s="99" t="n"/>
      <c r="Q284" s="99" t="n"/>
    </row>
    <row r="285">
      <c r="C285" s="6" t="inlineStr">
        <is>
          <t>2012-02</t>
        </is>
      </c>
      <c r="D285" s="6">
        <f>F56</f>
        <v/>
      </c>
      <c r="E285" s="6">
        <f>G56</f>
        <v/>
      </c>
      <c r="F285" s="6">
        <f>H56</f>
        <v/>
      </c>
      <c r="G285" s="6">
        <f>I56</f>
        <v/>
      </c>
      <c r="H285" s="6">
        <f>J56</f>
        <v/>
      </c>
      <c r="I285" s="6">
        <f>K56</f>
        <v/>
      </c>
      <c r="J285" s="6">
        <f>L56</f>
        <v/>
      </c>
      <c r="K285" s="6">
        <f>M56</f>
        <v/>
      </c>
      <c r="L285" s="6">
        <f>N56</f>
        <v/>
      </c>
      <c r="M285" s="6">
        <f>O56</f>
        <v/>
      </c>
      <c r="N285" s="6">
        <f>P56</f>
        <v/>
      </c>
      <c r="O285" s="6">
        <f>Q56</f>
        <v/>
      </c>
      <c r="P285" s="99" t="n"/>
      <c r="Q285" s="99" t="n"/>
    </row>
    <row r="286">
      <c r="C286" s="6" t="inlineStr">
        <is>
          <t>2012-03</t>
        </is>
      </c>
      <c r="D286" s="6">
        <f>F57</f>
        <v/>
      </c>
      <c r="E286" s="6">
        <f>G57</f>
        <v/>
      </c>
      <c r="F286" s="6">
        <f>H57</f>
        <v/>
      </c>
      <c r="G286" s="6">
        <f>I57</f>
        <v/>
      </c>
      <c r="H286" s="6">
        <f>J57</f>
        <v/>
      </c>
      <c r="I286" s="6">
        <f>K57</f>
        <v/>
      </c>
      <c r="J286" s="6">
        <f>L57</f>
        <v/>
      </c>
      <c r="K286" s="6">
        <f>M57</f>
        <v/>
      </c>
      <c r="L286" s="6">
        <f>N57</f>
        <v/>
      </c>
      <c r="M286" s="6">
        <f>O57</f>
        <v/>
      </c>
      <c r="N286" s="6">
        <f>P57</f>
        <v/>
      </c>
      <c r="O286" s="6">
        <f>Q57</f>
        <v/>
      </c>
      <c r="P286" s="99" t="n"/>
      <c r="Q286" s="99" t="n"/>
    </row>
    <row r="287">
      <c r="C287" s="6" t="inlineStr">
        <is>
          <t>2012-04</t>
        </is>
      </c>
      <c r="D287" s="6">
        <f>F58</f>
        <v/>
      </c>
      <c r="E287" s="6">
        <f>G58</f>
        <v/>
      </c>
      <c r="F287" s="6">
        <f>H58</f>
        <v/>
      </c>
      <c r="G287" s="6">
        <f>I58</f>
        <v/>
      </c>
      <c r="H287" s="6">
        <f>J58</f>
        <v/>
      </c>
      <c r="I287" s="6">
        <f>K58</f>
        <v/>
      </c>
      <c r="J287" s="6">
        <f>L58</f>
        <v/>
      </c>
      <c r="K287" s="6">
        <f>M58</f>
        <v/>
      </c>
      <c r="L287" s="6">
        <f>N58</f>
        <v/>
      </c>
      <c r="M287" s="6">
        <f>O58</f>
        <v/>
      </c>
      <c r="N287" s="6">
        <f>P58</f>
        <v/>
      </c>
      <c r="O287" s="6">
        <f>Q58</f>
        <v/>
      </c>
      <c r="P287" s="99" t="n"/>
      <c r="Q287" s="99" t="n"/>
    </row>
    <row r="288">
      <c r="C288" s="6" t="inlineStr">
        <is>
          <t>2012-05</t>
        </is>
      </c>
      <c r="D288" s="6">
        <f>F59</f>
        <v/>
      </c>
      <c r="E288" s="6">
        <f>G59</f>
        <v/>
      </c>
      <c r="F288" s="6">
        <f>H59</f>
        <v/>
      </c>
      <c r="G288" s="6">
        <f>I59</f>
        <v/>
      </c>
      <c r="H288" s="6">
        <f>J59</f>
        <v/>
      </c>
      <c r="I288" s="6">
        <f>K59</f>
        <v/>
      </c>
      <c r="J288" s="6">
        <f>L59</f>
        <v/>
      </c>
      <c r="K288" s="6">
        <f>M59</f>
        <v/>
      </c>
      <c r="L288" s="6">
        <f>N59</f>
        <v/>
      </c>
      <c r="M288" s="6">
        <f>O59</f>
        <v/>
      </c>
      <c r="N288" s="6">
        <f>P59</f>
        <v/>
      </c>
      <c r="O288" s="6">
        <f>Q59</f>
        <v/>
      </c>
      <c r="P288" s="99" t="n"/>
      <c r="Q288" s="99" t="n"/>
    </row>
    <row r="289">
      <c r="C289" s="6" t="inlineStr">
        <is>
          <t>2012-06</t>
        </is>
      </c>
      <c r="D289" s="6">
        <f>F60</f>
        <v/>
      </c>
      <c r="E289" s="6">
        <f>G60</f>
        <v/>
      </c>
      <c r="F289" s="6">
        <f>H60</f>
        <v/>
      </c>
      <c r="G289" s="6">
        <f>I60</f>
        <v/>
      </c>
      <c r="H289" s="6">
        <f>J60</f>
        <v/>
      </c>
      <c r="I289" s="6">
        <f>K60</f>
        <v/>
      </c>
      <c r="J289" s="6">
        <f>L60</f>
        <v/>
      </c>
      <c r="K289" s="6">
        <f>M60</f>
        <v/>
      </c>
      <c r="L289" s="6">
        <f>N60</f>
        <v/>
      </c>
      <c r="M289" s="6">
        <f>O60</f>
        <v/>
      </c>
      <c r="N289" s="6">
        <f>P60</f>
        <v/>
      </c>
      <c r="O289" s="6">
        <f>Q60</f>
        <v/>
      </c>
      <c r="P289" s="99" t="n"/>
      <c r="Q289" s="99" t="n"/>
    </row>
    <row r="290">
      <c r="C290" s="6" t="inlineStr">
        <is>
          <t>2012-07</t>
        </is>
      </c>
      <c r="D290" s="6">
        <f>F61</f>
        <v/>
      </c>
      <c r="E290" s="6">
        <f>G61</f>
        <v/>
      </c>
      <c r="F290" s="6">
        <f>H61</f>
        <v/>
      </c>
      <c r="G290" s="6">
        <f>I61</f>
        <v/>
      </c>
      <c r="H290" s="6">
        <f>J61</f>
        <v/>
      </c>
      <c r="I290" s="6">
        <f>K61</f>
        <v/>
      </c>
      <c r="J290" s="6">
        <f>L61</f>
        <v/>
      </c>
      <c r="K290" s="6">
        <f>M61</f>
        <v/>
      </c>
      <c r="L290" s="6">
        <f>N61</f>
        <v/>
      </c>
      <c r="M290" s="6">
        <f>O61</f>
        <v/>
      </c>
      <c r="N290" s="6">
        <f>P61</f>
        <v/>
      </c>
      <c r="O290" s="6">
        <f>Q61</f>
        <v/>
      </c>
      <c r="P290" s="99" t="n"/>
      <c r="Q290" s="99" t="n"/>
    </row>
    <row r="291">
      <c r="C291" s="6" t="inlineStr">
        <is>
          <t>2012-08</t>
        </is>
      </c>
      <c r="D291" s="6">
        <f>F62</f>
        <v/>
      </c>
      <c r="E291" s="6">
        <f>G62</f>
        <v/>
      </c>
      <c r="F291" s="6">
        <f>H62</f>
        <v/>
      </c>
      <c r="G291" s="6">
        <f>I62</f>
        <v/>
      </c>
      <c r="H291" s="6">
        <f>J62</f>
        <v/>
      </c>
      <c r="I291" s="6">
        <f>K62</f>
        <v/>
      </c>
      <c r="J291" s="6">
        <f>L62</f>
        <v/>
      </c>
      <c r="K291" s="6">
        <f>M62</f>
        <v/>
      </c>
      <c r="L291" s="6">
        <f>N62</f>
        <v/>
      </c>
      <c r="M291" s="6">
        <f>O62</f>
        <v/>
      </c>
      <c r="N291" s="6">
        <f>P62</f>
        <v/>
      </c>
      <c r="O291" s="6">
        <f>Q62</f>
        <v/>
      </c>
      <c r="P291" s="99" t="n"/>
      <c r="Q291" s="99" t="n"/>
    </row>
    <row r="292">
      <c r="C292" s="6" t="inlineStr">
        <is>
          <t>2012-09</t>
        </is>
      </c>
      <c r="D292" s="6">
        <f>F63</f>
        <v/>
      </c>
      <c r="E292" s="6">
        <f>G63</f>
        <v/>
      </c>
      <c r="F292" s="6">
        <f>H63</f>
        <v/>
      </c>
      <c r="G292" s="6">
        <f>I63</f>
        <v/>
      </c>
      <c r="H292" s="6">
        <f>J63</f>
        <v/>
      </c>
      <c r="I292" s="6">
        <f>K63</f>
        <v/>
      </c>
      <c r="J292" s="6">
        <f>L63</f>
        <v/>
      </c>
      <c r="K292" s="6">
        <f>M63</f>
        <v/>
      </c>
      <c r="L292" s="6">
        <f>N63</f>
        <v/>
      </c>
      <c r="M292" s="6">
        <f>O63</f>
        <v/>
      </c>
      <c r="N292" s="6">
        <f>P63</f>
        <v/>
      </c>
      <c r="O292" s="6">
        <f>Q63</f>
        <v/>
      </c>
      <c r="P292" s="99" t="n"/>
      <c r="Q292" s="99" t="n"/>
    </row>
    <row r="293">
      <c r="C293" s="6" t="inlineStr">
        <is>
          <t>2012-10</t>
        </is>
      </c>
      <c r="D293" s="6">
        <f>F64</f>
        <v/>
      </c>
      <c r="E293" s="6">
        <f>G64</f>
        <v/>
      </c>
      <c r="F293" s="6">
        <f>H64</f>
        <v/>
      </c>
      <c r="G293" s="6">
        <f>I64</f>
        <v/>
      </c>
      <c r="H293" s="6">
        <f>J64</f>
        <v/>
      </c>
      <c r="I293" s="6">
        <f>K64</f>
        <v/>
      </c>
      <c r="J293" s="6">
        <f>L64</f>
        <v/>
      </c>
      <c r="K293" s="6">
        <f>M64</f>
        <v/>
      </c>
      <c r="L293" s="6">
        <f>N64</f>
        <v/>
      </c>
      <c r="M293" s="6">
        <f>O64</f>
        <v/>
      </c>
      <c r="N293" s="6">
        <f>P64</f>
        <v/>
      </c>
      <c r="O293" s="6">
        <f>Q64</f>
        <v/>
      </c>
      <c r="P293" s="99" t="n"/>
      <c r="Q293" s="99" t="n"/>
    </row>
    <row r="294">
      <c r="C294" s="6" t="inlineStr">
        <is>
          <t>2012-11</t>
        </is>
      </c>
      <c r="D294" s="6">
        <f>F65</f>
        <v/>
      </c>
      <c r="E294" s="6">
        <f>G65</f>
        <v/>
      </c>
      <c r="F294" s="6">
        <f>H65</f>
        <v/>
      </c>
      <c r="G294" s="6">
        <f>I65</f>
        <v/>
      </c>
      <c r="H294" s="6">
        <f>J65</f>
        <v/>
      </c>
      <c r="I294" s="6">
        <f>K65</f>
        <v/>
      </c>
      <c r="J294" s="6">
        <f>L65</f>
        <v/>
      </c>
      <c r="K294" s="6">
        <f>M65</f>
        <v/>
      </c>
      <c r="L294" s="6">
        <f>N65</f>
        <v/>
      </c>
      <c r="M294" s="6">
        <f>O65</f>
        <v/>
      </c>
      <c r="N294" s="6">
        <f>P65</f>
        <v/>
      </c>
      <c r="O294" s="6">
        <f>Q65</f>
        <v/>
      </c>
      <c r="P294" s="99" t="n"/>
      <c r="Q294" s="99" t="n"/>
    </row>
    <row r="295">
      <c r="C295" s="6" t="inlineStr">
        <is>
          <t>2012-12</t>
        </is>
      </c>
      <c r="D295" s="6">
        <f>F66</f>
        <v/>
      </c>
      <c r="E295" s="6">
        <f>G66</f>
        <v/>
      </c>
      <c r="F295" s="6">
        <f>H66</f>
        <v/>
      </c>
      <c r="G295" s="6">
        <f>I66</f>
        <v/>
      </c>
      <c r="H295" s="6">
        <f>J66</f>
        <v/>
      </c>
      <c r="I295" s="6">
        <f>K66</f>
        <v/>
      </c>
      <c r="J295" s="6">
        <f>L66</f>
        <v/>
      </c>
      <c r="K295" s="6">
        <f>M66</f>
        <v/>
      </c>
      <c r="L295" s="6">
        <f>N66</f>
        <v/>
      </c>
      <c r="M295" s="6">
        <f>O66</f>
        <v/>
      </c>
      <c r="N295" s="6">
        <f>P66</f>
        <v/>
      </c>
      <c r="O295" s="6">
        <f>Q66</f>
        <v/>
      </c>
      <c r="P295" s="99" t="n"/>
      <c r="Q295" s="99" t="n"/>
    </row>
    <row r="296">
      <c r="C296" s="6" t="inlineStr">
        <is>
          <t>2013-01</t>
        </is>
      </c>
      <c r="D296" s="6">
        <f>F67</f>
        <v/>
      </c>
      <c r="E296" s="6">
        <f>G67</f>
        <v/>
      </c>
      <c r="F296" s="6">
        <f>H67</f>
        <v/>
      </c>
      <c r="G296" s="6">
        <f>I67</f>
        <v/>
      </c>
      <c r="H296" s="6">
        <f>J67</f>
        <v/>
      </c>
      <c r="I296" s="6">
        <f>K67</f>
        <v/>
      </c>
      <c r="J296" s="6">
        <f>L67</f>
        <v/>
      </c>
      <c r="K296" s="6">
        <f>M67</f>
        <v/>
      </c>
      <c r="L296" s="6">
        <f>N67</f>
        <v/>
      </c>
      <c r="M296" s="6">
        <f>O67</f>
        <v/>
      </c>
      <c r="N296" s="6">
        <f>P67</f>
        <v/>
      </c>
      <c r="O296" s="6">
        <f>Q67</f>
        <v/>
      </c>
      <c r="P296" s="99" t="n"/>
      <c r="Q296" s="99" t="n"/>
    </row>
    <row r="297">
      <c r="C297" s="6" t="inlineStr">
        <is>
          <t>2013-02</t>
        </is>
      </c>
      <c r="D297" s="6">
        <f>F68</f>
        <v/>
      </c>
      <c r="E297" s="6">
        <f>G68</f>
        <v/>
      </c>
      <c r="F297" s="6">
        <f>H68</f>
        <v/>
      </c>
      <c r="G297" s="6">
        <f>I68</f>
        <v/>
      </c>
      <c r="H297" s="6">
        <f>J68</f>
        <v/>
      </c>
      <c r="I297" s="6">
        <f>K68</f>
        <v/>
      </c>
      <c r="J297" s="6">
        <f>L68</f>
        <v/>
      </c>
      <c r="K297" s="6">
        <f>M68</f>
        <v/>
      </c>
      <c r="L297" s="6">
        <f>N68</f>
        <v/>
      </c>
      <c r="M297" s="6">
        <f>O68</f>
        <v/>
      </c>
      <c r="N297" s="6">
        <f>P68</f>
        <v/>
      </c>
      <c r="O297" s="6">
        <f>Q68</f>
        <v/>
      </c>
      <c r="P297" s="99" t="n"/>
      <c r="Q297" s="99" t="n"/>
    </row>
    <row r="298">
      <c r="C298" s="6" t="inlineStr">
        <is>
          <t>2013-03</t>
        </is>
      </c>
      <c r="D298" s="6">
        <f>F69</f>
        <v/>
      </c>
      <c r="E298" s="6">
        <f>G69</f>
        <v/>
      </c>
      <c r="F298" s="6">
        <f>H69</f>
        <v/>
      </c>
      <c r="G298" s="6">
        <f>I69</f>
        <v/>
      </c>
      <c r="H298" s="6">
        <f>J69</f>
        <v/>
      </c>
      <c r="I298" s="6">
        <f>K69</f>
        <v/>
      </c>
      <c r="J298" s="6">
        <f>L69</f>
        <v/>
      </c>
      <c r="K298" s="6">
        <f>M69</f>
        <v/>
      </c>
      <c r="L298" s="6">
        <f>N69</f>
        <v/>
      </c>
      <c r="M298" s="6">
        <f>O69</f>
        <v/>
      </c>
      <c r="N298" s="6">
        <f>P69</f>
        <v/>
      </c>
      <c r="O298" s="6">
        <f>Q69</f>
        <v/>
      </c>
      <c r="P298" s="99" t="n"/>
      <c r="Q298" s="99" t="n"/>
    </row>
    <row r="299">
      <c r="C299" s="6" t="inlineStr">
        <is>
          <t>2013-04</t>
        </is>
      </c>
      <c r="D299" s="6">
        <f>F70</f>
        <v/>
      </c>
      <c r="E299" s="6">
        <f>G70</f>
        <v/>
      </c>
      <c r="F299" s="6">
        <f>H70</f>
        <v/>
      </c>
      <c r="G299" s="6">
        <f>I70</f>
        <v/>
      </c>
      <c r="H299" s="6">
        <f>J70</f>
        <v/>
      </c>
      <c r="I299" s="6">
        <f>K70</f>
        <v/>
      </c>
      <c r="J299" s="6">
        <f>L70</f>
        <v/>
      </c>
      <c r="K299" s="6">
        <f>M70</f>
        <v/>
      </c>
      <c r="L299" s="6">
        <f>N70</f>
        <v/>
      </c>
      <c r="M299" s="6">
        <f>O70</f>
        <v/>
      </c>
      <c r="N299" s="6">
        <f>P70</f>
        <v/>
      </c>
      <c r="O299" s="6">
        <f>Q70</f>
        <v/>
      </c>
      <c r="P299" s="99" t="n"/>
      <c r="Q299" s="99" t="n"/>
    </row>
    <row r="300">
      <c r="C300" s="6" t="inlineStr">
        <is>
          <t>2013-05</t>
        </is>
      </c>
      <c r="D300" s="6">
        <f>F71</f>
        <v/>
      </c>
      <c r="E300" s="6">
        <f>G71</f>
        <v/>
      </c>
      <c r="F300" s="6">
        <f>H71</f>
        <v/>
      </c>
      <c r="G300" s="6">
        <f>I71</f>
        <v/>
      </c>
      <c r="H300" s="6">
        <f>J71</f>
        <v/>
      </c>
      <c r="I300" s="6">
        <f>K71</f>
        <v/>
      </c>
      <c r="J300" s="6">
        <f>L71</f>
        <v/>
      </c>
      <c r="K300" s="6">
        <f>M71</f>
        <v/>
      </c>
      <c r="L300" s="6">
        <f>N71</f>
        <v/>
      </c>
      <c r="M300" s="6">
        <f>O71</f>
        <v/>
      </c>
      <c r="N300" s="6">
        <f>P71</f>
        <v/>
      </c>
      <c r="O300" s="6">
        <f>Q71</f>
        <v/>
      </c>
      <c r="P300" s="99" t="n"/>
      <c r="Q300" s="99" t="n"/>
    </row>
    <row r="301">
      <c r="C301" s="6" t="inlineStr">
        <is>
          <t>2013-06</t>
        </is>
      </c>
      <c r="D301" s="6">
        <f>F72</f>
        <v/>
      </c>
      <c r="E301" s="6">
        <f>G72</f>
        <v/>
      </c>
      <c r="F301" s="6">
        <f>H72</f>
        <v/>
      </c>
      <c r="G301" s="6">
        <f>I72</f>
        <v/>
      </c>
      <c r="H301" s="6">
        <f>J72</f>
        <v/>
      </c>
      <c r="I301" s="6">
        <f>K72</f>
        <v/>
      </c>
      <c r="J301" s="6">
        <f>L72</f>
        <v/>
      </c>
      <c r="K301" s="6">
        <f>M72</f>
        <v/>
      </c>
      <c r="L301" s="6">
        <f>N72</f>
        <v/>
      </c>
      <c r="M301" s="6">
        <f>O72</f>
        <v/>
      </c>
      <c r="N301" s="6">
        <f>P72</f>
        <v/>
      </c>
      <c r="O301" s="6">
        <f>Q72</f>
        <v/>
      </c>
      <c r="P301" s="99" t="n"/>
      <c r="Q301" s="99" t="n"/>
    </row>
    <row r="302">
      <c r="C302" s="6" t="inlineStr">
        <is>
          <t>2013-07</t>
        </is>
      </c>
      <c r="D302" s="6">
        <f>F73</f>
        <v/>
      </c>
      <c r="E302" s="6">
        <f>G73</f>
        <v/>
      </c>
      <c r="F302" s="6">
        <f>H73</f>
        <v/>
      </c>
      <c r="G302" s="6">
        <f>I73</f>
        <v/>
      </c>
      <c r="H302" s="6">
        <f>J73</f>
        <v/>
      </c>
      <c r="I302" s="6">
        <f>K73</f>
        <v/>
      </c>
      <c r="J302" s="6">
        <f>L73</f>
        <v/>
      </c>
      <c r="K302" s="6">
        <f>M73</f>
        <v/>
      </c>
      <c r="L302" s="6">
        <f>N73</f>
        <v/>
      </c>
      <c r="M302" s="6">
        <f>O73</f>
        <v/>
      </c>
      <c r="N302" s="6">
        <f>P73</f>
        <v/>
      </c>
      <c r="O302" s="6">
        <f>Q73</f>
        <v/>
      </c>
      <c r="P302" s="99" t="n"/>
      <c r="Q302" s="99" t="n"/>
    </row>
    <row r="303">
      <c r="C303" s="6" t="inlineStr">
        <is>
          <t>2013-08</t>
        </is>
      </c>
      <c r="D303" s="6">
        <f>F74</f>
        <v/>
      </c>
      <c r="E303" s="6">
        <f>G74</f>
        <v/>
      </c>
      <c r="F303" s="6">
        <f>H74</f>
        <v/>
      </c>
      <c r="G303" s="6">
        <f>I74</f>
        <v/>
      </c>
      <c r="H303" s="6">
        <f>J74</f>
        <v/>
      </c>
      <c r="I303" s="6">
        <f>K74</f>
        <v/>
      </c>
      <c r="J303" s="6">
        <f>L74</f>
        <v/>
      </c>
      <c r="K303" s="6">
        <f>M74</f>
        <v/>
      </c>
      <c r="L303" s="6">
        <f>N74</f>
        <v/>
      </c>
      <c r="M303" s="6">
        <f>O74</f>
        <v/>
      </c>
      <c r="N303" s="6">
        <f>P74</f>
        <v/>
      </c>
      <c r="O303" s="6">
        <f>Q74</f>
        <v/>
      </c>
      <c r="P303" s="99" t="n"/>
      <c r="Q303" s="99" t="n"/>
    </row>
    <row r="304">
      <c r="C304" s="6" t="inlineStr">
        <is>
          <t>2013-09</t>
        </is>
      </c>
      <c r="D304" s="6">
        <f>F75</f>
        <v/>
      </c>
      <c r="E304" s="6">
        <f>G75</f>
        <v/>
      </c>
      <c r="F304" s="6">
        <f>H75</f>
        <v/>
      </c>
      <c r="G304" s="6">
        <f>I75</f>
        <v/>
      </c>
      <c r="H304" s="6">
        <f>J75</f>
        <v/>
      </c>
      <c r="I304" s="6">
        <f>K75</f>
        <v/>
      </c>
      <c r="J304" s="6">
        <f>L75</f>
        <v/>
      </c>
      <c r="K304" s="6">
        <f>M75</f>
        <v/>
      </c>
      <c r="L304" s="6">
        <f>N75</f>
        <v/>
      </c>
      <c r="M304" s="6">
        <f>O75</f>
        <v/>
      </c>
      <c r="N304" s="6">
        <f>P75</f>
        <v/>
      </c>
      <c r="O304" s="6">
        <f>Q75</f>
        <v/>
      </c>
      <c r="P304" s="99" t="n"/>
      <c r="Q304" s="99" t="n"/>
    </row>
    <row r="305">
      <c r="C305" s="6" t="inlineStr">
        <is>
          <t>2013-10</t>
        </is>
      </c>
      <c r="D305" s="6">
        <f>F76</f>
        <v/>
      </c>
      <c r="E305" s="6">
        <f>G76</f>
        <v/>
      </c>
      <c r="F305" s="6">
        <f>H76</f>
        <v/>
      </c>
      <c r="G305" s="6">
        <f>I76</f>
        <v/>
      </c>
      <c r="H305" s="6">
        <f>J76</f>
        <v/>
      </c>
      <c r="I305" s="6">
        <f>K76</f>
        <v/>
      </c>
      <c r="J305" s="6">
        <f>L76</f>
        <v/>
      </c>
      <c r="K305" s="6">
        <f>M76</f>
        <v/>
      </c>
      <c r="L305" s="6">
        <f>N76</f>
        <v/>
      </c>
      <c r="M305" s="6">
        <f>O76</f>
        <v/>
      </c>
      <c r="N305" s="6">
        <f>P76</f>
        <v/>
      </c>
      <c r="O305" s="6">
        <f>Q76</f>
        <v/>
      </c>
      <c r="P305" s="99" t="n"/>
      <c r="Q305" s="99" t="n"/>
    </row>
    <row r="306">
      <c r="C306" s="6" t="inlineStr">
        <is>
          <t>2013-11</t>
        </is>
      </c>
      <c r="D306" s="6">
        <f>F77</f>
        <v/>
      </c>
      <c r="E306" s="6">
        <f>G77</f>
        <v/>
      </c>
      <c r="F306" s="6">
        <f>H77</f>
        <v/>
      </c>
      <c r="G306" s="6">
        <f>I77</f>
        <v/>
      </c>
      <c r="H306" s="6">
        <f>J77</f>
        <v/>
      </c>
      <c r="I306" s="6">
        <f>K77</f>
        <v/>
      </c>
      <c r="J306" s="6">
        <f>L77</f>
        <v/>
      </c>
      <c r="K306" s="6">
        <f>M77</f>
        <v/>
      </c>
      <c r="L306" s="6">
        <f>N77</f>
        <v/>
      </c>
      <c r="M306" s="6">
        <f>O77</f>
        <v/>
      </c>
      <c r="N306" s="6">
        <f>P77</f>
        <v/>
      </c>
      <c r="O306" s="6">
        <f>Q77</f>
        <v/>
      </c>
      <c r="P306" s="99" t="n"/>
      <c r="Q306" s="99" t="n"/>
    </row>
    <row r="307">
      <c r="C307" s="6" t="inlineStr">
        <is>
          <t>2013-12</t>
        </is>
      </c>
      <c r="D307" s="6">
        <f>F78</f>
        <v/>
      </c>
      <c r="E307" s="6">
        <f>G78</f>
        <v/>
      </c>
      <c r="F307" s="6">
        <f>H78</f>
        <v/>
      </c>
      <c r="G307" s="6">
        <f>I78</f>
        <v/>
      </c>
      <c r="H307" s="6">
        <f>J78</f>
        <v/>
      </c>
      <c r="I307" s="6">
        <f>K78</f>
        <v/>
      </c>
      <c r="J307" s="6">
        <f>L78</f>
        <v/>
      </c>
      <c r="K307" s="6">
        <f>M78</f>
        <v/>
      </c>
      <c r="L307" s="6">
        <f>N78</f>
        <v/>
      </c>
      <c r="M307" s="6">
        <f>O78</f>
        <v/>
      </c>
      <c r="N307" s="6">
        <f>P78</f>
        <v/>
      </c>
      <c r="O307" s="6">
        <f>Q78</f>
        <v/>
      </c>
      <c r="P307" s="99" t="n"/>
      <c r="Q307" s="99" t="n"/>
    </row>
    <row r="308">
      <c r="C308" s="6" t="inlineStr">
        <is>
          <t>2014-01</t>
        </is>
      </c>
      <c r="D308" s="6">
        <f>F79</f>
        <v/>
      </c>
      <c r="E308" s="6">
        <f>G79</f>
        <v/>
      </c>
      <c r="F308" s="6">
        <f>H79</f>
        <v/>
      </c>
      <c r="G308" s="6">
        <f>I79</f>
        <v/>
      </c>
      <c r="H308" s="6">
        <f>J79</f>
        <v/>
      </c>
      <c r="I308" s="6">
        <f>K79</f>
        <v/>
      </c>
      <c r="J308" s="6">
        <f>L79</f>
        <v/>
      </c>
      <c r="K308" s="6">
        <f>M79</f>
        <v/>
      </c>
      <c r="L308" s="6">
        <f>N79</f>
        <v/>
      </c>
      <c r="M308" s="6">
        <f>O79</f>
        <v/>
      </c>
      <c r="N308" s="6">
        <f>P79</f>
        <v/>
      </c>
      <c r="O308" s="6">
        <f>Q79</f>
        <v/>
      </c>
      <c r="P308" s="99" t="n"/>
      <c r="Q308" s="99" t="n"/>
    </row>
    <row r="309">
      <c r="C309" s="6" t="inlineStr">
        <is>
          <t>2014-02</t>
        </is>
      </c>
      <c r="D309" s="6">
        <f>F80</f>
        <v/>
      </c>
      <c r="E309" s="6">
        <f>G80</f>
        <v/>
      </c>
      <c r="F309" s="6">
        <f>H80</f>
        <v/>
      </c>
      <c r="G309" s="6">
        <f>I80</f>
        <v/>
      </c>
      <c r="H309" s="6">
        <f>J80</f>
        <v/>
      </c>
      <c r="I309" s="6">
        <f>K80</f>
        <v/>
      </c>
      <c r="J309" s="6">
        <f>L80</f>
        <v/>
      </c>
      <c r="K309" s="6">
        <f>M80</f>
        <v/>
      </c>
      <c r="L309" s="6">
        <f>N80</f>
        <v/>
      </c>
      <c r="M309" s="6">
        <f>O80</f>
        <v/>
      </c>
      <c r="N309" s="6">
        <f>P80</f>
        <v/>
      </c>
      <c r="O309" s="6">
        <f>Q80</f>
        <v/>
      </c>
      <c r="P309" s="99" t="n"/>
      <c r="Q309" s="99" t="n"/>
    </row>
    <row r="310">
      <c r="C310" s="6" t="inlineStr">
        <is>
          <t>2014-03</t>
        </is>
      </c>
      <c r="D310" s="6">
        <f>F81</f>
        <v/>
      </c>
      <c r="E310" s="6">
        <f>G81</f>
        <v/>
      </c>
      <c r="F310" s="6">
        <f>H81</f>
        <v/>
      </c>
      <c r="G310" s="6">
        <f>I81</f>
        <v/>
      </c>
      <c r="H310" s="6">
        <f>J81</f>
        <v/>
      </c>
      <c r="I310" s="6">
        <f>K81</f>
        <v/>
      </c>
      <c r="J310" s="6">
        <f>L81</f>
        <v/>
      </c>
      <c r="K310" s="6">
        <f>M81</f>
        <v/>
      </c>
      <c r="L310" s="6">
        <f>N81</f>
        <v/>
      </c>
      <c r="M310" s="6">
        <f>O81</f>
        <v/>
      </c>
      <c r="N310" s="6">
        <f>P81</f>
        <v/>
      </c>
      <c r="O310" s="6">
        <f>Q81</f>
        <v/>
      </c>
      <c r="P310" s="99" t="n"/>
      <c r="Q310" s="99" t="n"/>
    </row>
    <row r="311">
      <c r="C311" s="6" t="inlineStr">
        <is>
          <t>2014-04</t>
        </is>
      </c>
      <c r="D311" s="6">
        <f>F82</f>
        <v/>
      </c>
      <c r="E311" s="6">
        <f>G82</f>
        <v/>
      </c>
      <c r="F311" s="6">
        <f>H82</f>
        <v/>
      </c>
      <c r="G311" s="6">
        <f>I82</f>
        <v/>
      </c>
      <c r="H311" s="6">
        <f>J82</f>
        <v/>
      </c>
      <c r="I311" s="6">
        <f>K82</f>
        <v/>
      </c>
      <c r="J311" s="6">
        <f>L82</f>
        <v/>
      </c>
      <c r="K311" s="6">
        <f>M82</f>
        <v/>
      </c>
      <c r="L311" s="6">
        <f>N82</f>
        <v/>
      </c>
      <c r="M311" s="6">
        <f>O82</f>
        <v/>
      </c>
      <c r="N311" s="6">
        <f>P82</f>
        <v/>
      </c>
      <c r="O311" s="6">
        <f>Q82</f>
        <v/>
      </c>
      <c r="P311" s="99" t="n"/>
      <c r="Q311" s="99" t="n"/>
    </row>
    <row r="312">
      <c r="C312" s="6" t="inlineStr">
        <is>
          <t>2014-05</t>
        </is>
      </c>
      <c r="D312" s="6">
        <f>F83</f>
        <v/>
      </c>
      <c r="E312" s="6">
        <f>G83</f>
        <v/>
      </c>
      <c r="F312" s="6">
        <f>H83</f>
        <v/>
      </c>
      <c r="G312" s="6">
        <f>I83</f>
        <v/>
      </c>
      <c r="H312" s="6">
        <f>J83</f>
        <v/>
      </c>
      <c r="I312" s="6">
        <f>K83</f>
        <v/>
      </c>
      <c r="J312" s="6">
        <f>L83</f>
        <v/>
      </c>
      <c r="K312" s="6">
        <f>M83</f>
        <v/>
      </c>
      <c r="L312" s="6">
        <f>N83</f>
        <v/>
      </c>
      <c r="M312" s="6">
        <f>O83</f>
        <v/>
      </c>
      <c r="N312" s="6">
        <f>P83</f>
        <v/>
      </c>
      <c r="O312" s="6">
        <f>Q83</f>
        <v/>
      </c>
      <c r="P312" s="99" t="n"/>
      <c r="Q312" s="99" t="n"/>
    </row>
    <row r="313">
      <c r="C313" s="6" t="inlineStr">
        <is>
          <t>2014-06</t>
        </is>
      </c>
      <c r="D313" s="6">
        <f>F84</f>
        <v/>
      </c>
      <c r="E313" s="6">
        <f>G84</f>
        <v/>
      </c>
      <c r="F313" s="6">
        <f>H84</f>
        <v/>
      </c>
      <c r="G313" s="6">
        <f>I84</f>
        <v/>
      </c>
      <c r="H313" s="6">
        <f>J84</f>
        <v/>
      </c>
      <c r="I313" s="6">
        <f>K84</f>
        <v/>
      </c>
      <c r="J313" s="6">
        <f>L84</f>
        <v/>
      </c>
      <c r="K313" s="6">
        <f>M84</f>
        <v/>
      </c>
      <c r="L313" s="6">
        <f>N84</f>
        <v/>
      </c>
      <c r="M313" s="6">
        <f>O84</f>
        <v/>
      </c>
      <c r="N313" s="6">
        <f>P84</f>
        <v/>
      </c>
      <c r="O313" s="6">
        <f>Q84</f>
        <v/>
      </c>
      <c r="P313" s="99" t="n"/>
      <c r="Q313" s="99" t="n"/>
    </row>
    <row r="314">
      <c r="C314" s="6" t="inlineStr">
        <is>
          <t>2014-07</t>
        </is>
      </c>
      <c r="D314" s="6">
        <f>F85</f>
        <v/>
      </c>
      <c r="E314" s="6">
        <f>G85</f>
        <v/>
      </c>
      <c r="F314" s="6">
        <f>H85</f>
        <v/>
      </c>
      <c r="G314" s="6">
        <f>I85</f>
        <v/>
      </c>
      <c r="H314" s="6">
        <f>J85</f>
        <v/>
      </c>
      <c r="I314" s="6">
        <f>K85</f>
        <v/>
      </c>
      <c r="J314" s="6">
        <f>L85</f>
        <v/>
      </c>
      <c r="K314" s="6">
        <f>M85</f>
        <v/>
      </c>
      <c r="L314" s="6">
        <f>N85</f>
        <v/>
      </c>
      <c r="M314" s="6">
        <f>O85</f>
        <v/>
      </c>
      <c r="N314" s="6">
        <f>P85</f>
        <v/>
      </c>
      <c r="O314" s="6">
        <f>Q85</f>
        <v/>
      </c>
      <c r="P314" s="99" t="n"/>
      <c r="Q314" s="99" t="n"/>
    </row>
    <row r="315">
      <c r="C315" s="6" t="inlineStr">
        <is>
          <t>2014-08</t>
        </is>
      </c>
      <c r="D315" s="6">
        <f>F86</f>
        <v/>
      </c>
      <c r="E315" s="6">
        <f>G86</f>
        <v/>
      </c>
      <c r="F315" s="6">
        <f>H86</f>
        <v/>
      </c>
      <c r="G315" s="6">
        <f>I86</f>
        <v/>
      </c>
      <c r="H315" s="6">
        <f>J86</f>
        <v/>
      </c>
      <c r="I315" s="6">
        <f>K86</f>
        <v/>
      </c>
      <c r="J315" s="6">
        <f>L86</f>
        <v/>
      </c>
      <c r="K315" s="6">
        <f>M86</f>
        <v/>
      </c>
      <c r="L315" s="6">
        <f>N86</f>
        <v/>
      </c>
      <c r="M315" s="6">
        <f>O86</f>
        <v/>
      </c>
      <c r="N315" s="6">
        <f>P86</f>
        <v/>
      </c>
      <c r="O315" s="6">
        <f>Q86</f>
        <v/>
      </c>
      <c r="P315" s="99" t="n"/>
      <c r="Q315" s="99" t="n"/>
    </row>
    <row r="316">
      <c r="C316" s="6" t="inlineStr">
        <is>
          <t>2014-09</t>
        </is>
      </c>
      <c r="D316" s="6">
        <f>F87</f>
        <v/>
      </c>
      <c r="E316" s="6">
        <f>G87</f>
        <v/>
      </c>
      <c r="F316" s="6">
        <f>H87</f>
        <v/>
      </c>
      <c r="G316" s="6">
        <f>I87</f>
        <v/>
      </c>
      <c r="H316" s="6">
        <f>J87</f>
        <v/>
      </c>
      <c r="I316" s="6">
        <f>K87</f>
        <v/>
      </c>
      <c r="J316" s="6">
        <f>L87</f>
        <v/>
      </c>
      <c r="K316" s="6">
        <f>M87</f>
        <v/>
      </c>
      <c r="L316" s="6">
        <f>N87</f>
        <v/>
      </c>
      <c r="M316" s="6">
        <f>O87</f>
        <v/>
      </c>
      <c r="N316" s="6">
        <f>P87</f>
        <v/>
      </c>
      <c r="O316" s="6">
        <f>Q87</f>
        <v/>
      </c>
      <c r="P316" s="99" t="n"/>
      <c r="Q316" s="99" t="n"/>
    </row>
    <row r="317">
      <c r="C317" s="6" t="inlineStr">
        <is>
          <t>2014-10</t>
        </is>
      </c>
      <c r="D317" s="6">
        <f>F88</f>
        <v/>
      </c>
      <c r="E317" s="6">
        <f>G88</f>
        <v/>
      </c>
      <c r="F317" s="6">
        <f>H88</f>
        <v/>
      </c>
      <c r="G317" s="6">
        <f>I88</f>
        <v/>
      </c>
      <c r="H317" s="6">
        <f>J88</f>
        <v/>
      </c>
      <c r="I317" s="6">
        <f>K88</f>
        <v/>
      </c>
      <c r="J317" s="6">
        <f>L88</f>
        <v/>
      </c>
      <c r="K317" s="6">
        <f>M88</f>
        <v/>
      </c>
      <c r="L317" s="6">
        <f>N88</f>
        <v/>
      </c>
      <c r="M317" s="6">
        <f>O88</f>
        <v/>
      </c>
      <c r="N317" s="6">
        <f>P88</f>
        <v/>
      </c>
      <c r="O317" s="6">
        <f>Q88</f>
        <v/>
      </c>
      <c r="P317" s="99" t="n"/>
      <c r="Q317" s="99" t="n"/>
    </row>
    <row r="318">
      <c r="C318" s="6" t="inlineStr">
        <is>
          <t>2014-11</t>
        </is>
      </c>
      <c r="D318" s="6">
        <f>F89</f>
        <v/>
      </c>
      <c r="E318" s="6">
        <f>G89</f>
        <v/>
      </c>
      <c r="F318" s="6">
        <f>H89</f>
        <v/>
      </c>
      <c r="G318" s="6">
        <f>I89</f>
        <v/>
      </c>
      <c r="H318" s="6">
        <f>J89</f>
        <v/>
      </c>
      <c r="I318" s="6">
        <f>K89</f>
        <v/>
      </c>
      <c r="J318" s="6">
        <f>L89</f>
        <v/>
      </c>
      <c r="K318" s="6">
        <f>M89</f>
        <v/>
      </c>
      <c r="L318" s="6">
        <f>N89</f>
        <v/>
      </c>
      <c r="M318" s="6">
        <f>O89</f>
        <v/>
      </c>
      <c r="N318" s="6">
        <f>P89</f>
        <v/>
      </c>
      <c r="O318" s="6">
        <f>Q89</f>
        <v/>
      </c>
      <c r="P318" s="99" t="n"/>
      <c r="Q318" s="99" t="n"/>
    </row>
    <row r="319">
      <c r="C319" s="6" t="inlineStr">
        <is>
          <t>2014-12</t>
        </is>
      </c>
      <c r="D319" s="6">
        <f>F90</f>
        <v/>
      </c>
      <c r="E319" s="6">
        <f>G90</f>
        <v/>
      </c>
      <c r="F319" s="6">
        <f>H90</f>
        <v/>
      </c>
      <c r="G319" s="6">
        <f>I90</f>
        <v/>
      </c>
      <c r="H319" s="6">
        <f>J90</f>
        <v/>
      </c>
      <c r="I319" s="6">
        <f>K90</f>
        <v/>
      </c>
      <c r="J319" s="6">
        <f>L90</f>
        <v/>
      </c>
      <c r="K319" s="6">
        <f>M90</f>
        <v/>
      </c>
      <c r="L319" s="6">
        <f>N90</f>
        <v/>
      </c>
      <c r="M319" s="6">
        <f>O90</f>
        <v/>
      </c>
      <c r="N319" s="6">
        <f>P90</f>
        <v/>
      </c>
      <c r="O319" s="6">
        <f>Q90</f>
        <v/>
      </c>
      <c r="P319" s="99" t="n"/>
      <c r="Q319" s="99" t="n"/>
    </row>
    <row r="320">
      <c r="C320" s="6" t="inlineStr">
        <is>
          <t>2015-01</t>
        </is>
      </c>
      <c r="D320" s="6">
        <f>F91</f>
        <v/>
      </c>
      <c r="E320" s="6">
        <f>G91</f>
        <v/>
      </c>
      <c r="F320" s="6">
        <f>H91</f>
        <v/>
      </c>
      <c r="G320" s="6">
        <f>I91</f>
        <v/>
      </c>
      <c r="H320" s="6">
        <f>J91</f>
        <v/>
      </c>
      <c r="I320" s="6">
        <f>K91</f>
        <v/>
      </c>
      <c r="J320" s="6">
        <f>L91</f>
        <v/>
      </c>
      <c r="K320" s="6">
        <f>M91</f>
        <v/>
      </c>
      <c r="L320" s="6">
        <f>N91</f>
        <v/>
      </c>
      <c r="M320" s="6">
        <f>O91</f>
        <v/>
      </c>
      <c r="N320" s="6">
        <f>P91</f>
        <v/>
      </c>
      <c r="O320" s="6">
        <f>Q91</f>
        <v/>
      </c>
      <c r="P320" s="99" t="n"/>
      <c r="Q320" s="99" t="n"/>
    </row>
    <row r="321">
      <c r="C321" s="6" t="inlineStr">
        <is>
          <t>2015-02</t>
        </is>
      </c>
      <c r="D321" s="6">
        <f>F92</f>
        <v/>
      </c>
      <c r="E321" s="6">
        <f>G92</f>
        <v/>
      </c>
      <c r="F321" s="6">
        <f>H92</f>
        <v/>
      </c>
      <c r="G321" s="6">
        <f>I92</f>
        <v/>
      </c>
      <c r="H321" s="6">
        <f>J92</f>
        <v/>
      </c>
      <c r="I321" s="6">
        <f>K92</f>
        <v/>
      </c>
      <c r="J321" s="6">
        <f>L92</f>
        <v/>
      </c>
      <c r="K321" s="6">
        <f>M92</f>
        <v/>
      </c>
      <c r="L321" s="6">
        <f>N92</f>
        <v/>
      </c>
      <c r="M321" s="6">
        <f>O92</f>
        <v/>
      </c>
      <c r="N321" s="6">
        <f>P92</f>
        <v/>
      </c>
      <c r="O321" s="6">
        <f>Q92</f>
        <v/>
      </c>
      <c r="P321" s="99" t="n"/>
      <c r="Q321" s="99" t="n"/>
    </row>
    <row r="322">
      <c r="C322" s="6" t="inlineStr">
        <is>
          <t>2015-03</t>
        </is>
      </c>
      <c r="D322" s="6">
        <f>F93</f>
        <v/>
      </c>
      <c r="E322" s="6">
        <f>G93</f>
        <v/>
      </c>
      <c r="F322" s="6">
        <f>H93</f>
        <v/>
      </c>
      <c r="G322" s="6">
        <f>I93</f>
        <v/>
      </c>
      <c r="H322" s="6">
        <f>J93</f>
        <v/>
      </c>
      <c r="I322" s="6">
        <f>K93</f>
        <v/>
      </c>
      <c r="J322" s="6">
        <f>L93</f>
        <v/>
      </c>
      <c r="K322" s="6">
        <f>M93</f>
        <v/>
      </c>
      <c r="L322" s="6">
        <f>N93</f>
        <v/>
      </c>
      <c r="M322" s="6">
        <f>O93</f>
        <v/>
      </c>
      <c r="N322" s="6">
        <f>P93</f>
        <v/>
      </c>
      <c r="O322" s="6">
        <f>Q93</f>
        <v/>
      </c>
      <c r="P322" s="99" t="n"/>
      <c r="Q322" s="99" t="n"/>
    </row>
    <row r="323">
      <c r="C323" s="6" t="inlineStr">
        <is>
          <t>2015-04</t>
        </is>
      </c>
      <c r="D323" s="6">
        <f>F94</f>
        <v/>
      </c>
      <c r="E323" s="6">
        <f>G94</f>
        <v/>
      </c>
      <c r="F323" s="6">
        <f>H94</f>
        <v/>
      </c>
      <c r="G323" s="6">
        <f>I94</f>
        <v/>
      </c>
      <c r="H323" s="6">
        <f>J94</f>
        <v/>
      </c>
      <c r="I323" s="6">
        <f>K94</f>
        <v/>
      </c>
      <c r="J323" s="6">
        <f>L94</f>
        <v/>
      </c>
      <c r="K323" s="6">
        <f>M94</f>
        <v/>
      </c>
      <c r="L323" s="6">
        <f>N94</f>
        <v/>
      </c>
      <c r="M323" s="6">
        <f>O94</f>
        <v/>
      </c>
      <c r="N323" s="6">
        <f>P94</f>
        <v/>
      </c>
      <c r="O323" s="6">
        <f>Q94</f>
        <v/>
      </c>
      <c r="P323" s="99" t="n"/>
      <c r="Q323" s="99" t="n"/>
    </row>
    <row r="324">
      <c r="C324" s="6" t="inlineStr">
        <is>
          <t>2015-05</t>
        </is>
      </c>
      <c r="D324" s="6">
        <f>F95</f>
        <v/>
      </c>
      <c r="E324" s="6">
        <f>G95</f>
        <v/>
      </c>
      <c r="F324" s="6">
        <f>H95</f>
        <v/>
      </c>
      <c r="G324" s="6">
        <f>I95</f>
        <v/>
      </c>
      <c r="H324" s="6">
        <f>J95</f>
        <v/>
      </c>
      <c r="I324" s="6">
        <f>K95</f>
        <v/>
      </c>
      <c r="J324" s="6">
        <f>L95</f>
        <v/>
      </c>
      <c r="K324" s="6">
        <f>M95</f>
        <v/>
      </c>
      <c r="L324" s="6">
        <f>N95</f>
        <v/>
      </c>
      <c r="M324" s="6">
        <f>O95</f>
        <v/>
      </c>
      <c r="N324" s="6">
        <f>P95</f>
        <v/>
      </c>
      <c r="O324" s="6">
        <f>Q95</f>
        <v/>
      </c>
      <c r="P324" s="99" t="n"/>
      <c r="Q324" s="99" t="n"/>
    </row>
    <row r="325">
      <c r="C325" s="6" t="inlineStr">
        <is>
          <t>2015-06</t>
        </is>
      </c>
      <c r="D325" s="6">
        <f>F96</f>
        <v/>
      </c>
      <c r="E325" s="6">
        <f>G96</f>
        <v/>
      </c>
      <c r="F325" s="6">
        <f>H96</f>
        <v/>
      </c>
      <c r="G325" s="6">
        <f>I96</f>
        <v/>
      </c>
      <c r="H325" s="6">
        <f>J96</f>
        <v/>
      </c>
      <c r="I325" s="6">
        <f>K96</f>
        <v/>
      </c>
      <c r="J325" s="6">
        <f>L96</f>
        <v/>
      </c>
      <c r="K325" s="6">
        <f>M96</f>
        <v/>
      </c>
      <c r="L325" s="6">
        <f>N96</f>
        <v/>
      </c>
      <c r="M325" s="6">
        <f>O96</f>
        <v/>
      </c>
      <c r="N325" s="6">
        <f>P96</f>
        <v/>
      </c>
      <c r="O325" s="6">
        <f>Q96</f>
        <v/>
      </c>
      <c r="P325" s="99" t="n"/>
      <c r="Q325" s="99" t="n"/>
    </row>
    <row r="326">
      <c r="C326" s="6" t="inlineStr">
        <is>
          <t>2015-07</t>
        </is>
      </c>
      <c r="D326" s="6">
        <f>F97</f>
        <v/>
      </c>
      <c r="E326" s="6">
        <f>G97</f>
        <v/>
      </c>
      <c r="F326" s="6">
        <f>H97</f>
        <v/>
      </c>
      <c r="G326" s="6">
        <f>I97</f>
        <v/>
      </c>
      <c r="H326" s="6">
        <f>J97</f>
        <v/>
      </c>
      <c r="I326" s="6">
        <f>K97</f>
        <v/>
      </c>
      <c r="J326" s="6">
        <f>L97</f>
        <v/>
      </c>
      <c r="K326" s="6">
        <f>M97</f>
        <v/>
      </c>
      <c r="L326" s="6">
        <f>N97</f>
        <v/>
      </c>
      <c r="M326" s="6">
        <f>O97</f>
        <v/>
      </c>
      <c r="N326" s="6">
        <f>P97</f>
        <v/>
      </c>
      <c r="O326" s="6">
        <f>Q97</f>
        <v/>
      </c>
      <c r="P326" s="99" t="n"/>
      <c r="Q326" s="99" t="n"/>
    </row>
    <row r="327">
      <c r="C327" s="6" t="inlineStr">
        <is>
          <t>2015-08</t>
        </is>
      </c>
      <c r="D327" s="6">
        <f>F98</f>
        <v/>
      </c>
      <c r="E327" s="6">
        <f>G98</f>
        <v/>
      </c>
      <c r="F327" s="6">
        <f>H98</f>
        <v/>
      </c>
      <c r="G327" s="6">
        <f>I98</f>
        <v/>
      </c>
      <c r="H327" s="6">
        <f>J98</f>
        <v/>
      </c>
      <c r="I327" s="6">
        <f>K98</f>
        <v/>
      </c>
      <c r="J327" s="6">
        <f>L98</f>
        <v/>
      </c>
      <c r="K327" s="6">
        <f>M98</f>
        <v/>
      </c>
      <c r="L327" s="6">
        <f>N98</f>
        <v/>
      </c>
      <c r="M327" s="6">
        <f>O98</f>
        <v/>
      </c>
      <c r="N327" s="6">
        <f>P98</f>
        <v/>
      </c>
      <c r="O327" s="6">
        <f>Q98</f>
        <v/>
      </c>
      <c r="P327" s="99" t="n"/>
      <c r="Q327" s="99" t="n"/>
    </row>
    <row r="328">
      <c r="C328" s="6" t="inlineStr">
        <is>
          <t>2015-09</t>
        </is>
      </c>
      <c r="D328" s="6">
        <f>F99</f>
        <v/>
      </c>
      <c r="E328" s="6">
        <f>G99</f>
        <v/>
      </c>
      <c r="F328" s="6">
        <f>H99</f>
        <v/>
      </c>
      <c r="G328" s="6">
        <f>I99</f>
        <v/>
      </c>
      <c r="H328" s="6">
        <f>J99</f>
        <v/>
      </c>
      <c r="I328" s="6">
        <f>K99</f>
        <v/>
      </c>
      <c r="J328" s="6">
        <f>L99</f>
        <v/>
      </c>
      <c r="K328" s="6">
        <f>M99</f>
        <v/>
      </c>
      <c r="L328" s="6">
        <f>N99</f>
        <v/>
      </c>
      <c r="M328" s="6">
        <f>O99</f>
        <v/>
      </c>
      <c r="N328" s="6">
        <f>P99</f>
        <v/>
      </c>
      <c r="O328" s="6">
        <f>Q99</f>
        <v/>
      </c>
      <c r="P328" s="99" t="n"/>
      <c r="Q328" s="99" t="n"/>
    </row>
    <row r="329">
      <c r="C329" s="6" t="inlineStr">
        <is>
          <t>2015-10</t>
        </is>
      </c>
      <c r="D329" s="6">
        <f>F100</f>
        <v/>
      </c>
      <c r="E329" s="6">
        <f>G100</f>
        <v/>
      </c>
      <c r="F329" s="6">
        <f>H100</f>
        <v/>
      </c>
      <c r="G329" s="6">
        <f>I100</f>
        <v/>
      </c>
      <c r="H329" s="6">
        <f>J100</f>
        <v/>
      </c>
      <c r="I329" s="6">
        <f>K100</f>
        <v/>
      </c>
      <c r="J329" s="6">
        <f>L100</f>
        <v/>
      </c>
      <c r="K329" s="6">
        <f>M100</f>
        <v/>
      </c>
      <c r="L329" s="6">
        <f>N100</f>
        <v/>
      </c>
      <c r="M329" s="6">
        <f>O100</f>
        <v/>
      </c>
      <c r="N329" s="6">
        <f>P100</f>
        <v/>
      </c>
      <c r="O329" s="6">
        <f>Q100</f>
        <v/>
      </c>
      <c r="P329" s="99" t="n"/>
      <c r="Q329" s="99" t="n"/>
    </row>
    <row r="330">
      <c r="C330" s="6" t="inlineStr">
        <is>
          <t>2015-11</t>
        </is>
      </c>
      <c r="D330" s="6">
        <f>F101</f>
        <v/>
      </c>
      <c r="E330" s="6">
        <f>G101</f>
        <v/>
      </c>
      <c r="F330" s="6">
        <f>H101</f>
        <v/>
      </c>
      <c r="G330" s="6">
        <f>I101</f>
        <v/>
      </c>
      <c r="H330" s="6">
        <f>J101</f>
        <v/>
      </c>
      <c r="I330" s="6">
        <f>K101</f>
        <v/>
      </c>
      <c r="J330" s="6">
        <f>L101</f>
        <v/>
      </c>
      <c r="K330" s="6">
        <f>M101</f>
        <v/>
      </c>
      <c r="L330" s="6">
        <f>N101</f>
        <v/>
      </c>
      <c r="M330" s="6">
        <f>O101</f>
        <v/>
      </c>
      <c r="N330" s="6">
        <f>P101</f>
        <v/>
      </c>
      <c r="O330" s="6">
        <f>Q101</f>
        <v/>
      </c>
      <c r="P330" s="99" t="n"/>
      <c r="Q330" s="99" t="n"/>
    </row>
    <row r="331">
      <c r="C331" s="6" t="inlineStr">
        <is>
          <t>2015-12</t>
        </is>
      </c>
      <c r="D331" s="6">
        <f>F102</f>
        <v/>
      </c>
      <c r="E331" s="6">
        <f>G102</f>
        <v/>
      </c>
      <c r="F331" s="6">
        <f>H102</f>
        <v/>
      </c>
      <c r="G331" s="6">
        <f>I102</f>
        <v/>
      </c>
      <c r="H331" s="6">
        <f>J102</f>
        <v/>
      </c>
      <c r="I331" s="6">
        <f>K102</f>
        <v/>
      </c>
      <c r="J331" s="6">
        <f>L102</f>
        <v/>
      </c>
      <c r="K331" s="6">
        <f>M102</f>
        <v/>
      </c>
      <c r="L331" s="6">
        <f>N102</f>
        <v/>
      </c>
      <c r="M331" s="6">
        <f>O102</f>
        <v/>
      </c>
      <c r="N331" s="6">
        <f>P102</f>
        <v/>
      </c>
      <c r="O331" s="6">
        <f>Q102</f>
        <v/>
      </c>
      <c r="P331" s="99" t="n"/>
      <c r="Q331" s="99" t="n"/>
    </row>
    <row r="332">
      <c r="C332" s="6" t="inlineStr">
        <is>
          <t>2016-01</t>
        </is>
      </c>
      <c r="D332" s="6">
        <f>F103</f>
        <v/>
      </c>
      <c r="E332" s="6">
        <f>G103</f>
        <v/>
      </c>
      <c r="F332" s="6">
        <f>H103</f>
        <v/>
      </c>
      <c r="G332" s="6">
        <f>I103</f>
        <v/>
      </c>
      <c r="H332" s="6">
        <f>J103</f>
        <v/>
      </c>
      <c r="I332" s="6">
        <f>K103</f>
        <v/>
      </c>
      <c r="J332" s="6">
        <f>L103</f>
        <v/>
      </c>
      <c r="K332" s="6">
        <f>M103</f>
        <v/>
      </c>
      <c r="L332" s="6">
        <f>N103</f>
        <v/>
      </c>
      <c r="M332" s="6">
        <f>O103</f>
        <v/>
      </c>
      <c r="N332" s="6">
        <f>P103</f>
        <v/>
      </c>
      <c r="O332" s="6">
        <f>Q103</f>
        <v/>
      </c>
      <c r="P332" s="99" t="n"/>
      <c r="Q332" s="99" t="n"/>
    </row>
    <row r="333">
      <c r="C333" s="6" t="inlineStr">
        <is>
          <t>2016-02</t>
        </is>
      </c>
      <c r="D333" s="6">
        <f>F104</f>
        <v/>
      </c>
      <c r="E333" s="6">
        <f>G104</f>
        <v/>
      </c>
      <c r="F333" s="6">
        <f>H104</f>
        <v/>
      </c>
      <c r="G333" s="6">
        <f>I104</f>
        <v/>
      </c>
      <c r="H333" s="6">
        <f>J104</f>
        <v/>
      </c>
      <c r="I333" s="6">
        <f>K104</f>
        <v/>
      </c>
      <c r="J333" s="6">
        <f>L104</f>
        <v/>
      </c>
      <c r="K333" s="6">
        <f>M104</f>
        <v/>
      </c>
      <c r="L333" s="6">
        <f>N104</f>
        <v/>
      </c>
      <c r="M333" s="6">
        <f>O104</f>
        <v/>
      </c>
      <c r="N333" s="6">
        <f>P104</f>
        <v/>
      </c>
      <c r="O333" s="6">
        <f>Q104</f>
        <v/>
      </c>
      <c r="P333" s="99" t="n"/>
      <c r="Q333" s="99" t="n"/>
    </row>
    <row r="334">
      <c r="C334" s="6" t="inlineStr">
        <is>
          <t>2016-03</t>
        </is>
      </c>
      <c r="D334" s="6">
        <f>F105</f>
        <v/>
      </c>
      <c r="E334" s="6">
        <f>G105</f>
        <v/>
      </c>
      <c r="F334" s="6">
        <f>H105</f>
        <v/>
      </c>
      <c r="G334" s="6">
        <f>I105</f>
        <v/>
      </c>
      <c r="H334" s="6">
        <f>J105</f>
        <v/>
      </c>
      <c r="I334" s="6">
        <f>K105</f>
        <v/>
      </c>
      <c r="J334" s="6">
        <f>L105</f>
        <v/>
      </c>
      <c r="K334" s="6">
        <f>M105</f>
        <v/>
      </c>
      <c r="L334" s="6">
        <f>N105</f>
        <v/>
      </c>
      <c r="M334" s="6">
        <f>O105</f>
        <v/>
      </c>
      <c r="N334" s="6">
        <f>P105</f>
        <v/>
      </c>
      <c r="O334" s="6">
        <f>Q105</f>
        <v/>
      </c>
      <c r="P334" s="99" t="n"/>
      <c r="Q334" s="99" t="n"/>
    </row>
    <row r="335">
      <c r="C335" s="6" t="inlineStr">
        <is>
          <t>2016-04</t>
        </is>
      </c>
      <c r="D335" s="6">
        <f>F106</f>
        <v/>
      </c>
      <c r="E335" s="6">
        <f>G106</f>
        <v/>
      </c>
      <c r="F335" s="6">
        <f>H106</f>
        <v/>
      </c>
      <c r="G335" s="6">
        <f>I106</f>
        <v/>
      </c>
      <c r="H335" s="6">
        <f>J106</f>
        <v/>
      </c>
      <c r="I335" s="6">
        <f>K106</f>
        <v/>
      </c>
      <c r="J335" s="6">
        <f>L106</f>
        <v/>
      </c>
      <c r="K335" s="6">
        <f>M106</f>
        <v/>
      </c>
      <c r="L335" s="6">
        <f>N106</f>
        <v/>
      </c>
      <c r="M335" s="6">
        <f>O106</f>
        <v/>
      </c>
      <c r="N335" s="6">
        <f>P106</f>
        <v/>
      </c>
      <c r="O335" s="6">
        <f>Q106</f>
        <v/>
      </c>
      <c r="P335" s="99" t="n"/>
      <c r="Q335" s="99" t="n"/>
    </row>
    <row r="336">
      <c r="C336" s="6" t="inlineStr">
        <is>
          <t>2016-05</t>
        </is>
      </c>
      <c r="D336" s="6">
        <f>F107</f>
        <v/>
      </c>
      <c r="E336" s="6">
        <f>G107</f>
        <v/>
      </c>
      <c r="F336" s="6">
        <f>H107</f>
        <v/>
      </c>
      <c r="G336" s="6">
        <f>I107</f>
        <v/>
      </c>
      <c r="H336" s="6">
        <f>J107</f>
        <v/>
      </c>
      <c r="I336" s="6">
        <f>K107</f>
        <v/>
      </c>
      <c r="J336" s="6">
        <f>L107</f>
        <v/>
      </c>
      <c r="K336" s="6">
        <f>M107</f>
        <v/>
      </c>
      <c r="L336" s="6">
        <f>N107</f>
        <v/>
      </c>
      <c r="M336" s="6">
        <f>O107</f>
        <v/>
      </c>
      <c r="N336" s="6">
        <f>P107</f>
        <v/>
      </c>
      <c r="O336" s="6">
        <f>Q107</f>
        <v/>
      </c>
      <c r="P336" s="99" t="n"/>
      <c r="Q336" s="99" t="n"/>
    </row>
    <row r="337">
      <c r="C337" s="6" t="inlineStr">
        <is>
          <t>2016-06</t>
        </is>
      </c>
      <c r="D337" s="6">
        <f>F108</f>
        <v/>
      </c>
      <c r="E337" s="6">
        <f>G108</f>
        <v/>
      </c>
      <c r="F337" s="6">
        <f>H108</f>
        <v/>
      </c>
      <c r="G337" s="6">
        <f>I108</f>
        <v/>
      </c>
      <c r="H337" s="6">
        <f>J108</f>
        <v/>
      </c>
      <c r="I337" s="6">
        <f>K108</f>
        <v/>
      </c>
      <c r="J337" s="6">
        <f>L108</f>
        <v/>
      </c>
      <c r="K337" s="6">
        <f>M108</f>
        <v/>
      </c>
      <c r="L337" s="6">
        <f>N108</f>
        <v/>
      </c>
      <c r="M337" s="6">
        <f>O108</f>
        <v/>
      </c>
      <c r="N337" s="6">
        <f>P108</f>
        <v/>
      </c>
      <c r="O337" s="6">
        <f>Q108</f>
        <v/>
      </c>
      <c r="P337" s="99" t="n"/>
      <c r="Q337" s="99" t="n"/>
    </row>
    <row r="338">
      <c r="C338" s="6" t="inlineStr">
        <is>
          <t>2016-07</t>
        </is>
      </c>
      <c r="D338" s="6">
        <f>F109</f>
        <v/>
      </c>
      <c r="E338" s="6">
        <f>G109</f>
        <v/>
      </c>
      <c r="F338" s="6">
        <f>H109</f>
        <v/>
      </c>
      <c r="G338" s="6">
        <f>I109</f>
        <v/>
      </c>
      <c r="H338" s="6">
        <f>J109</f>
        <v/>
      </c>
      <c r="I338" s="6">
        <f>K109</f>
        <v/>
      </c>
      <c r="J338" s="6">
        <f>L109</f>
        <v/>
      </c>
      <c r="K338" s="6">
        <f>M109</f>
        <v/>
      </c>
      <c r="L338" s="6">
        <f>N109</f>
        <v/>
      </c>
      <c r="M338" s="6">
        <f>O109</f>
        <v/>
      </c>
      <c r="N338" s="6">
        <f>P109</f>
        <v/>
      </c>
      <c r="O338" s="6">
        <f>Q109</f>
        <v/>
      </c>
      <c r="P338" s="99" t="n"/>
      <c r="Q338" s="99" t="n"/>
    </row>
    <row r="339">
      <c r="C339" s="6" t="inlineStr">
        <is>
          <t>2016-08</t>
        </is>
      </c>
      <c r="D339" s="6">
        <f>F110</f>
        <v/>
      </c>
      <c r="E339" s="6">
        <f>G110</f>
        <v/>
      </c>
      <c r="F339" s="6">
        <f>H110</f>
        <v/>
      </c>
      <c r="G339" s="6">
        <f>I110</f>
        <v/>
      </c>
      <c r="H339" s="6">
        <f>J110</f>
        <v/>
      </c>
      <c r="I339" s="6">
        <f>K110</f>
        <v/>
      </c>
      <c r="J339" s="6">
        <f>L110</f>
        <v/>
      </c>
      <c r="K339" s="6">
        <f>M110</f>
        <v/>
      </c>
      <c r="L339" s="6">
        <f>N110</f>
        <v/>
      </c>
      <c r="M339" s="6">
        <f>O110</f>
        <v/>
      </c>
      <c r="N339" s="6">
        <f>P110</f>
        <v/>
      </c>
      <c r="O339" s="6">
        <f>Q110</f>
        <v/>
      </c>
      <c r="P339" s="99" t="n"/>
      <c r="Q339" s="99" t="n"/>
    </row>
    <row r="340">
      <c r="C340" s="6" t="inlineStr">
        <is>
          <t>2016-09</t>
        </is>
      </c>
      <c r="D340" s="6">
        <f>F111</f>
        <v/>
      </c>
      <c r="E340" s="6">
        <f>G111</f>
        <v/>
      </c>
      <c r="F340" s="6">
        <f>H111</f>
        <v/>
      </c>
      <c r="G340" s="6">
        <f>I111</f>
        <v/>
      </c>
      <c r="H340" s="6">
        <f>J111</f>
        <v/>
      </c>
      <c r="I340" s="6">
        <f>K111</f>
        <v/>
      </c>
      <c r="J340" s="6">
        <f>L111</f>
        <v/>
      </c>
      <c r="K340" s="6">
        <f>M111</f>
        <v/>
      </c>
      <c r="L340" s="6">
        <f>N111</f>
        <v/>
      </c>
      <c r="M340" s="6">
        <f>O111</f>
        <v/>
      </c>
      <c r="N340" s="6">
        <f>P111</f>
        <v/>
      </c>
      <c r="O340" s="6">
        <f>Q111</f>
        <v/>
      </c>
      <c r="P340" s="99" t="n"/>
      <c r="Q340" s="99" t="n"/>
    </row>
    <row r="341">
      <c r="C341" s="6" t="inlineStr">
        <is>
          <t>2016-10</t>
        </is>
      </c>
      <c r="D341" s="6">
        <f>F112</f>
        <v/>
      </c>
      <c r="E341" s="6">
        <f>G112</f>
        <v/>
      </c>
      <c r="F341" s="6">
        <f>H112</f>
        <v/>
      </c>
      <c r="G341" s="6">
        <f>I112</f>
        <v/>
      </c>
      <c r="H341" s="6">
        <f>J112</f>
        <v/>
      </c>
      <c r="I341" s="6">
        <f>K112</f>
        <v/>
      </c>
      <c r="J341" s="6">
        <f>L112</f>
        <v/>
      </c>
      <c r="K341" s="6">
        <f>M112</f>
        <v/>
      </c>
      <c r="L341" s="6">
        <f>N112</f>
        <v/>
      </c>
      <c r="M341" s="6">
        <f>O112</f>
        <v/>
      </c>
      <c r="N341" s="6">
        <f>P112</f>
        <v/>
      </c>
      <c r="O341" s="6">
        <f>Q112</f>
        <v/>
      </c>
      <c r="P341" s="99" t="n"/>
      <c r="Q341" s="99" t="n"/>
    </row>
    <row r="342">
      <c r="C342" s="6" t="inlineStr">
        <is>
          <t>2016-11</t>
        </is>
      </c>
      <c r="D342" s="6">
        <f>F113</f>
        <v/>
      </c>
      <c r="E342" s="6">
        <f>G113</f>
        <v/>
      </c>
      <c r="F342" s="6">
        <f>H113</f>
        <v/>
      </c>
      <c r="G342" s="6">
        <f>I113</f>
        <v/>
      </c>
      <c r="H342" s="6">
        <f>J113</f>
        <v/>
      </c>
      <c r="I342" s="6">
        <f>K113</f>
        <v/>
      </c>
      <c r="J342" s="6">
        <f>L113</f>
        <v/>
      </c>
      <c r="K342" s="6">
        <f>M113</f>
        <v/>
      </c>
      <c r="L342" s="6">
        <f>N113</f>
        <v/>
      </c>
      <c r="M342" s="6">
        <f>O113</f>
        <v/>
      </c>
      <c r="N342" s="6">
        <f>P113</f>
        <v/>
      </c>
      <c r="O342" s="6">
        <f>Q113</f>
        <v/>
      </c>
      <c r="P342" s="99" t="n"/>
      <c r="Q342" s="99" t="n"/>
    </row>
    <row r="343">
      <c r="C343" s="6" t="inlineStr">
        <is>
          <t>2016-12</t>
        </is>
      </c>
      <c r="D343" s="6">
        <f>F114</f>
        <v/>
      </c>
      <c r="E343" s="6">
        <f>G114</f>
        <v/>
      </c>
      <c r="F343" s="6">
        <f>H114</f>
        <v/>
      </c>
      <c r="G343" s="6">
        <f>I114</f>
        <v/>
      </c>
      <c r="H343" s="6">
        <f>J114</f>
        <v/>
      </c>
      <c r="I343" s="6">
        <f>K114</f>
        <v/>
      </c>
      <c r="J343" s="6">
        <f>L114</f>
        <v/>
      </c>
      <c r="K343" s="6">
        <f>M114</f>
        <v/>
      </c>
      <c r="L343" s="6">
        <f>N114</f>
        <v/>
      </c>
      <c r="M343" s="6">
        <f>O114</f>
        <v/>
      </c>
      <c r="N343" s="6">
        <f>P114</f>
        <v/>
      </c>
      <c r="O343" s="6">
        <f>Q114</f>
        <v/>
      </c>
      <c r="P343" s="99" t="n"/>
      <c r="Q343" s="99" t="n"/>
    </row>
    <row r="344">
      <c r="C344" s="6" t="inlineStr">
        <is>
          <t>2017-01</t>
        </is>
      </c>
      <c r="D344" s="6">
        <f>F115</f>
        <v/>
      </c>
      <c r="E344" s="6">
        <f>G115</f>
        <v/>
      </c>
      <c r="F344" s="6">
        <f>H115</f>
        <v/>
      </c>
      <c r="G344" s="6">
        <f>I115</f>
        <v/>
      </c>
      <c r="H344" s="6">
        <f>J115</f>
        <v/>
      </c>
      <c r="I344" s="6">
        <f>K115</f>
        <v/>
      </c>
      <c r="J344" s="6">
        <f>L115</f>
        <v/>
      </c>
      <c r="K344" s="6">
        <f>M115</f>
        <v/>
      </c>
      <c r="L344" s="6">
        <f>N115</f>
        <v/>
      </c>
      <c r="M344" s="6">
        <f>O115</f>
        <v/>
      </c>
      <c r="N344" s="6">
        <f>P115</f>
        <v/>
      </c>
      <c r="O344" s="6">
        <f>Q115</f>
        <v/>
      </c>
      <c r="P344" s="99" t="n"/>
      <c r="Q344" s="99" t="n"/>
    </row>
    <row r="345">
      <c r="C345" s="6" t="inlineStr">
        <is>
          <t>2017-02</t>
        </is>
      </c>
      <c r="D345" s="6">
        <f>F116</f>
        <v/>
      </c>
      <c r="E345" s="6">
        <f>G116</f>
        <v/>
      </c>
      <c r="F345" s="6">
        <f>H116</f>
        <v/>
      </c>
      <c r="G345" s="6">
        <f>I116</f>
        <v/>
      </c>
      <c r="H345" s="6">
        <f>J116</f>
        <v/>
      </c>
      <c r="I345" s="6">
        <f>K116</f>
        <v/>
      </c>
      <c r="J345" s="6">
        <f>L116</f>
        <v/>
      </c>
      <c r="K345" s="6">
        <f>M116</f>
        <v/>
      </c>
      <c r="L345" s="6">
        <f>N116</f>
        <v/>
      </c>
      <c r="M345" s="6">
        <f>O116</f>
        <v/>
      </c>
      <c r="N345" s="6">
        <f>P116</f>
        <v/>
      </c>
      <c r="O345" s="6">
        <f>Q116</f>
        <v/>
      </c>
      <c r="P345" s="99" t="n"/>
      <c r="Q345" s="99" t="n"/>
    </row>
    <row r="346">
      <c r="C346" s="6" t="inlineStr">
        <is>
          <t>2017-03</t>
        </is>
      </c>
      <c r="D346" s="6">
        <f>F117</f>
        <v/>
      </c>
      <c r="E346" s="6">
        <f>G117</f>
        <v/>
      </c>
      <c r="F346" s="6">
        <f>H117</f>
        <v/>
      </c>
      <c r="G346" s="6">
        <f>I117</f>
        <v/>
      </c>
      <c r="H346" s="6">
        <f>J117</f>
        <v/>
      </c>
      <c r="I346" s="6">
        <f>K117</f>
        <v/>
      </c>
      <c r="J346" s="6">
        <f>L117</f>
        <v/>
      </c>
      <c r="K346" s="6">
        <f>M117</f>
        <v/>
      </c>
      <c r="L346" s="6">
        <f>N117</f>
        <v/>
      </c>
      <c r="M346" s="6">
        <f>O117</f>
        <v/>
      </c>
      <c r="N346" s="6">
        <f>P117</f>
        <v/>
      </c>
      <c r="O346" s="6">
        <f>Q117</f>
        <v/>
      </c>
      <c r="P346" s="99" t="n"/>
      <c r="Q346" s="99" t="n"/>
    </row>
    <row r="347">
      <c r="C347" s="6" t="inlineStr">
        <is>
          <t>2017-04</t>
        </is>
      </c>
      <c r="D347" s="6">
        <f>F118</f>
        <v/>
      </c>
      <c r="E347" s="6">
        <f>G118</f>
        <v/>
      </c>
      <c r="F347" s="6">
        <f>H118</f>
        <v/>
      </c>
      <c r="G347" s="6">
        <f>I118</f>
        <v/>
      </c>
      <c r="H347" s="6">
        <f>J118</f>
        <v/>
      </c>
      <c r="I347" s="6">
        <f>K118</f>
        <v/>
      </c>
      <c r="J347" s="6">
        <f>L118</f>
        <v/>
      </c>
      <c r="K347" s="6">
        <f>M118</f>
        <v/>
      </c>
      <c r="L347" s="6">
        <f>N118</f>
        <v/>
      </c>
      <c r="M347" s="6">
        <f>O118</f>
        <v/>
      </c>
      <c r="N347" s="6">
        <f>P118</f>
        <v/>
      </c>
      <c r="O347" s="6">
        <f>Q118</f>
        <v/>
      </c>
      <c r="P347" s="99" t="n"/>
      <c r="Q347" s="99" t="n"/>
    </row>
    <row r="348">
      <c r="C348" s="6" t="inlineStr">
        <is>
          <t>2017-05</t>
        </is>
      </c>
      <c r="D348" s="6">
        <f>F119</f>
        <v/>
      </c>
      <c r="E348" s="6">
        <f>G119</f>
        <v/>
      </c>
      <c r="F348" s="6">
        <f>H119</f>
        <v/>
      </c>
      <c r="G348" s="6">
        <f>I119</f>
        <v/>
      </c>
      <c r="H348" s="6">
        <f>J119</f>
        <v/>
      </c>
      <c r="I348" s="6">
        <f>K119</f>
        <v/>
      </c>
      <c r="J348" s="6">
        <f>L119</f>
        <v/>
      </c>
      <c r="K348" s="6">
        <f>M119</f>
        <v/>
      </c>
      <c r="L348" s="6">
        <f>N119</f>
        <v/>
      </c>
      <c r="M348" s="6">
        <f>O119</f>
        <v/>
      </c>
      <c r="N348" s="6">
        <f>P119</f>
        <v/>
      </c>
      <c r="O348" s="6">
        <f>Q119</f>
        <v/>
      </c>
      <c r="P348" s="99" t="n"/>
      <c r="Q348" s="99" t="n"/>
    </row>
    <row r="349">
      <c r="C349" s="6" t="inlineStr">
        <is>
          <t>2017-06</t>
        </is>
      </c>
      <c r="D349" s="6">
        <f>F120</f>
        <v/>
      </c>
      <c r="E349" s="6">
        <f>G120</f>
        <v/>
      </c>
      <c r="F349" s="6">
        <f>H120</f>
        <v/>
      </c>
      <c r="G349" s="6">
        <f>I120</f>
        <v/>
      </c>
      <c r="H349" s="6">
        <f>J120</f>
        <v/>
      </c>
      <c r="I349" s="6">
        <f>K120</f>
        <v/>
      </c>
      <c r="J349" s="6">
        <f>L120</f>
        <v/>
      </c>
      <c r="K349" s="6">
        <f>M120</f>
        <v/>
      </c>
      <c r="L349" s="6">
        <f>N120</f>
        <v/>
      </c>
      <c r="M349" s="6">
        <f>O120</f>
        <v/>
      </c>
      <c r="N349" s="6">
        <f>P120</f>
        <v/>
      </c>
      <c r="O349" s="6">
        <f>Q120</f>
        <v/>
      </c>
      <c r="P349" s="99" t="n"/>
      <c r="Q349" s="99" t="n"/>
    </row>
    <row r="350">
      <c r="C350" s="6" t="inlineStr">
        <is>
          <t>2017-07</t>
        </is>
      </c>
      <c r="D350" s="6">
        <f>F121</f>
        <v/>
      </c>
      <c r="E350" s="6">
        <f>G121</f>
        <v/>
      </c>
      <c r="F350" s="6">
        <f>H121</f>
        <v/>
      </c>
      <c r="G350" s="6">
        <f>I121</f>
        <v/>
      </c>
      <c r="H350" s="6">
        <f>J121</f>
        <v/>
      </c>
      <c r="I350" s="6">
        <f>K121</f>
        <v/>
      </c>
      <c r="J350" s="6">
        <f>L121</f>
        <v/>
      </c>
      <c r="K350" s="6">
        <f>M121</f>
        <v/>
      </c>
      <c r="L350" s="6">
        <f>N121</f>
        <v/>
      </c>
      <c r="M350" s="6">
        <f>O121</f>
        <v/>
      </c>
      <c r="N350" s="6">
        <f>P121</f>
        <v/>
      </c>
      <c r="O350" s="6">
        <f>Q121</f>
        <v/>
      </c>
      <c r="P350" s="99" t="n"/>
      <c r="Q350" s="99" t="n"/>
    </row>
    <row r="351">
      <c r="C351" s="6" t="inlineStr">
        <is>
          <t>2017-08</t>
        </is>
      </c>
      <c r="D351" s="6">
        <f>F122</f>
        <v/>
      </c>
      <c r="E351" s="6">
        <f>G122</f>
        <v/>
      </c>
      <c r="F351" s="6">
        <f>H122</f>
        <v/>
      </c>
      <c r="G351" s="6">
        <f>I122</f>
        <v/>
      </c>
      <c r="H351" s="6">
        <f>J122</f>
        <v/>
      </c>
      <c r="I351" s="6">
        <f>K122</f>
        <v/>
      </c>
      <c r="J351" s="6">
        <f>L122</f>
        <v/>
      </c>
      <c r="K351" s="6">
        <f>M122</f>
        <v/>
      </c>
      <c r="L351" s="6">
        <f>N122</f>
        <v/>
      </c>
      <c r="M351" s="6">
        <f>O122</f>
        <v/>
      </c>
      <c r="N351" s="6">
        <f>P122</f>
        <v/>
      </c>
      <c r="O351" s="6">
        <f>Q122</f>
        <v/>
      </c>
      <c r="P351" s="99" t="n"/>
      <c r="Q351" s="99" t="n"/>
    </row>
    <row r="352">
      <c r="C352" s="6" t="inlineStr">
        <is>
          <t>2017-09</t>
        </is>
      </c>
      <c r="D352" s="6">
        <f>F123</f>
        <v/>
      </c>
      <c r="E352" s="6">
        <f>G123</f>
        <v/>
      </c>
      <c r="F352" s="6">
        <f>H123</f>
        <v/>
      </c>
      <c r="G352" s="6">
        <f>I123</f>
        <v/>
      </c>
      <c r="H352" s="6">
        <f>J123</f>
        <v/>
      </c>
      <c r="I352" s="6">
        <f>K123</f>
        <v/>
      </c>
      <c r="J352" s="6">
        <f>L123</f>
        <v/>
      </c>
      <c r="K352" s="6">
        <f>M123</f>
        <v/>
      </c>
      <c r="L352" s="6">
        <f>N123</f>
        <v/>
      </c>
      <c r="M352" s="6">
        <f>O123</f>
        <v/>
      </c>
      <c r="N352" s="6">
        <f>P123</f>
        <v/>
      </c>
      <c r="O352" s="6">
        <f>Q123</f>
        <v/>
      </c>
      <c r="P352" s="99" t="n"/>
      <c r="Q352" s="99" t="n"/>
    </row>
    <row r="353">
      <c r="C353" s="6" t="inlineStr">
        <is>
          <t>2017-10</t>
        </is>
      </c>
      <c r="D353" s="6">
        <f>F124</f>
        <v/>
      </c>
      <c r="E353" s="6">
        <f>G124</f>
        <v/>
      </c>
      <c r="F353" s="6">
        <f>H124</f>
        <v/>
      </c>
      <c r="G353" s="6">
        <f>I124</f>
        <v/>
      </c>
      <c r="H353" s="6">
        <f>J124</f>
        <v/>
      </c>
      <c r="I353" s="6">
        <f>K124</f>
        <v/>
      </c>
      <c r="J353" s="6">
        <f>L124</f>
        <v/>
      </c>
      <c r="K353" s="6">
        <f>M124</f>
        <v/>
      </c>
      <c r="L353" s="6">
        <f>N124</f>
        <v/>
      </c>
      <c r="M353" s="6">
        <f>O124</f>
        <v/>
      </c>
      <c r="N353" s="6">
        <f>P124</f>
        <v/>
      </c>
      <c r="O353" s="6">
        <f>Q124</f>
        <v/>
      </c>
      <c r="P353" s="99" t="n"/>
      <c r="Q353" s="99" t="n"/>
    </row>
    <row r="354">
      <c r="C354" s="6" t="inlineStr">
        <is>
          <t>2017-11</t>
        </is>
      </c>
      <c r="D354" s="6">
        <f>F125</f>
        <v/>
      </c>
      <c r="E354" s="6">
        <f>G125</f>
        <v/>
      </c>
      <c r="F354" s="6">
        <f>H125</f>
        <v/>
      </c>
      <c r="G354" s="6">
        <f>I125</f>
        <v/>
      </c>
      <c r="H354" s="6">
        <f>J125</f>
        <v/>
      </c>
      <c r="I354" s="6">
        <f>K125</f>
        <v/>
      </c>
      <c r="J354" s="6">
        <f>L125</f>
        <v/>
      </c>
      <c r="K354" s="6">
        <f>M125</f>
        <v/>
      </c>
      <c r="L354" s="6">
        <f>N125</f>
        <v/>
      </c>
      <c r="M354" s="6">
        <f>O125</f>
        <v/>
      </c>
      <c r="N354" s="6">
        <f>P125</f>
        <v/>
      </c>
      <c r="O354" s="6">
        <f>Q125</f>
        <v/>
      </c>
      <c r="P354" s="99" t="n"/>
      <c r="Q354" s="99" t="n"/>
    </row>
    <row r="355">
      <c r="C355" s="6" t="inlineStr">
        <is>
          <t>2017-12</t>
        </is>
      </c>
      <c r="D355" s="6">
        <f>F126</f>
        <v/>
      </c>
      <c r="E355" s="6">
        <f>G126</f>
        <v/>
      </c>
      <c r="F355" s="6">
        <f>H126</f>
        <v/>
      </c>
      <c r="G355" s="6">
        <f>I126</f>
        <v/>
      </c>
      <c r="H355" s="6">
        <f>J126</f>
        <v/>
      </c>
      <c r="I355" s="6">
        <f>K126</f>
        <v/>
      </c>
      <c r="J355" s="6">
        <f>L126</f>
        <v/>
      </c>
      <c r="K355" s="6">
        <f>M126</f>
        <v/>
      </c>
      <c r="L355" s="6">
        <f>N126</f>
        <v/>
      </c>
      <c r="M355" s="6">
        <f>O126</f>
        <v/>
      </c>
      <c r="N355" s="6">
        <f>P126</f>
        <v/>
      </c>
      <c r="O355" s="6">
        <f>Q126</f>
        <v/>
      </c>
      <c r="P355" s="99" t="n"/>
      <c r="Q355" s="99" t="n"/>
    </row>
    <row r="356">
      <c r="C356" s="6" t="inlineStr">
        <is>
          <t>2018-01</t>
        </is>
      </c>
      <c r="D356" s="6">
        <f>F127</f>
        <v/>
      </c>
      <c r="E356" s="6">
        <f>G127</f>
        <v/>
      </c>
      <c r="F356" s="6">
        <f>H127</f>
        <v/>
      </c>
      <c r="G356" s="6">
        <f>I127</f>
        <v/>
      </c>
      <c r="H356" s="6">
        <f>J127</f>
        <v/>
      </c>
      <c r="I356" s="6">
        <f>K127</f>
        <v/>
      </c>
      <c r="J356" s="6">
        <f>L127</f>
        <v/>
      </c>
      <c r="K356" s="6">
        <f>M127</f>
        <v/>
      </c>
      <c r="L356" s="6">
        <f>N127</f>
        <v/>
      </c>
      <c r="M356" s="6">
        <f>O127</f>
        <v/>
      </c>
      <c r="N356" s="6">
        <f>P127</f>
        <v/>
      </c>
      <c r="O356" s="6">
        <f>Q127</f>
        <v/>
      </c>
      <c r="P356" s="99" t="n"/>
      <c r="Q356" s="99" t="n"/>
    </row>
    <row r="357">
      <c r="C357" s="6" t="inlineStr">
        <is>
          <t>2018-02</t>
        </is>
      </c>
      <c r="D357" s="6">
        <f>F128</f>
        <v/>
      </c>
      <c r="E357" s="6">
        <f>G128</f>
        <v/>
      </c>
      <c r="F357" s="6">
        <f>H128</f>
        <v/>
      </c>
      <c r="G357" s="6">
        <f>I128</f>
        <v/>
      </c>
      <c r="H357" s="6">
        <f>J128</f>
        <v/>
      </c>
      <c r="I357" s="6">
        <f>K128</f>
        <v/>
      </c>
      <c r="J357" s="6">
        <f>L128</f>
        <v/>
      </c>
      <c r="K357" s="6">
        <f>M128</f>
        <v/>
      </c>
      <c r="L357" s="6">
        <f>N128</f>
        <v/>
      </c>
      <c r="M357" s="6">
        <f>O128</f>
        <v/>
      </c>
      <c r="N357" s="6">
        <f>P128</f>
        <v/>
      </c>
      <c r="O357" s="6">
        <f>Q128</f>
        <v/>
      </c>
      <c r="P357" s="99" t="n"/>
      <c r="Q357" s="99" t="n"/>
    </row>
    <row r="358">
      <c r="C358" s="6" t="inlineStr">
        <is>
          <t>2018-03</t>
        </is>
      </c>
      <c r="D358" s="6">
        <f>F129</f>
        <v/>
      </c>
      <c r="E358" s="6">
        <f>G129</f>
        <v/>
      </c>
      <c r="F358" s="6">
        <f>H129</f>
        <v/>
      </c>
      <c r="G358" s="6">
        <f>I129</f>
        <v/>
      </c>
      <c r="H358" s="6">
        <f>J129</f>
        <v/>
      </c>
      <c r="I358" s="6">
        <f>K129</f>
        <v/>
      </c>
      <c r="J358" s="6">
        <f>L129</f>
        <v/>
      </c>
      <c r="K358" s="6">
        <f>M129</f>
        <v/>
      </c>
      <c r="L358" s="6">
        <f>N129</f>
        <v/>
      </c>
      <c r="M358" s="6">
        <f>O129</f>
        <v/>
      </c>
      <c r="N358" s="6">
        <f>P129</f>
        <v/>
      </c>
      <c r="O358" s="6">
        <f>Q129</f>
        <v/>
      </c>
      <c r="P358" s="99" t="n"/>
      <c r="Q358" s="99" t="n"/>
    </row>
    <row r="359">
      <c r="C359" s="6" t="inlineStr">
        <is>
          <t>2018-04</t>
        </is>
      </c>
      <c r="D359" s="6">
        <f>F130</f>
        <v/>
      </c>
      <c r="E359" s="6">
        <f>G130</f>
        <v/>
      </c>
      <c r="F359" s="6">
        <f>H130</f>
        <v/>
      </c>
      <c r="G359" s="6">
        <f>I130</f>
        <v/>
      </c>
      <c r="H359" s="6">
        <f>J130</f>
        <v/>
      </c>
      <c r="I359" s="6">
        <f>K130</f>
        <v/>
      </c>
      <c r="J359" s="6">
        <f>L130</f>
        <v/>
      </c>
      <c r="K359" s="6">
        <f>M130</f>
        <v/>
      </c>
      <c r="L359" s="6">
        <f>N130</f>
        <v/>
      </c>
      <c r="M359" s="6">
        <f>O130</f>
        <v/>
      </c>
      <c r="N359" s="6">
        <f>P130</f>
        <v/>
      </c>
      <c r="O359" s="6">
        <f>Q130</f>
        <v/>
      </c>
      <c r="P359" s="99" t="n"/>
      <c r="Q359" s="99" t="n"/>
    </row>
    <row r="360">
      <c r="C360" s="6" t="inlineStr">
        <is>
          <t>2018-05</t>
        </is>
      </c>
      <c r="D360" s="6">
        <f>F131</f>
        <v/>
      </c>
      <c r="E360" s="6">
        <f>G131</f>
        <v/>
      </c>
      <c r="F360" s="6">
        <f>H131</f>
        <v/>
      </c>
      <c r="G360" s="6">
        <f>I131</f>
        <v/>
      </c>
      <c r="H360" s="6">
        <f>J131</f>
        <v/>
      </c>
      <c r="I360" s="6">
        <f>K131</f>
        <v/>
      </c>
      <c r="J360" s="6">
        <f>L131</f>
        <v/>
      </c>
      <c r="K360" s="6">
        <f>M131</f>
        <v/>
      </c>
      <c r="L360" s="6">
        <f>N131</f>
        <v/>
      </c>
      <c r="M360" s="6">
        <f>O131</f>
        <v/>
      </c>
      <c r="N360" s="6">
        <f>P131</f>
        <v/>
      </c>
      <c r="O360" s="6">
        <f>Q131</f>
        <v/>
      </c>
      <c r="P360" s="99" t="n"/>
      <c r="Q360" s="99" t="n"/>
    </row>
    <row r="361">
      <c r="C361" s="6" t="inlineStr">
        <is>
          <t>2018-06</t>
        </is>
      </c>
      <c r="D361" s="6">
        <f>F132</f>
        <v/>
      </c>
      <c r="E361" s="6">
        <f>G132</f>
        <v/>
      </c>
      <c r="F361" s="6">
        <f>H132</f>
        <v/>
      </c>
      <c r="G361" s="6">
        <f>I132</f>
        <v/>
      </c>
      <c r="H361" s="6">
        <f>J132</f>
        <v/>
      </c>
      <c r="I361" s="6">
        <f>K132</f>
        <v/>
      </c>
      <c r="J361" s="6">
        <f>L132</f>
        <v/>
      </c>
      <c r="K361" s="6">
        <f>M132</f>
        <v/>
      </c>
      <c r="L361" s="6">
        <f>N132</f>
        <v/>
      </c>
      <c r="M361" s="6">
        <f>O132</f>
        <v/>
      </c>
      <c r="N361" s="6">
        <f>P132</f>
        <v/>
      </c>
      <c r="O361" s="6">
        <f>Q132</f>
        <v/>
      </c>
      <c r="P361" s="99" t="n"/>
      <c r="Q361" s="99" t="n"/>
    </row>
    <row r="362">
      <c r="C362" s="6" t="inlineStr">
        <is>
          <t>2018-07</t>
        </is>
      </c>
      <c r="D362" s="6">
        <f>F133</f>
        <v/>
      </c>
      <c r="E362" s="6">
        <f>G133</f>
        <v/>
      </c>
      <c r="F362" s="6">
        <f>H133</f>
        <v/>
      </c>
      <c r="G362" s="6">
        <f>I133</f>
        <v/>
      </c>
      <c r="H362" s="6">
        <f>J133</f>
        <v/>
      </c>
      <c r="I362" s="6">
        <f>K133</f>
        <v/>
      </c>
      <c r="J362" s="6">
        <f>L133</f>
        <v/>
      </c>
      <c r="K362" s="6">
        <f>M133</f>
        <v/>
      </c>
      <c r="L362" s="6">
        <f>N133</f>
        <v/>
      </c>
      <c r="M362" s="6">
        <f>O133</f>
        <v/>
      </c>
      <c r="N362" s="6">
        <f>P133</f>
        <v/>
      </c>
      <c r="O362" s="6">
        <f>Q133</f>
        <v/>
      </c>
      <c r="P362" s="99" t="n"/>
      <c r="Q362" s="99" t="n"/>
    </row>
    <row r="363">
      <c r="C363" s="6" t="inlineStr">
        <is>
          <t>2018-08</t>
        </is>
      </c>
      <c r="D363" s="6">
        <f>F134</f>
        <v/>
      </c>
      <c r="E363" s="6">
        <f>G134</f>
        <v/>
      </c>
      <c r="F363" s="6">
        <f>H134</f>
        <v/>
      </c>
      <c r="G363" s="6">
        <f>I134</f>
        <v/>
      </c>
      <c r="H363" s="6">
        <f>J134</f>
        <v/>
      </c>
      <c r="I363" s="6">
        <f>K134</f>
        <v/>
      </c>
      <c r="J363" s="6">
        <f>L134</f>
        <v/>
      </c>
      <c r="K363" s="6">
        <f>M134</f>
        <v/>
      </c>
      <c r="L363" s="6">
        <f>N134</f>
        <v/>
      </c>
      <c r="M363" s="6">
        <f>O134</f>
        <v/>
      </c>
      <c r="N363" s="6">
        <f>P134</f>
        <v/>
      </c>
      <c r="O363" s="6">
        <f>Q134</f>
        <v/>
      </c>
      <c r="P363" s="99" t="n"/>
      <c r="Q363" s="99" t="n"/>
    </row>
    <row r="364">
      <c r="C364" s="6" t="inlineStr">
        <is>
          <t>2018-09</t>
        </is>
      </c>
      <c r="D364" s="6">
        <f>F135</f>
        <v/>
      </c>
      <c r="E364" s="6">
        <f>G135</f>
        <v/>
      </c>
      <c r="F364" s="6">
        <f>H135</f>
        <v/>
      </c>
      <c r="G364" s="6">
        <f>I135</f>
        <v/>
      </c>
      <c r="H364" s="6">
        <f>J135</f>
        <v/>
      </c>
      <c r="I364" s="6">
        <f>K135</f>
        <v/>
      </c>
      <c r="J364" s="6">
        <f>L135</f>
        <v/>
      </c>
      <c r="K364" s="6">
        <f>M135</f>
        <v/>
      </c>
      <c r="L364" s="6">
        <f>N135</f>
        <v/>
      </c>
      <c r="M364" s="6">
        <f>O135</f>
        <v/>
      </c>
      <c r="N364" s="6">
        <f>P135</f>
        <v/>
      </c>
      <c r="O364" s="6">
        <f>Q135</f>
        <v/>
      </c>
      <c r="P364" s="99" t="n"/>
      <c r="Q364" s="99" t="n"/>
    </row>
    <row r="365">
      <c r="C365" s="6" t="inlineStr">
        <is>
          <t>2018-10</t>
        </is>
      </c>
      <c r="D365" s="6">
        <f>F136</f>
        <v/>
      </c>
      <c r="E365" s="6">
        <f>G136</f>
        <v/>
      </c>
      <c r="F365" s="6">
        <f>H136</f>
        <v/>
      </c>
      <c r="G365" s="6">
        <f>I136</f>
        <v/>
      </c>
      <c r="H365" s="6">
        <f>J136</f>
        <v/>
      </c>
      <c r="I365" s="6">
        <f>K136</f>
        <v/>
      </c>
      <c r="J365" s="6">
        <f>L136</f>
        <v/>
      </c>
      <c r="K365" s="6">
        <f>M136</f>
        <v/>
      </c>
      <c r="L365" s="6">
        <f>N136</f>
        <v/>
      </c>
      <c r="M365" s="6">
        <f>O136</f>
        <v/>
      </c>
      <c r="N365" s="6">
        <f>P136</f>
        <v/>
      </c>
      <c r="O365" s="6">
        <f>Q136</f>
        <v/>
      </c>
      <c r="P365" s="99" t="n"/>
      <c r="Q365" s="99" t="n"/>
    </row>
    <row r="366">
      <c r="C366" s="6" t="inlineStr">
        <is>
          <t>2018-11</t>
        </is>
      </c>
      <c r="D366" s="6">
        <f>F137</f>
        <v/>
      </c>
      <c r="E366" s="6">
        <f>G137</f>
        <v/>
      </c>
      <c r="F366" s="6">
        <f>H137</f>
        <v/>
      </c>
      <c r="G366" s="6">
        <f>I137</f>
        <v/>
      </c>
      <c r="H366" s="6">
        <f>J137</f>
        <v/>
      </c>
      <c r="I366" s="6">
        <f>K137</f>
        <v/>
      </c>
      <c r="J366" s="6">
        <f>L137</f>
        <v/>
      </c>
      <c r="K366" s="6">
        <f>M137</f>
        <v/>
      </c>
      <c r="L366" s="6">
        <f>N137</f>
        <v/>
      </c>
      <c r="M366" s="6">
        <f>O137</f>
        <v/>
      </c>
      <c r="N366" s="6">
        <f>P137</f>
        <v/>
      </c>
      <c r="O366" s="6">
        <f>Q137</f>
        <v/>
      </c>
      <c r="P366" s="99" t="n"/>
      <c r="Q366" s="99" t="n"/>
    </row>
    <row r="367">
      <c r="C367" s="6" t="inlineStr">
        <is>
          <t>2018-12</t>
        </is>
      </c>
      <c r="D367" s="6">
        <f>F138</f>
        <v/>
      </c>
      <c r="E367" s="6">
        <f>G138</f>
        <v/>
      </c>
      <c r="F367" s="6">
        <f>H138</f>
        <v/>
      </c>
      <c r="G367" s="6">
        <f>I138</f>
        <v/>
      </c>
      <c r="H367" s="6">
        <f>J138</f>
        <v/>
      </c>
      <c r="I367" s="6">
        <f>K138</f>
        <v/>
      </c>
      <c r="J367" s="6">
        <f>L138</f>
        <v/>
      </c>
      <c r="K367" s="6">
        <f>M138</f>
        <v/>
      </c>
      <c r="L367" s="6">
        <f>N138</f>
        <v/>
      </c>
      <c r="M367" s="6">
        <f>O138</f>
        <v/>
      </c>
      <c r="N367" s="6">
        <f>P138</f>
        <v/>
      </c>
      <c r="O367" s="6">
        <f>Q138</f>
        <v/>
      </c>
      <c r="P367" s="99" t="n"/>
      <c r="Q367" s="99" t="n"/>
    </row>
    <row r="368">
      <c r="C368" s="6" t="inlineStr">
        <is>
          <t>2019-01</t>
        </is>
      </c>
      <c r="D368" s="6">
        <f>F139</f>
        <v/>
      </c>
      <c r="E368" s="6">
        <f>G139</f>
        <v/>
      </c>
      <c r="F368" s="6">
        <f>H139</f>
        <v/>
      </c>
      <c r="G368" s="6">
        <f>I139</f>
        <v/>
      </c>
      <c r="H368" s="6">
        <f>J139</f>
        <v/>
      </c>
      <c r="I368" s="6">
        <f>K139</f>
        <v/>
      </c>
      <c r="J368" s="6">
        <f>L139</f>
        <v/>
      </c>
      <c r="K368" s="6">
        <f>M139</f>
        <v/>
      </c>
      <c r="L368" s="6">
        <f>N139</f>
        <v/>
      </c>
      <c r="M368" s="6">
        <f>O139</f>
        <v/>
      </c>
      <c r="N368" s="6">
        <f>P139</f>
        <v/>
      </c>
      <c r="O368" s="6">
        <f>Q139</f>
        <v/>
      </c>
      <c r="P368" s="99" t="n"/>
      <c r="Q368" s="99" t="n"/>
    </row>
    <row r="369">
      <c r="C369" s="6" t="inlineStr">
        <is>
          <t>2019-02</t>
        </is>
      </c>
      <c r="D369" s="6">
        <f>F140</f>
        <v/>
      </c>
      <c r="E369" s="6">
        <f>G140</f>
        <v/>
      </c>
      <c r="F369" s="6">
        <f>H140</f>
        <v/>
      </c>
      <c r="G369" s="6">
        <f>I140</f>
        <v/>
      </c>
      <c r="H369" s="6">
        <f>J140</f>
        <v/>
      </c>
      <c r="I369" s="6">
        <f>K140</f>
        <v/>
      </c>
      <c r="J369" s="6">
        <f>L140</f>
        <v/>
      </c>
      <c r="K369" s="6">
        <f>M140</f>
        <v/>
      </c>
      <c r="L369" s="6">
        <f>N140</f>
        <v/>
      </c>
      <c r="M369" s="6">
        <f>O140</f>
        <v/>
      </c>
      <c r="N369" s="6">
        <f>P140</f>
        <v/>
      </c>
      <c r="O369" s="6">
        <f>Q140</f>
        <v/>
      </c>
      <c r="P369" s="99" t="n"/>
      <c r="Q369" s="99" t="n"/>
    </row>
    <row r="370">
      <c r="C370" s="6" t="inlineStr">
        <is>
          <t>2019-03</t>
        </is>
      </c>
      <c r="D370" s="6">
        <f>F141</f>
        <v/>
      </c>
      <c r="E370" s="6">
        <f>G141</f>
        <v/>
      </c>
      <c r="F370" s="6">
        <f>H141</f>
        <v/>
      </c>
      <c r="G370" s="6">
        <f>I141</f>
        <v/>
      </c>
      <c r="H370" s="6">
        <f>J141</f>
        <v/>
      </c>
      <c r="I370" s="6">
        <f>K141</f>
        <v/>
      </c>
      <c r="J370" s="6">
        <f>L141</f>
        <v/>
      </c>
      <c r="K370" s="6">
        <f>M141</f>
        <v/>
      </c>
      <c r="L370" s="6">
        <f>N141</f>
        <v/>
      </c>
      <c r="M370" s="6">
        <f>O141</f>
        <v/>
      </c>
      <c r="N370" s="6">
        <f>P141</f>
        <v/>
      </c>
      <c r="O370" s="6">
        <f>Q141</f>
        <v/>
      </c>
      <c r="P370" s="99" t="n"/>
      <c r="Q370" s="99" t="n"/>
    </row>
    <row r="371">
      <c r="C371" s="6" t="inlineStr">
        <is>
          <t>2019-04</t>
        </is>
      </c>
      <c r="D371" s="6">
        <f>F142</f>
        <v/>
      </c>
      <c r="E371" s="6">
        <f>G142</f>
        <v/>
      </c>
      <c r="F371" s="6">
        <f>H142</f>
        <v/>
      </c>
      <c r="G371" s="6">
        <f>I142</f>
        <v/>
      </c>
      <c r="H371" s="6">
        <f>J142</f>
        <v/>
      </c>
      <c r="I371" s="6">
        <f>K142</f>
        <v/>
      </c>
      <c r="J371" s="6">
        <f>L142</f>
        <v/>
      </c>
      <c r="K371" s="6">
        <f>M142</f>
        <v/>
      </c>
      <c r="L371" s="6">
        <f>N142</f>
        <v/>
      </c>
      <c r="M371" s="6">
        <f>O142</f>
        <v/>
      </c>
      <c r="N371" s="6">
        <f>P142</f>
        <v/>
      </c>
      <c r="O371" s="6">
        <f>Q142</f>
        <v/>
      </c>
      <c r="P371" s="99" t="n"/>
      <c r="Q371" s="99" t="n"/>
    </row>
    <row r="372">
      <c r="C372" s="6" t="inlineStr">
        <is>
          <t>2019-05</t>
        </is>
      </c>
      <c r="D372" s="6">
        <f>F143</f>
        <v/>
      </c>
      <c r="E372" s="6">
        <f>G143</f>
        <v/>
      </c>
      <c r="F372" s="6">
        <f>H143</f>
        <v/>
      </c>
      <c r="G372" s="6">
        <f>I143</f>
        <v/>
      </c>
      <c r="H372" s="6">
        <f>J143</f>
        <v/>
      </c>
      <c r="I372" s="6">
        <f>K143</f>
        <v/>
      </c>
      <c r="J372" s="6">
        <f>L143</f>
        <v/>
      </c>
      <c r="K372" s="6">
        <f>M143</f>
        <v/>
      </c>
      <c r="L372" s="6">
        <f>N143</f>
        <v/>
      </c>
      <c r="M372" s="6">
        <f>O143</f>
        <v/>
      </c>
      <c r="N372" s="6">
        <f>P143</f>
        <v/>
      </c>
      <c r="O372" s="6">
        <f>Q143</f>
        <v/>
      </c>
      <c r="P372" s="99" t="n"/>
      <c r="Q372" s="99" t="n"/>
    </row>
    <row r="373">
      <c r="C373" s="6" t="inlineStr">
        <is>
          <t>2019-06</t>
        </is>
      </c>
      <c r="D373" s="6">
        <f>F144</f>
        <v/>
      </c>
      <c r="E373" s="6">
        <f>G144</f>
        <v/>
      </c>
      <c r="F373" s="6">
        <f>H144</f>
        <v/>
      </c>
      <c r="G373" s="6">
        <f>I144</f>
        <v/>
      </c>
      <c r="H373" s="6">
        <f>J144</f>
        <v/>
      </c>
      <c r="I373" s="6">
        <f>K144</f>
        <v/>
      </c>
      <c r="J373" s="6">
        <f>L144</f>
        <v/>
      </c>
      <c r="K373" s="6">
        <f>M144</f>
        <v/>
      </c>
      <c r="L373" s="6">
        <f>N144</f>
        <v/>
      </c>
      <c r="M373" s="6">
        <f>O144</f>
        <v/>
      </c>
      <c r="N373" s="6">
        <f>P144</f>
        <v/>
      </c>
      <c r="O373" s="6">
        <f>Q144</f>
        <v/>
      </c>
      <c r="P373" s="99" t="n"/>
      <c r="Q373" s="99" t="n"/>
    </row>
    <row r="374">
      <c r="C374" s="6" t="inlineStr">
        <is>
          <t>2019-07</t>
        </is>
      </c>
      <c r="D374" s="6">
        <f>F145</f>
        <v/>
      </c>
      <c r="E374" s="6">
        <f>G145</f>
        <v/>
      </c>
      <c r="F374" s="6">
        <f>H145</f>
        <v/>
      </c>
      <c r="G374" s="6">
        <f>I145</f>
        <v/>
      </c>
      <c r="H374" s="6">
        <f>J145</f>
        <v/>
      </c>
      <c r="I374" s="6">
        <f>K145</f>
        <v/>
      </c>
      <c r="J374" s="6">
        <f>L145</f>
        <v/>
      </c>
      <c r="K374" s="6">
        <f>M145</f>
        <v/>
      </c>
      <c r="L374" s="6">
        <f>N145</f>
        <v/>
      </c>
      <c r="M374" s="6">
        <f>O145</f>
        <v/>
      </c>
      <c r="N374" s="6">
        <f>P145</f>
        <v/>
      </c>
      <c r="O374" s="6">
        <f>Q145</f>
        <v/>
      </c>
      <c r="P374" s="99" t="n"/>
      <c r="Q374" s="99" t="n"/>
    </row>
    <row r="375">
      <c r="C375" s="6" t="inlineStr">
        <is>
          <t>2019-08</t>
        </is>
      </c>
      <c r="D375" s="6">
        <f>F146</f>
        <v/>
      </c>
      <c r="E375" s="6">
        <f>G146</f>
        <v/>
      </c>
      <c r="F375" s="6">
        <f>H146</f>
        <v/>
      </c>
      <c r="G375" s="6">
        <f>I146</f>
        <v/>
      </c>
      <c r="H375" s="6">
        <f>J146</f>
        <v/>
      </c>
      <c r="I375" s="6">
        <f>K146</f>
        <v/>
      </c>
      <c r="J375" s="6">
        <f>L146</f>
        <v/>
      </c>
      <c r="K375" s="6">
        <f>M146</f>
        <v/>
      </c>
      <c r="L375" s="6">
        <f>N146</f>
        <v/>
      </c>
      <c r="M375" s="6">
        <f>O146</f>
        <v/>
      </c>
      <c r="N375" s="6">
        <f>P146</f>
        <v/>
      </c>
      <c r="O375" s="6">
        <f>Q146</f>
        <v/>
      </c>
      <c r="P375" s="99" t="n"/>
      <c r="Q375" s="99" t="n"/>
    </row>
    <row r="376">
      <c r="C376" s="6" t="inlineStr">
        <is>
          <t>2019-09</t>
        </is>
      </c>
      <c r="D376" s="6">
        <f>F147</f>
        <v/>
      </c>
      <c r="E376" s="6">
        <f>G147</f>
        <v/>
      </c>
      <c r="F376" s="6">
        <f>H147</f>
        <v/>
      </c>
      <c r="G376" s="6">
        <f>I147</f>
        <v/>
      </c>
      <c r="H376" s="6">
        <f>J147</f>
        <v/>
      </c>
      <c r="I376" s="6">
        <f>K147</f>
        <v/>
      </c>
      <c r="J376" s="6">
        <f>L147</f>
        <v/>
      </c>
      <c r="K376" s="6">
        <f>M147</f>
        <v/>
      </c>
      <c r="L376" s="6">
        <f>N147</f>
        <v/>
      </c>
      <c r="M376" s="6">
        <f>O147</f>
        <v/>
      </c>
      <c r="N376" s="6">
        <f>P147</f>
        <v/>
      </c>
      <c r="O376" s="6">
        <f>Q147</f>
        <v/>
      </c>
      <c r="P376" s="99" t="n"/>
      <c r="Q376" s="99" t="n"/>
    </row>
    <row r="377">
      <c r="C377" s="6" t="inlineStr">
        <is>
          <t>2019-10</t>
        </is>
      </c>
      <c r="D377" s="6">
        <f>F148</f>
        <v/>
      </c>
      <c r="E377" s="6">
        <f>G148</f>
        <v/>
      </c>
      <c r="F377" s="6">
        <f>H148</f>
        <v/>
      </c>
      <c r="G377" s="6">
        <f>I148</f>
        <v/>
      </c>
      <c r="H377" s="6">
        <f>J148</f>
        <v/>
      </c>
      <c r="I377" s="6">
        <f>K148</f>
        <v/>
      </c>
      <c r="J377" s="6">
        <f>L148</f>
        <v/>
      </c>
      <c r="K377" s="6">
        <f>M148</f>
        <v/>
      </c>
      <c r="L377" s="6">
        <f>N148</f>
        <v/>
      </c>
      <c r="M377" s="6">
        <f>O148</f>
        <v/>
      </c>
      <c r="N377" s="6">
        <f>P148</f>
        <v/>
      </c>
      <c r="O377" s="6">
        <f>Q148</f>
        <v/>
      </c>
      <c r="P377" s="99" t="n"/>
      <c r="Q377" s="99" t="n"/>
    </row>
    <row r="378">
      <c r="C378" s="6" t="inlineStr">
        <is>
          <t>2019-11</t>
        </is>
      </c>
      <c r="D378" s="6">
        <f>F149</f>
        <v/>
      </c>
      <c r="E378" s="6">
        <f>G149</f>
        <v/>
      </c>
      <c r="F378" s="6">
        <f>H149</f>
        <v/>
      </c>
      <c r="G378" s="6">
        <f>I149</f>
        <v/>
      </c>
      <c r="H378" s="6">
        <f>J149</f>
        <v/>
      </c>
      <c r="I378" s="6">
        <f>K149</f>
        <v/>
      </c>
      <c r="J378" s="6">
        <f>L149</f>
        <v/>
      </c>
      <c r="K378" s="6">
        <f>M149</f>
        <v/>
      </c>
      <c r="L378" s="6">
        <f>N149</f>
        <v/>
      </c>
      <c r="M378" s="6">
        <f>O149</f>
        <v/>
      </c>
      <c r="N378" s="6">
        <f>P149</f>
        <v/>
      </c>
      <c r="O378" s="6">
        <f>Q149</f>
        <v/>
      </c>
      <c r="P378" s="99" t="n"/>
      <c r="Q378" s="99" t="n"/>
    </row>
    <row r="379">
      <c r="C379" s="6" t="inlineStr">
        <is>
          <t>2019-12</t>
        </is>
      </c>
      <c r="D379" s="6">
        <f>F150</f>
        <v/>
      </c>
      <c r="E379" s="6">
        <f>G150</f>
        <v/>
      </c>
      <c r="F379" s="6">
        <f>H150</f>
        <v/>
      </c>
      <c r="G379" s="6">
        <f>I150</f>
        <v/>
      </c>
      <c r="H379" s="6">
        <f>J150</f>
        <v/>
      </c>
      <c r="I379" s="6">
        <f>K150</f>
        <v/>
      </c>
      <c r="J379" s="6">
        <f>L150</f>
        <v/>
      </c>
      <c r="K379" s="6">
        <f>M150</f>
        <v/>
      </c>
      <c r="L379" s="6">
        <f>N150</f>
        <v/>
      </c>
      <c r="M379" s="6">
        <f>O150</f>
        <v/>
      </c>
      <c r="N379" s="6">
        <f>P150</f>
        <v/>
      </c>
      <c r="O379" s="6">
        <f>Q150</f>
        <v/>
      </c>
      <c r="P379" s="99" t="n"/>
      <c r="Q379" s="99" t="n"/>
    </row>
    <row r="380">
      <c r="C380" s="6" t="inlineStr">
        <is>
          <t>2020-01</t>
        </is>
      </c>
      <c r="D380" s="6">
        <f>F151</f>
        <v/>
      </c>
      <c r="E380" s="6">
        <f>G151</f>
        <v/>
      </c>
      <c r="F380" s="6">
        <f>H151</f>
        <v/>
      </c>
      <c r="G380" s="6">
        <f>I151</f>
        <v/>
      </c>
      <c r="H380" s="6">
        <f>J151</f>
        <v/>
      </c>
      <c r="I380" s="6">
        <f>K151</f>
        <v/>
      </c>
      <c r="J380" s="6">
        <f>L151</f>
        <v/>
      </c>
      <c r="K380" s="6">
        <f>M151</f>
        <v/>
      </c>
      <c r="L380" s="6">
        <f>N151</f>
        <v/>
      </c>
      <c r="M380" s="6">
        <f>O151</f>
        <v/>
      </c>
      <c r="N380" s="6">
        <f>P151</f>
        <v/>
      </c>
      <c r="O380" s="6">
        <f>Q151</f>
        <v/>
      </c>
      <c r="P380" s="99" t="n"/>
      <c r="Q380" s="99" t="n"/>
    </row>
    <row r="381">
      <c r="C381" s="6" t="inlineStr">
        <is>
          <t>2020-02</t>
        </is>
      </c>
      <c r="D381" s="6">
        <f>F152</f>
        <v/>
      </c>
      <c r="E381" s="6">
        <f>G152</f>
        <v/>
      </c>
      <c r="F381" s="6">
        <f>H152</f>
        <v/>
      </c>
      <c r="G381" s="6">
        <f>I152</f>
        <v/>
      </c>
      <c r="H381" s="6">
        <f>J152</f>
        <v/>
      </c>
      <c r="I381" s="6">
        <f>K152</f>
        <v/>
      </c>
      <c r="J381" s="6">
        <f>L152</f>
        <v/>
      </c>
      <c r="K381" s="6">
        <f>M152</f>
        <v/>
      </c>
      <c r="L381" s="6">
        <f>N152</f>
        <v/>
      </c>
      <c r="M381" s="6">
        <f>O152</f>
        <v/>
      </c>
      <c r="N381" s="6">
        <f>P152</f>
        <v/>
      </c>
      <c r="O381" s="6">
        <f>Q152</f>
        <v/>
      </c>
      <c r="P381" s="99" t="n"/>
      <c r="Q381" s="99" t="n"/>
    </row>
    <row r="382">
      <c r="C382" s="6" t="inlineStr">
        <is>
          <t>2020-03</t>
        </is>
      </c>
      <c r="D382" s="6">
        <f>F153</f>
        <v/>
      </c>
      <c r="E382" s="6">
        <f>G153</f>
        <v/>
      </c>
      <c r="F382" s="6">
        <f>H153</f>
        <v/>
      </c>
      <c r="G382" s="6">
        <f>I153</f>
        <v/>
      </c>
      <c r="H382" s="6">
        <f>J153</f>
        <v/>
      </c>
      <c r="I382" s="6">
        <f>K153</f>
        <v/>
      </c>
      <c r="J382" s="6">
        <f>L153</f>
        <v/>
      </c>
      <c r="K382" s="6">
        <f>M153</f>
        <v/>
      </c>
      <c r="L382" s="6">
        <f>N153</f>
        <v/>
      </c>
      <c r="M382" s="6">
        <f>O153</f>
        <v/>
      </c>
      <c r="N382" s="6">
        <f>P153</f>
        <v/>
      </c>
      <c r="O382" s="6">
        <f>Q153</f>
        <v/>
      </c>
      <c r="P382" s="99" t="n"/>
      <c r="Q382" s="99" t="n"/>
    </row>
    <row r="383">
      <c r="C383" s="6" t="inlineStr">
        <is>
          <t>2020-04</t>
        </is>
      </c>
      <c r="D383" s="6">
        <f>F154</f>
        <v/>
      </c>
      <c r="E383" s="6">
        <f>G154</f>
        <v/>
      </c>
      <c r="F383" s="6">
        <f>H154</f>
        <v/>
      </c>
      <c r="G383" s="6">
        <f>I154</f>
        <v/>
      </c>
      <c r="H383" s="6">
        <f>J154</f>
        <v/>
      </c>
      <c r="I383" s="6">
        <f>K154</f>
        <v/>
      </c>
      <c r="J383" s="6">
        <f>L154</f>
        <v/>
      </c>
      <c r="K383" s="6">
        <f>M154</f>
        <v/>
      </c>
      <c r="L383" s="6">
        <f>N154</f>
        <v/>
      </c>
      <c r="M383" s="6">
        <f>O154</f>
        <v/>
      </c>
      <c r="N383" s="6">
        <f>P154</f>
        <v/>
      </c>
      <c r="O383" s="6">
        <f>Q154</f>
        <v/>
      </c>
      <c r="P383" s="99" t="n"/>
      <c r="Q383" s="99" t="n"/>
    </row>
    <row r="384">
      <c r="C384" s="6" t="inlineStr">
        <is>
          <t>2020-05</t>
        </is>
      </c>
      <c r="D384" s="6">
        <f>F155</f>
        <v/>
      </c>
      <c r="E384" s="6">
        <f>G155</f>
        <v/>
      </c>
      <c r="F384" s="6">
        <f>H155</f>
        <v/>
      </c>
      <c r="G384" s="6">
        <f>I155</f>
        <v/>
      </c>
      <c r="H384" s="6">
        <f>J155</f>
        <v/>
      </c>
      <c r="I384" s="6">
        <f>K155</f>
        <v/>
      </c>
      <c r="J384" s="6">
        <f>L155</f>
        <v/>
      </c>
      <c r="K384" s="6">
        <f>M155</f>
        <v/>
      </c>
      <c r="L384" s="6">
        <f>N155</f>
        <v/>
      </c>
      <c r="M384" s="6">
        <f>O155</f>
        <v/>
      </c>
      <c r="N384" s="6">
        <f>P155</f>
        <v/>
      </c>
      <c r="O384" s="6">
        <f>Q155</f>
        <v/>
      </c>
      <c r="P384" s="99" t="n"/>
      <c r="Q384" s="99" t="n"/>
    </row>
    <row r="385">
      <c r="C385" s="6" t="inlineStr">
        <is>
          <t>2020-06</t>
        </is>
      </c>
      <c r="D385" s="6">
        <f>F156</f>
        <v/>
      </c>
      <c r="E385" s="6">
        <f>G156</f>
        <v/>
      </c>
      <c r="F385" s="6">
        <f>H156</f>
        <v/>
      </c>
      <c r="G385" s="6">
        <f>I156</f>
        <v/>
      </c>
      <c r="H385" s="6">
        <f>J156</f>
        <v/>
      </c>
      <c r="I385" s="6">
        <f>K156</f>
        <v/>
      </c>
      <c r="J385" s="6">
        <f>L156</f>
        <v/>
      </c>
      <c r="K385" s="6">
        <f>M156</f>
        <v/>
      </c>
      <c r="L385" s="6">
        <f>N156</f>
        <v/>
      </c>
      <c r="M385" s="6">
        <f>O156</f>
        <v/>
      </c>
      <c r="N385" s="6">
        <f>P156</f>
        <v/>
      </c>
      <c r="O385" s="6">
        <f>Q156</f>
        <v/>
      </c>
      <c r="P385" s="99" t="n"/>
      <c r="Q385" s="99" t="n"/>
    </row>
    <row r="386">
      <c r="C386" s="6" t="inlineStr">
        <is>
          <t>2020-07</t>
        </is>
      </c>
      <c r="D386" s="6">
        <f>F157</f>
        <v/>
      </c>
      <c r="E386" s="6">
        <f>G157</f>
        <v/>
      </c>
      <c r="F386" s="6">
        <f>H157</f>
        <v/>
      </c>
      <c r="G386" s="6">
        <f>I157</f>
        <v/>
      </c>
      <c r="H386" s="6">
        <f>J157</f>
        <v/>
      </c>
      <c r="I386" s="6">
        <f>K157</f>
        <v/>
      </c>
      <c r="J386" s="6">
        <f>L157</f>
        <v/>
      </c>
      <c r="K386" s="6">
        <f>M157</f>
        <v/>
      </c>
      <c r="L386" s="6">
        <f>N157</f>
        <v/>
      </c>
      <c r="M386" s="6">
        <f>O157</f>
        <v/>
      </c>
      <c r="N386" s="6">
        <f>P157</f>
        <v/>
      </c>
      <c r="O386" s="6">
        <f>Q157</f>
        <v/>
      </c>
      <c r="P386" s="99" t="n"/>
      <c r="Q386" s="99" t="n"/>
    </row>
    <row r="387">
      <c r="C387" s="6" t="inlineStr">
        <is>
          <t>2020-08</t>
        </is>
      </c>
      <c r="D387" s="6">
        <f>F158</f>
        <v/>
      </c>
      <c r="E387" s="6">
        <f>G158</f>
        <v/>
      </c>
      <c r="F387" s="6">
        <f>H158</f>
        <v/>
      </c>
      <c r="G387" s="6">
        <f>I158</f>
        <v/>
      </c>
      <c r="H387" s="6">
        <f>J158</f>
        <v/>
      </c>
      <c r="I387" s="6">
        <f>K158</f>
        <v/>
      </c>
      <c r="J387" s="6">
        <f>L158</f>
        <v/>
      </c>
      <c r="K387" s="6">
        <f>M158</f>
        <v/>
      </c>
      <c r="L387" s="6">
        <f>N158</f>
        <v/>
      </c>
      <c r="M387" s="6">
        <f>O158</f>
        <v/>
      </c>
      <c r="N387" s="6">
        <f>P158</f>
        <v/>
      </c>
      <c r="O387" s="6">
        <f>Q158</f>
        <v/>
      </c>
      <c r="P387" s="99" t="n"/>
      <c r="Q387" s="99" t="n"/>
    </row>
    <row r="388">
      <c r="C388" s="6" t="inlineStr">
        <is>
          <t>2020-09</t>
        </is>
      </c>
      <c r="D388" s="6">
        <f>F159</f>
        <v/>
      </c>
      <c r="E388" s="6">
        <f>G159</f>
        <v/>
      </c>
      <c r="F388" s="6">
        <f>H159</f>
        <v/>
      </c>
      <c r="G388" s="6">
        <f>I159</f>
        <v/>
      </c>
      <c r="H388" s="6">
        <f>J159</f>
        <v/>
      </c>
      <c r="I388" s="6">
        <f>K159</f>
        <v/>
      </c>
      <c r="J388" s="6">
        <f>L159</f>
        <v/>
      </c>
      <c r="K388" s="6">
        <f>M159</f>
        <v/>
      </c>
      <c r="L388" s="6">
        <f>N159</f>
        <v/>
      </c>
      <c r="M388" s="6">
        <f>O159</f>
        <v/>
      </c>
      <c r="N388" s="6">
        <f>P159</f>
        <v/>
      </c>
      <c r="O388" s="6">
        <f>Q159</f>
        <v/>
      </c>
      <c r="P388" s="99" t="n"/>
      <c r="Q388" s="99" t="n"/>
    </row>
    <row r="389">
      <c r="C389" s="6" t="inlineStr">
        <is>
          <t>2020-10</t>
        </is>
      </c>
      <c r="D389" s="6">
        <f>F160</f>
        <v/>
      </c>
      <c r="E389" s="6">
        <f>G160</f>
        <v/>
      </c>
      <c r="F389" s="6">
        <f>H160</f>
        <v/>
      </c>
      <c r="G389" s="6">
        <f>I160</f>
        <v/>
      </c>
      <c r="H389" s="6">
        <f>J160</f>
        <v/>
      </c>
      <c r="I389" s="6">
        <f>K160</f>
        <v/>
      </c>
      <c r="J389" s="6">
        <f>L160</f>
        <v/>
      </c>
      <c r="K389" s="6">
        <f>M160</f>
        <v/>
      </c>
      <c r="L389" s="6">
        <f>N160</f>
        <v/>
      </c>
      <c r="M389" s="6">
        <f>O160</f>
        <v/>
      </c>
      <c r="N389" s="6">
        <f>P160</f>
        <v/>
      </c>
      <c r="O389" s="6">
        <f>Q160</f>
        <v/>
      </c>
      <c r="P389" s="99" t="n"/>
      <c r="Q389" s="99" t="n"/>
    </row>
    <row r="390">
      <c r="C390" s="6" t="inlineStr">
        <is>
          <t>2020-11</t>
        </is>
      </c>
      <c r="D390" s="6">
        <f>F161</f>
        <v/>
      </c>
      <c r="E390" s="6">
        <f>G161</f>
        <v/>
      </c>
      <c r="F390" s="6">
        <f>H161</f>
        <v/>
      </c>
      <c r="G390" s="6">
        <f>I161</f>
        <v/>
      </c>
      <c r="H390" s="6">
        <f>J161</f>
        <v/>
      </c>
      <c r="I390" s="6">
        <f>K161</f>
        <v/>
      </c>
      <c r="J390" s="6">
        <f>L161</f>
        <v/>
      </c>
      <c r="K390" s="6">
        <f>M161</f>
        <v/>
      </c>
      <c r="L390" s="6">
        <f>N161</f>
        <v/>
      </c>
      <c r="M390" s="6">
        <f>O161</f>
        <v/>
      </c>
      <c r="N390" s="6">
        <f>P161</f>
        <v/>
      </c>
      <c r="O390" s="6">
        <f>Q161</f>
        <v/>
      </c>
      <c r="P390" s="99" t="n"/>
      <c r="Q390" s="99" t="n"/>
    </row>
    <row r="391">
      <c r="C391" s="6" t="inlineStr">
        <is>
          <t>2020-12</t>
        </is>
      </c>
      <c r="D391" s="6">
        <f>F162</f>
        <v/>
      </c>
      <c r="E391" s="6">
        <f>G162</f>
        <v/>
      </c>
      <c r="F391" s="6">
        <f>H162</f>
        <v/>
      </c>
      <c r="G391" s="6">
        <f>I162</f>
        <v/>
      </c>
      <c r="H391" s="6">
        <f>J162</f>
        <v/>
      </c>
      <c r="I391" s="6">
        <f>K162</f>
        <v/>
      </c>
      <c r="J391" s="6">
        <f>L162</f>
        <v/>
      </c>
      <c r="K391" s="6">
        <f>M162</f>
        <v/>
      </c>
      <c r="L391" s="6">
        <f>N162</f>
        <v/>
      </c>
      <c r="M391" s="6">
        <f>O162</f>
        <v/>
      </c>
      <c r="N391" s="6">
        <f>P162</f>
        <v/>
      </c>
      <c r="O391" s="6">
        <f>Q162</f>
        <v/>
      </c>
      <c r="P391" s="99" t="n"/>
      <c r="Q391" s="99" t="n"/>
    </row>
    <row r="392">
      <c r="C392" s="6" t="inlineStr">
        <is>
          <t>2021-01</t>
        </is>
      </c>
      <c r="D392" s="6">
        <f>F163</f>
        <v/>
      </c>
      <c r="E392" s="6">
        <f>G163</f>
        <v/>
      </c>
      <c r="F392" s="6">
        <f>H163</f>
        <v/>
      </c>
      <c r="G392" s="6">
        <f>I163</f>
        <v/>
      </c>
      <c r="H392" s="6">
        <f>J163</f>
        <v/>
      </c>
      <c r="I392" s="6">
        <f>K163</f>
        <v/>
      </c>
      <c r="J392" s="6">
        <f>L163</f>
        <v/>
      </c>
      <c r="K392" s="6">
        <f>M163</f>
        <v/>
      </c>
      <c r="L392" s="6">
        <f>N163</f>
        <v/>
      </c>
      <c r="M392" s="6">
        <f>O163</f>
        <v/>
      </c>
      <c r="N392" s="6">
        <f>P163</f>
        <v/>
      </c>
      <c r="O392" s="6">
        <f>Q163</f>
        <v/>
      </c>
      <c r="P392" s="99" t="n"/>
      <c r="Q392" s="99" t="n"/>
    </row>
    <row r="393">
      <c r="C393" s="6" t="inlineStr">
        <is>
          <t>2021-02</t>
        </is>
      </c>
      <c r="D393" s="6">
        <f>F164</f>
        <v/>
      </c>
      <c r="E393" s="6">
        <f>G164</f>
        <v/>
      </c>
      <c r="F393" s="6">
        <f>H164</f>
        <v/>
      </c>
      <c r="G393" s="6">
        <f>I164</f>
        <v/>
      </c>
      <c r="H393" s="6">
        <f>J164</f>
        <v/>
      </c>
      <c r="I393" s="6">
        <f>K164</f>
        <v/>
      </c>
      <c r="J393" s="6">
        <f>L164</f>
        <v/>
      </c>
      <c r="K393" s="6">
        <f>M164</f>
        <v/>
      </c>
      <c r="L393" s="6">
        <f>N164</f>
        <v/>
      </c>
      <c r="M393" s="6">
        <f>O164</f>
        <v/>
      </c>
      <c r="N393" s="6">
        <f>P164</f>
        <v/>
      </c>
      <c r="O393" s="6">
        <f>Q164</f>
        <v/>
      </c>
      <c r="P393" s="99" t="n"/>
      <c r="Q393" s="99" t="n"/>
    </row>
    <row r="394">
      <c r="C394" s="6" t="inlineStr">
        <is>
          <t>2021-03</t>
        </is>
      </c>
      <c r="D394" s="6">
        <f>F165</f>
        <v/>
      </c>
      <c r="E394" s="6">
        <f>G165</f>
        <v/>
      </c>
      <c r="F394" s="6">
        <f>H165</f>
        <v/>
      </c>
      <c r="G394" s="6">
        <f>I165</f>
        <v/>
      </c>
      <c r="H394" s="6">
        <f>J165</f>
        <v/>
      </c>
      <c r="I394" s="6">
        <f>K165</f>
        <v/>
      </c>
      <c r="J394" s="6">
        <f>L165</f>
        <v/>
      </c>
      <c r="K394" s="6">
        <f>M165</f>
        <v/>
      </c>
      <c r="L394" s="6">
        <f>N165</f>
        <v/>
      </c>
      <c r="M394" s="6">
        <f>O165</f>
        <v/>
      </c>
      <c r="N394" s="6">
        <f>P165</f>
        <v/>
      </c>
      <c r="O394" s="6">
        <f>Q165</f>
        <v/>
      </c>
      <c r="P394" s="99" t="n"/>
      <c r="Q394" s="99" t="n"/>
    </row>
    <row r="395">
      <c r="C395" s="6" t="inlineStr">
        <is>
          <t>2021-04</t>
        </is>
      </c>
      <c r="D395" s="6">
        <f>F166</f>
        <v/>
      </c>
      <c r="E395" s="6">
        <f>G166</f>
        <v/>
      </c>
      <c r="F395" s="6">
        <f>H166</f>
        <v/>
      </c>
      <c r="G395" s="6">
        <f>I166</f>
        <v/>
      </c>
      <c r="H395" s="6">
        <f>J166</f>
        <v/>
      </c>
      <c r="I395" s="6">
        <f>K166</f>
        <v/>
      </c>
      <c r="J395" s="6">
        <f>L166</f>
        <v/>
      </c>
      <c r="K395" s="6">
        <f>M166</f>
        <v/>
      </c>
      <c r="L395" s="6">
        <f>N166</f>
        <v/>
      </c>
      <c r="M395" s="6">
        <f>O166</f>
        <v/>
      </c>
      <c r="N395" s="6">
        <f>P166</f>
        <v/>
      </c>
      <c r="O395" s="6">
        <f>Q166</f>
        <v/>
      </c>
      <c r="P395" s="99" t="n"/>
      <c r="Q395" s="99" t="n"/>
    </row>
    <row r="396">
      <c r="C396" s="6" t="inlineStr">
        <is>
          <t>2021-05</t>
        </is>
      </c>
      <c r="D396" s="6">
        <f>F167</f>
        <v/>
      </c>
      <c r="E396" s="6">
        <f>G167</f>
        <v/>
      </c>
      <c r="F396" s="6">
        <f>H167</f>
        <v/>
      </c>
      <c r="G396" s="6">
        <f>I167</f>
        <v/>
      </c>
      <c r="H396" s="6">
        <f>J167</f>
        <v/>
      </c>
      <c r="I396" s="6">
        <f>K167</f>
        <v/>
      </c>
      <c r="J396" s="6">
        <f>L167</f>
        <v/>
      </c>
      <c r="K396" s="6">
        <f>M167</f>
        <v/>
      </c>
      <c r="L396" s="6">
        <f>N167</f>
        <v/>
      </c>
      <c r="M396" s="6">
        <f>O167</f>
        <v/>
      </c>
      <c r="N396" s="6">
        <f>P167</f>
        <v/>
      </c>
      <c r="O396" s="6">
        <f>Q167</f>
        <v/>
      </c>
      <c r="P396" s="99" t="n"/>
      <c r="Q396" s="99" t="n"/>
    </row>
    <row r="397">
      <c r="C397" s="6" t="inlineStr">
        <is>
          <t>2021-06</t>
        </is>
      </c>
      <c r="D397" s="6">
        <f>F168</f>
        <v/>
      </c>
      <c r="E397" s="6">
        <f>G168</f>
        <v/>
      </c>
      <c r="F397" s="6">
        <f>H168</f>
        <v/>
      </c>
      <c r="G397" s="6">
        <f>I168</f>
        <v/>
      </c>
      <c r="H397" s="6">
        <f>J168</f>
        <v/>
      </c>
      <c r="I397" s="6">
        <f>K168</f>
        <v/>
      </c>
      <c r="J397" s="6">
        <f>L168</f>
        <v/>
      </c>
      <c r="K397" s="6">
        <f>M168</f>
        <v/>
      </c>
      <c r="L397" s="6">
        <f>N168</f>
        <v/>
      </c>
      <c r="M397" s="6">
        <f>O168</f>
        <v/>
      </c>
      <c r="N397" s="6">
        <f>P168</f>
        <v/>
      </c>
      <c r="O397" s="6">
        <f>Q168</f>
        <v/>
      </c>
      <c r="P397" s="99" t="n"/>
      <c r="Q397" s="99" t="n"/>
    </row>
    <row r="398">
      <c r="C398" s="6" t="inlineStr">
        <is>
          <t>2021-07</t>
        </is>
      </c>
      <c r="D398" s="6">
        <f>F169</f>
        <v/>
      </c>
      <c r="E398" s="6">
        <f>G169</f>
        <v/>
      </c>
      <c r="F398" s="6">
        <f>H169</f>
        <v/>
      </c>
      <c r="G398" s="6">
        <f>I169</f>
        <v/>
      </c>
      <c r="H398" s="6">
        <f>J169</f>
        <v/>
      </c>
      <c r="I398" s="6">
        <f>K169</f>
        <v/>
      </c>
      <c r="J398" s="6">
        <f>L169</f>
        <v/>
      </c>
      <c r="K398" s="6">
        <f>M169</f>
        <v/>
      </c>
      <c r="L398" s="6">
        <f>N169</f>
        <v/>
      </c>
      <c r="M398" s="6">
        <f>O169</f>
        <v/>
      </c>
      <c r="N398" s="6">
        <f>P169</f>
        <v/>
      </c>
      <c r="O398" s="6">
        <f>Q169</f>
        <v/>
      </c>
      <c r="P398" s="99" t="n"/>
      <c r="Q398" s="99" t="n"/>
    </row>
    <row r="399">
      <c r="C399" s="6" t="inlineStr">
        <is>
          <t>2021-08</t>
        </is>
      </c>
      <c r="D399" s="6">
        <f>F170</f>
        <v/>
      </c>
      <c r="E399" s="6">
        <f>G170</f>
        <v/>
      </c>
      <c r="F399" s="6">
        <f>H170</f>
        <v/>
      </c>
      <c r="G399" s="6">
        <f>I170</f>
        <v/>
      </c>
      <c r="H399" s="6">
        <f>J170</f>
        <v/>
      </c>
      <c r="I399" s="6">
        <f>K170</f>
        <v/>
      </c>
      <c r="J399" s="6">
        <f>L170</f>
        <v/>
      </c>
      <c r="K399" s="6">
        <f>M170</f>
        <v/>
      </c>
      <c r="L399" s="6">
        <f>N170</f>
        <v/>
      </c>
      <c r="M399" s="6">
        <f>O170</f>
        <v/>
      </c>
      <c r="N399" s="6">
        <f>P170</f>
        <v/>
      </c>
      <c r="O399" s="6">
        <f>Q170</f>
        <v/>
      </c>
      <c r="P399" s="99" t="n"/>
      <c r="Q399" s="99" t="n"/>
    </row>
    <row r="400">
      <c r="C400" s="6" t="inlineStr">
        <is>
          <t>2021-09</t>
        </is>
      </c>
      <c r="D400" s="6">
        <f>F171</f>
        <v/>
      </c>
      <c r="E400" s="6">
        <f>G171</f>
        <v/>
      </c>
      <c r="F400" s="6">
        <f>H171</f>
        <v/>
      </c>
      <c r="G400" s="6">
        <f>I171</f>
        <v/>
      </c>
      <c r="H400" s="6">
        <f>J171</f>
        <v/>
      </c>
      <c r="I400" s="6">
        <f>K171</f>
        <v/>
      </c>
      <c r="J400" s="6">
        <f>L171</f>
        <v/>
      </c>
      <c r="K400" s="6">
        <f>M171</f>
        <v/>
      </c>
      <c r="L400" s="6">
        <f>N171</f>
        <v/>
      </c>
      <c r="M400" s="6">
        <f>O171</f>
        <v/>
      </c>
      <c r="N400" s="6">
        <f>P171</f>
        <v/>
      </c>
      <c r="O400" s="6">
        <f>Q171</f>
        <v/>
      </c>
      <c r="P400" s="99" t="n"/>
      <c r="Q400" s="99" t="n"/>
    </row>
    <row r="401">
      <c r="C401" s="6" t="inlineStr">
        <is>
          <t>2021-10</t>
        </is>
      </c>
      <c r="D401" s="6">
        <f>F172</f>
        <v/>
      </c>
      <c r="E401" s="6">
        <f>G172</f>
        <v/>
      </c>
      <c r="F401" s="6">
        <f>H172</f>
        <v/>
      </c>
      <c r="G401" s="6">
        <f>I172</f>
        <v/>
      </c>
      <c r="H401" s="6">
        <f>J172</f>
        <v/>
      </c>
      <c r="I401" s="6">
        <f>K172</f>
        <v/>
      </c>
      <c r="J401" s="6">
        <f>L172</f>
        <v/>
      </c>
      <c r="K401" s="6">
        <f>M172</f>
        <v/>
      </c>
      <c r="L401" s="6">
        <f>N172</f>
        <v/>
      </c>
      <c r="M401" s="6">
        <f>O172</f>
        <v/>
      </c>
      <c r="N401" s="6">
        <f>P172</f>
        <v/>
      </c>
      <c r="O401" s="6">
        <f>Q172</f>
        <v/>
      </c>
      <c r="P401" s="99" t="n"/>
      <c r="Q401" s="99" t="n"/>
    </row>
    <row r="402">
      <c r="C402" s="6" t="inlineStr">
        <is>
          <t>2021-11</t>
        </is>
      </c>
      <c r="D402" s="6">
        <f>F173</f>
        <v/>
      </c>
      <c r="E402" s="6">
        <f>G173</f>
        <v/>
      </c>
      <c r="F402" s="6">
        <f>H173</f>
        <v/>
      </c>
      <c r="G402" s="6">
        <f>I173</f>
        <v/>
      </c>
      <c r="H402" s="6">
        <f>J173</f>
        <v/>
      </c>
      <c r="I402" s="6">
        <f>K173</f>
        <v/>
      </c>
      <c r="J402" s="6">
        <f>L173</f>
        <v/>
      </c>
      <c r="K402" s="6">
        <f>M173</f>
        <v/>
      </c>
      <c r="L402" s="6">
        <f>N173</f>
        <v/>
      </c>
      <c r="M402" s="6">
        <f>O173</f>
        <v/>
      </c>
      <c r="N402" s="6">
        <f>P173</f>
        <v/>
      </c>
      <c r="O402" s="6">
        <f>Q173</f>
        <v/>
      </c>
      <c r="P402" s="99" t="n"/>
      <c r="Q402" s="99" t="n"/>
    </row>
    <row r="403">
      <c r="C403" s="6" t="inlineStr">
        <is>
          <t>2021-12</t>
        </is>
      </c>
      <c r="D403" s="6">
        <f>F174</f>
        <v/>
      </c>
      <c r="E403" s="6">
        <f>G174</f>
        <v/>
      </c>
      <c r="F403" s="6">
        <f>H174</f>
        <v/>
      </c>
      <c r="G403" s="6">
        <f>I174</f>
        <v/>
      </c>
      <c r="H403" s="6">
        <f>J174</f>
        <v/>
      </c>
      <c r="I403" s="6">
        <f>K174</f>
        <v/>
      </c>
      <c r="J403" s="6">
        <f>L174</f>
        <v/>
      </c>
      <c r="K403" s="6">
        <f>M174</f>
        <v/>
      </c>
      <c r="L403" s="6">
        <f>N174</f>
        <v/>
      </c>
      <c r="M403" s="6">
        <f>O174</f>
        <v/>
      </c>
      <c r="N403" s="6">
        <f>P174</f>
        <v/>
      </c>
      <c r="O403" s="6">
        <f>Q174</f>
        <v/>
      </c>
      <c r="P403" s="99" t="n"/>
      <c r="Q403" s="99" t="n"/>
    </row>
    <row r="404">
      <c r="C404" s="6" t="inlineStr">
        <is>
          <t>2022-01</t>
        </is>
      </c>
      <c r="D404" s="6">
        <f>F175</f>
        <v/>
      </c>
      <c r="E404" s="6">
        <f>G175</f>
        <v/>
      </c>
      <c r="F404" s="6">
        <f>H175</f>
        <v/>
      </c>
      <c r="G404" s="6">
        <f>I175</f>
        <v/>
      </c>
      <c r="H404" s="6">
        <f>J175</f>
        <v/>
      </c>
      <c r="I404" s="6">
        <f>K175</f>
        <v/>
      </c>
      <c r="J404" s="6">
        <f>L175</f>
        <v/>
      </c>
      <c r="K404" s="6">
        <f>M175</f>
        <v/>
      </c>
      <c r="L404" s="6">
        <f>N175</f>
        <v/>
      </c>
      <c r="M404" s="6">
        <f>O175</f>
        <v/>
      </c>
      <c r="N404" s="6">
        <f>P175</f>
        <v/>
      </c>
      <c r="O404" s="6">
        <f>Q175</f>
        <v/>
      </c>
      <c r="P404" s="99" t="n"/>
      <c r="Q404" s="99" t="n"/>
    </row>
    <row r="405">
      <c r="C405" s="6" t="inlineStr">
        <is>
          <t>2022-02</t>
        </is>
      </c>
      <c r="D405" s="6">
        <f>F176</f>
        <v/>
      </c>
      <c r="E405" s="6">
        <f>G176</f>
        <v/>
      </c>
      <c r="F405" s="6">
        <f>H176</f>
        <v/>
      </c>
      <c r="G405" s="6">
        <f>I176</f>
        <v/>
      </c>
      <c r="H405" s="6">
        <f>J176</f>
        <v/>
      </c>
      <c r="I405" s="6">
        <f>K176</f>
        <v/>
      </c>
      <c r="J405" s="6">
        <f>L176</f>
        <v/>
      </c>
      <c r="K405" s="6">
        <f>M176</f>
        <v/>
      </c>
      <c r="L405" s="6">
        <f>N176</f>
        <v/>
      </c>
      <c r="M405" s="6">
        <f>O176</f>
        <v/>
      </c>
      <c r="N405" s="6">
        <f>P176</f>
        <v/>
      </c>
      <c r="O405" s="6">
        <f>Q176</f>
        <v/>
      </c>
      <c r="P405" s="99" t="n"/>
      <c r="Q405" s="99" t="n"/>
    </row>
    <row r="406">
      <c r="C406" s="6" t="inlineStr">
        <is>
          <t>2022-03</t>
        </is>
      </c>
      <c r="D406" s="6">
        <f>F177</f>
        <v/>
      </c>
      <c r="E406" s="6">
        <f>G177</f>
        <v/>
      </c>
      <c r="F406" s="6">
        <f>H177</f>
        <v/>
      </c>
      <c r="G406" s="6">
        <f>I177</f>
        <v/>
      </c>
      <c r="H406" s="6">
        <f>J177</f>
        <v/>
      </c>
      <c r="I406" s="6">
        <f>K177</f>
        <v/>
      </c>
      <c r="J406" s="6">
        <f>L177</f>
        <v/>
      </c>
      <c r="K406" s="6">
        <f>M177</f>
        <v/>
      </c>
      <c r="L406" s="6">
        <f>N177</f>
        <v/>
      </c>
      <c r="M406" s="6">
        <f>O177</f>
        <v/>
      </c>
      <c r="N406" s="6">
        <f>P177</f>
        <v/>
      </c>
      <c r="O406" s="6">
        <f>Q177</f>
        <v/>
      </c>
      <c r="P406" s="99" t="n"/>
      <c r="Q406" s="99" t="n"/>
    </row>
    <row r="407">
      <c r="C407" s="6" t="inlineStr">
        <is>
          <t>2022-04</t>
        </is>
      </c>
      <c r="D407" s="6">
        <f>F178</f>
        <v/>
      </c>
      <c r="E407" s="6">
        <f>G178</f>
        <v/>
      </c>
      <c r="F407" s="6">
        <f>H178</f>
        <v/>
      </c>
      <c r="G407" s="6">
        <f>I178</f>
        <v/>
      </c>
      <c r="H407" s="6">
        <f>J178</f>
        <v/>
      </c>
      <c r="I407" s="6">
        <f>K178</f>
        <v/>
      </c>
      <c r="J407" s="6">
        <f>L178</f>
        <v/>
      </c>
      <c r="K407" s="6">
        <f>M178</f>
        <v/>
      </c>
      <c r="L407" s="6">
        <f>N178</f>
        <v/>
      </c>
      <c r="M407" s="6">
        <f>O178</f>
        <v/>
      </c>
      <c r="N407" s="6">
        <f>P178</f>
        <v/>
      </c>
      <c r="O407" s="6">
        <f>Q178</f>
        <v/>
      </c>
      <c r="P407" s="99" t="n"/>
      <c r="Q407" s="99" t="n"/>
    </row>
    <row r="408">
      <c r="C408" s="6" t="inlineStr">
        <is>
          <t>2022-05</t>
        </is>
      </c>
      <c r="D408" s="6">
        <f>F179</f>
        <v/>
      </c>
      <c r="E408" s="6">
        <f>G179</f>
        <v/>
      </c>
      <c r="F408" s="6">
        <f>H179</f>
        <v/>
      </c>
      <c r="G408" s="6">
        <f>I179</f>
        <v/>
      </c>
      <c r="H408" s="6">
        <f>J179</f>
        <v/>
      </c>
      <c r="I408" s="6">
        <f>K179</f>
        <v/>
      </c>
      <c r="J408" s="6">
        <f>L179</f>
        <v/>
      </c>
      <c r="K408" s="6">
        <f>M179</f>
        <v/>
      </c>
      <c r="L408" s="6">
        <f>N179</f>
        <v/>
      </c>
      <c r="M408" s="6">
        <f>O179</f>
        <v/>
      </c>
      <c r="N408" s="6">
        <f>P179</f>
        <v/>
      </c>
      <c r="O408" s="6">
        <f>Q179</f>
        <v/>
      </c>
      <c r="P408" s="99" t="n"/>
      <c r="Q408" s="99" t="n"/>
    </row>
    <row r="409">
      <c r="C409" s="6" t="inlineStr">
        <is>
          <t>2022-06</t>
        </is>
      </c>
      <c r="D409" s="6">
        <f>F180</f>
        <v/>
      </c>
      <c r="E409" s="6">
        <f>G180</f>
        <v/>
      </c>
      <c r="F409" s="6">
        <f>H180</f>
        <v/>
      </c>
      <c r="G409" s="6">
        <f>I180</f>
        <v/>
      </c>
      <c r="H409" s="6">
        <f>J180</f>
        <v/>
      </c>
      <c r="I409" s="6">
        <f>K180</f>
        <v/>
      </c>
      <c r="J409" s="6">
        <f>L180</f>
        <v/>
      </c>
      <c r="K409" s="6">
        <f>M180</f>
        <v/>
      </c>
      <c r="L409" s="6">
        <f>N180</f>
        <v/>
      </c>
      <c r="M409" s="6">
        <f>O180</f>
        <v/>
      </c>
      <c r="N409" s="6">
        <f>P180</f>
        <v/>
      </c>
      <c r="O409" s="6">
        <f>Q180</f>
        <v/>
      </c>
      <c r="P409" s="99" t="n"/>
      <c r="Q409" s="99" t="n"/>
    </row>
    <row r="410">
      <c r="C410" s="6" t="inlineStr">
        <is>
          <t>2022-07</t>
        </is>
      </c>
      <c r="D410" s="6">
        <f>F181</f>
        <v/>
      </c>
      <c r="E410" s="6">
        <f>G181</f>
        <v/>
      </c>
      <c r="F410" s="6">
        <f>H181</f>
        <v/>
      </c>
      <c r="G410" s="6">
        <f>I181</f>
        <v/>
      </c>
      <c r="H410" s="6">
        <f>J181</f>
        <v/>
      </c>
      <c r="I410" s="6">
        <f>K181</f>
        <v/>
      </c>
      <c r="J410" s="6">
        <f>L181</f>
        <v/>
      </c>
      <c r="K410" s="6">
        <f>M181</f>
        <v/>
      </c>
      <c r="L410" s="6">
        <f>N181</f>
        <v/>
      </c>
      <c r="M410" s="6">
        <f>O181</f>
        <v/>
      </c>
      <c r="N410" s="6">
        <f>P181</f>
        <v/>
      </c>
      <c r="O410" s="6">
        <f>Q181</f>
        <v/>
      </c>
      <c r="P410" s="99" t="n"/>
      <c r="Q410" s="99" t="n"/>
    </row>
    <row r="411">
      <c r="C411" s="6" t="inlineStr">
        <is>
          <t>2022-08</t>
        </is>
      </c>
      <c r="D411" s="6">
        <f>F182</f>
        <v/>
      </c>
      <c r="E411" s="6">
        <f>G182</f>
        <v/>
      </c>
      <c r="F411" s="6">
        <f>H182</f>
        <v/>
      </c>
      <c r="G411" s="6">
        <f>I182</f>
        <v/>
      </c>
      <c r="H411" s="6">
        <f>J182</f>
        <v/>
      </c>
      <c r="I411" s="6">
        <f>K182</f>
        <v/>
      </c>
      <c r="J411" s="6">
        <f>L182</f>
        <v/>
      </c>
      <c r="K411" s="6">
        <f>M182</f>
        <v/>
      </c>
      <c r="L411" s="6">
        <f>N182</f>
        <v/>
      </c>
      <c r="M411" s="6">
        <f>O182</f>
        <v/>
      </c>
      <c r="N411" s="6">
        <f>P182</f>
        <v/>
      </c>
      <c r="O411" s="6">
        <f>Q182</f>
        <v/>
      </c>
      <c r="P411" s="99" t="n"/>
      <c r="Q411" s="99" t="n"/>
    </row>
    <row r="412">
      <c r="C412" s="6" t="inlineStr">
        <is>
          <t>2022-09</t>
        </is>
      </c>
      <c r="D412" s="6">
        <f>F183</f>
        <v/>
      </c>
      <c r="E412" s="6">
        <f>G183</f>
        <v/>
      </c>
      <c r="F412" s="6">
        <f>H183</f>
        <v/>
      </c>
      <c r="G412" s="6">
        <f>I183</f>
        <v/>
      </c>
      <c r="H412" s="6">
        <f>J183</f>
        <v/>
      </c>
      <c r="I412" s="6">
        <f>K183</f>
        <v/>
      </c>
      <c r="J412" s="6">
        <f>L183</f>
        <v/>
      </c>
      <c r="K412" s="6">
        <f>M183</f>
        <v/>
      </c>
      <c r="L412" s="6">
        <f>N183</f>
        <v/>
      </c>
      <c r="M412" s="6">
        <f>O183</f>
        <v/>
      </c>
      <c r="N412" s="6">
        <f>P183</f>
        <v/>
      </c>
      <c r="O412" s="6">
        <f>Q183</f>
        <v/>
      </c>
      <c r="P412" s="99" t="n"/>
      <c r="Q412" s="99" t="n"/>
    </row>
    <row r="413">
      <c r="C413" s="6" t="inlineStr">
        <is>
          <t>2022-10</t>
        </is>
      </c>
      <c r="D413" s="6">
        <f>F184</f>
        <v/>
      </c>
      <c r="E413" s="6">
        <f>G184</f>
        <v/>
      </c>
      <c r="F413" s="6">
        <f>H184</f>
        <v/>
      </c>
      <c r="G413" s="6">
        <f>I184</f>
        <v/>
      </c>
      <c r="H413" s="6">
        <f>J184</f>
        <v/>
      </c>
      <c r="I413" s="6">
        <f>K184</f>
        <v/>
      </c>
      <c r="J413" s="6">
        <f>L184</f>
        <v/>
      </c>
      <c r="K413" s="6">
        <f>M184</f>
        <v/>
      </c>
      <c r="L413" s="6">
        <f>N184</f>
        <v/>
      </c>
      <c r="M413" s="6">
        <f>O184</f>
        <v/>
      </c>
      <c r="N413" s="6">
        <f>P184</f>
        <v/>
      </c>
      <c r="O413" s="6">
        <f>Q184</f>
        <v/>
      </c>
      <c r="P413" s="99" t="n"/>
      <c r="Q413" s="99" t="n"/>
    </row>
    <row r="414">
      <c r="C414" s="6" t="inlineStr">
        <is>
          <t>2022-11</t>
        </is>
      </c>
      <c r="D414" s="6">
        <f>F185</f>
        <v/>
      </c>
      <c r="E414" s="6">
        <f>G185</f>
        <v/>
      </c>
      <c r="F414" s="6">
        <f>H185</f>
        <v/>
      </c>
      <c r="G414" s="6">
        <f>I185</f>
        <v/>
      </c>
      <c r="H414" s="6">
        <f>J185</f>
        <v/>
      </c>
      <c r="I414" s="6">
        <f>K185</f>
        <v/>
      </c>
      <c r="J414" s="6">
        <f>L185</f>
        <v/>
      </c>
      <c r="K414" s="6">
        <f>M185</f>
        <v/>
      </c>
      <c r="L414" s="6">
        <f>N185</f>
        <v/>
      </c>
      <c r="M414" s="6">
        <f>O185</f>
        <v/>
      </c>
      <c r="N414" s="6">
        <f>P185</f>
        <v/>
      </c>
      <c r="O414" s="6">
        <f>Q185</f>
        <v/>
      </c>
      <c r="P414" s="99" t="n"/>
      <c r="Q414" s="99" t="n"/>
    </row>
    <row r="415">
      <c r="C415" s="6" t="inlineStr">
        <is>
          <t>2022-12</t>
        </is>
      </c>
      <c r="D415" s="6">
        <f>F186</f>
        <v/>
      </c>
      <c r="E415" s="6">
        <f>G186</f>
        <v/>
      </c>
      <c r="F415" s="6">
        <f>H186</f>
        <v/>
      </c>
      <c r="G415" s="6">
        <f>I186</f>
        <v/>
      </c>
      <c r="H415" s="6">
        <f>J186</f>
        <v/>
      </c>
      <c r="I415" s="6">
        <f>K186</f>
        <v/>
      </c>
      <c r="J415" s="6">
        <f>L186</f>
        <v/>
      </c>
      <c r="K415" s="6">
        <f>M186</f>
        <v/>
      </c>
      <c r="L415" s="6">
        <f>N186</f>
        <v/>
      </c>
      <c r="M415" s="6">
        <f>O186</f>
        <v/>
      </c>
      <c r="N415" s="6">
        <f>P186</f>
        <v/>
      </c>
      <c r="O415" s="6">
        <f>Q186</f>
        <v/>
      </c>
      <c r="P415" s="99" t="n"/>
      <c r="Q415" s="99" t="n"/>
    </row>
    <row r="416">
      <c r="C416" s="6" t="inlineStr">
        <is>
          <t>2023-01</t>
        </is>
      </c>
      <c r="D416" s="6">
        <f>F187</f>
        <v/>
      </c>
      <c r="E416" s="6">
        <f>G187</f>
        <v/>
      </c>
      <c r="F416" s="6">
        <f>H187</f>
        <v/>
      </c>
      <c r="G416" s="6">
        <f>I187</f>
        <v/>
      </c>
      <c r="H416" s="6">
        <f>J187</f>
        <v/>
      </c>
      <c r="I416" s="6">
        <f>K187</f>
        <v/>
      </c>
      <c r="J416" s="6">
        <f>L187</f>
        <v/>
      </c>
      <c r="K416" s="6">
        <f>M187</f>
        <v/>
      </c>
      <c r="L416" s="6">
        <f>N187</f>
        <v/>
      </c>
      <c r="M416" s="6">
        <f>O187</f>
        <v/>
      </c>
      <c r="N416" s="6">
        <f>P187</f>
        <v/>
      </c>
      <c r="O416" s="6">
        <f>Q187</f>
        <v/>
      </c>
      <c r="P416" s="99" t="n"/>
      <c r="Q416" s="99" t="n"/>
    </row>
    <row r="417">
      <c r="C417" s="6" t="inlineStr">
        <is>
          <t>2023-02</t>
        </is>
      </c>
      <c r="D417" s="6">
        <f>F188</f>
        <v/>
      </c>
      <c r="E417" s="6">
        <f>G188</f>
        <v/>
      </c>
      <c r="F417" s="6">
        <f>H188</f>
        <v/>
      </c>
      <c r="G417" s="6">
        <f>I188</f>
        <v/>
      </c>
      <c r="H417" s="6">
        <f>J188</f>
        <v/>
      </c>
      <c r="I417" s="6">
        <f>K188</f>
        <v/>
      </c>
      <c r="J417" s="6">
        <f>L188</f>
        <v/>
      </c>
      <c r="K417" s="6">
        <f>M188</f>
        <v/>
      </c>
      <c r="L417" s="6">
        <f>N188</f>
        <v/>
      </c>
      <c r="M417" s="6">
        <f>O188</f>
        <v/>
      </c>
      <c r="N417" s="6">
        <f>P188</f>
        <v/>
      </c>
      <c r="O417" s="6">
        <f>Q188</f>
        <v/>
      </c>
      <c r="P417" s="99" t="n"/>
      <c r="Q417" s="99" t="n"/>
    </row>
    <row r="418">
      <c r="C418" s="6" t="inlineStr">
        <is>
          <t>2023-03</t>
        </is>
      </c>
      <c r="D418" s="6">
        <f>F189</f>
        <v/>
      </c>
      <c r="E418" s="6">
        <f>G189</f>
        <v/>
      </c>
      <c r="F418" s="6">
        <f>H189</f>
        <v/>
      </c>
      <c r="G418" s="6">
        <f>I189</f>
        <v/>
      </c>
      <c r="H418" s="6">
        <f>J189</f>
        <v/>
      </c>
      <c r="I418" s="6">
        <f>K189</f>
        <v/>
      </c>
      <c r="J418" s="6">
        <f>L189</f>
        <v/>
      </c>
      <c r="K418" s="6">
        <f>M189</f>
        <v/>
      </c>
      <c r="L418" s="6">
        <f>N189</f>
        <v/>
      </c>
      <c r="M418" s="6">
        <f>O189</f>
        <v/>
      </c>
      <c r="N418" s="6">
        <f>P189</f>
        <v/>
      </c>
      <c r="O418" s="6">
        <f>Q189</f>
        <v/>
      </c>
      <c r="P418" s="99" t="n"/>
      <c r="Q418" s="99" t="n"/>
    </row>
    <row r="419">
      <c r="C419" s="6" t="inlineStr">
        <is>
          <t>2023-04</t>
        </is>
      </c>
      <c r="D419" s="6">
        <f>F190</f>
        <v/>
      </c>
      <c r="E419" s="6">
        <f>G190</f>
        <v/>
      </c>
      <c r="F419" s="6">
        <f>H190</f>
        <v/>
      </c>
      <c r="G419" s="6">
        <f>I190</f>
        <v/>
      </c>
      <c r="H419" s="6">
        <f>J190</f>
        <v/>
      </c>
      <c r="I419" s="6">
        <f>K190</f>
        <v/>
      </c>
      <c r="J419" s="6">
        <f>L190</f>
        <v/>
      </c>
      <c r="K419" s="6">
        <f>M190</f>
        <v/>
      </c>
      <c r="L419" s="6">
        <f>N190</f>
        <v/>
      </c>
      <c r="M419" s="6">
        <f>O190</f>
        <v/>
      </c>
      <c r="N419" s="6">
        <f>P190</f>
        <v/>
      </c>
      <c r="O419" s="6">
        <f>Q190</f>
        <v/>
      </c>
      <c r="P419" s="99" t="n"/>
      <c r="Q419" s="99" t="n"/>
    </row>
    <row r="420">
      <c r="C420" s="6" t="inlineStr">
        <is>
          <t>2023-05</t>
        </is>
      </c>
      <c r="D420" s="6">
        <f>F191</f>
        <v/>
      </c>
      <c r="E420" s="6">
        <f>G191</f>
        <v/>
      </c>
      <c r="F420" s="6">
        <f>H191</f>
        <v/>
      </c>
      <c r="G420" s="6">
        <f>I191</f>
        <v/>
      </c>
      <c r="H420" s="6">
        <f>J191</f>
        <v/>
      </c>
      <c r="I420" s="6">
        <f>K191</f>
        <v/>
      </c>
      <c r="J420" s="6">
        <f>L191</f>
        <v/>
      </c>
      <c r="K420" s="6">
        <f>M191</f>
        <v/>
      </c>
      <c r="L420" s="6">
        <f>N191</f>
        <v/>
      </c>
      <c r="M420" s="6">
        <f>O191</f>
        <v/>
      </c>
      <c r="N420" s="6">
        <f>P191</f>
        <v/>
      </c>
      <c r="O420" s="6">
        <f>Q191</f>
        <v/>
      </c>
      <c r="P420" s="99" t="n"/>
      <c r="Q420" s="99" t="n"/>
    </row>
    <row r="421">
      <c r="C421" s="6" t="inlineStr">
        <is>
          <t>2023-06</t>
        </is>
      </c>
      <c r="D421" s="6">
        <f>F192</f>
        <v/>
      </c>
      <c r="E421" s="6">
        <f>G192</f>
        <v/>
      </c>
      <c r="F421" s="6">
        <f>H192</f>
        <v/>
      </c>
      <c r="G421" s="6">
        <f>I192</f>
        <v/>
      </c>
      <c r="H421" s="6">
        <f>J192</f>
        <v/>
      </c>
      <c r="I421" s="6">
        <f>K192</f>
        <v/>
      </c>
      <c r="J421" s="6">
        <f>L192</f>
        <v/>
      </c>
      <c r="K421" s="6">
        <f>M192</f>
        <v/>
      </c>
      <c r="L421" s="6">
        <f>N192</f>
        <v/>
      </c>
      <c r="M421" s="6">
        <f>O192</f>
        <v/>
      </c>
      <c r="N421" s="6">
        <f>P192</f>
        <v/>
      </c>
      <c r="O421" s="6">
        <f>Q192</f>
        <v/>
      </c>
      <c r="P421" s="99" t="n"/>
      <c r="Q421" s="99" t="n"/>
    </row>
    <row r="422">
      <c r="C422" s="6" t="inlineStr">
        <is>
          <t>2023-07</t>
        </is>
      </c>
      <c r="D422" s="6">
        <f>F193</f>
        <v/>
      </c>
      <c r="E422" s="6">
        <f>G193</f>
        <v/>
      </c>
      <c r="F422" s="6">
        <f>H193</f>
        <v/>
      </c>
      <c r="G422" s="6">
        <f>I193</f>
        <v/>
      </c>
      <c r="H422" s="6">
        <f>J193</f>
        <v/>
      </c>
      <c r="I422" s="6">
        <f>K193</f>
        <v/>
      </c>
      <c r="J422" s="6">
        <f>L193</f>
        <v/>
      </c>
      <c r="K422" s="6">
        <f>M193</f>
        <v/>
      </c>
      <c r="L422" s="6">
        <f>N193</f>
        <v/>
      </c>
      <c r="M422" s="6">
        <f>O193</f>
        <v/>
      </c>
      <c r="N422" s="6">
        <f>P193</f>
        <v/>
      </c>
      <c r="O422" s="6">
        <f>Q193</f>
        <v/>
      </c>
      <c r="P422" s="99" t="n"/>
      <c r="Q422" s="99" t="n"/>
    </row>
    <row r="423">
      <c r="C423" s="6" t="inlineStr">
        <is>
          <t>2023-08</t>
        </is>
      </c>
      <c r="D423" s="6">
        <f>F194</f>
        <v/>
      </c>
      <c r="E423" s="6">
        <f>G194</f>
        <v/>
      </c>
      <c r="F423" s="6">
        <f>H194</f>
        <v/>
      </c>
      <c r="G423" s="6">
        <f>I194</f>
        <v/>
      </c>
      <c r="H423" s="6">
        <f>J194</f>
        <v/>
      </c>
      <c r="I423" s="6">
        <f>K194</f>
        <v/>
      </c>
      <c r="J423" s="6">
        <f>L194</f>
        <v/>
      </c>
      <c r="K423" s="6">
        <f>M194</f>
        <v/>
      </c>
      <c r="L423" s="6">
        <f>N194</f>
        <v/>
      </c>
      <c r="M423" s="6">
        <f>O194</f>
        <v/>
      </c>
      <c r="N423" s="6">
        <f>P194</f>
        <v/>
      </c>
      <c r="O423" s="6">
        <f>Q194</f>
        <v/>
      </c>
      <c r="P423" s="99" t="n"/>
      <c r="Q423" s="99" t="n"/>
    </row>
    <row r="424">
      <c r="C424" s="6" t="inlineStr">
        <is>
          <t>2023-09</t>
        </is>
      </c>
      <c r="D424" s="6">
        <f>F195</f>
        <v/>
      </c>
      <c r="E424" s="6">
        <f>G195</f>
        <v/>
      </c>
      <c r="F424" s="6">
        <f>H195</f>
        <v/>
      </c>
      <c r="G424" s="6">
        <f>I195</f>
        <v/>
      </c>
      <c r="H424" s="6">
        <f>J195</f>
        <v/>
      </c>
      <c r="I424" s="6">
        <f>K195</f>
        <v/>
      </c>
      <c r="J424" s="6">
        <f>L195</f>
        <v/>
      </c>
      <c r="K424" s="6">
        <f>M195</f>
        <v/>
      </c>
      <c r="L424" s="6">
        <f>N195</f>
        <v/>
      </c>
      <c r="M424" s="6">
        <f>O195</f>
        <v/>
      </c>
      <c r="N424" s="6">
        <f>P195</f>
        <v/>
      </c>
      <c r="O424" s="6">
        <f>Q195</f>
        <v/>
      </c>
      <c r="P424" s="99" t="n"/>
      <c r="Q424" s="99" t="n"/>
    </row>
    <row r="425">
      <c r="C425" s="6" t="inlineStr">
        <is>
          <t>2023-10</t>
        </is>
      </c>
      <c r="D425" s="6">
        <f>F196</f>
        <v/>
      </c>
      <c r="E425" s="6">
        <f>G196</f>
        <v/>
      </c>
      <c r="F425" s="6">
        <f>H196</f>
        <v/>
      </c>
      <c r="G425" s="6">
        <f>I196</f>
        <v/>
      </c>
      <c r="H425" s="6">
        <f>J196</f>
        <v/>
      </c>
      <c r="I425" s="6">
        <f>K196</f>
        <v/>
      </c>
      <c r="J425" s="6">
        <f>L196</f>
        <v/>
      </c>
      <c r="K425" s="6">
        <f>M196</f>
        <v/>
      </c>
      <c r="L425" s="6">
        <f>N196</f>
        <v/>
      </c>
      <c r="M425" s="6">
        <f>O196</f>
        <v/>
      </c>
      <c r="N425" s="6">
        <f>P196</f>
        <v/>
      </c>
      <c r="O425" s="6">
        <f>Q196</f>
        <v/>
      </c>
      <c r="P425" s="99" t="n"/>
      <c r="Q425" s="99" t="n"/>
    </row>
    <row r="426">
      <c r="C426" s="6" t="inlineStr">
        <is>
          <t>2023-11</t>
        </is>
      </c>
      <c r="D426" s="6">
        <f>F197</f>
        <v/>
      </c>
      <c r="E426" s="6">
        <f>G197</f>
        <v/>
      </c>
      <c r="F426" s="6">
        <f>H197</f>
        <v/>
      </c>
      <c r="G426" s="6">
        <f>I197</f>
        <v/>
      </c>
      <c r="H426" s="6">
        <f>J197</f>
        <v/>
      </c>
      <c r="I426" s="6">
        <f>K197</f>
        <v/>
      </c>
      <c r="J426" s="6">
        <f>L197</f>
        <v/>
      </c>
      <c r="K426" s="6">
        <f>M197</f>
        <v/>
      </c>
      <c r="L426" s="6">
        <f>N197</f>
        <v/>
      </c>
      <c r="M426" s="6">
        <f>O197</f>
        <v/>
      </c>
      <c r="N426" s="6">
        <f>P197</f>
        <v/>
      </c>
      <c r="O426" s="6">
        <f>Q197</f>
        <v/>
      </c>
      <c r="P426" s="99" t="n"/>
      <c r="Q426" s="99" t="n"/>
    </row>
    <row r="427">
      <c r="C427" s="6" t="inlineStr">
        <is>
          <t>2023-12</t>
        </is>
      </c>
      <c r="D427" s="6">
        <f>F198</f>
        <v/>
      </c>
      <c r="E427" s="6">
        <f>G198</f>
        <v/>
      </c>
      <c r="F427" s="6">
        <f>H198</f>
        <v/>
      </c>
      <c r="G427" s="6">
        <f>I198</f>
        <v/>
      </c>
      <c r="H427" s="6">
        <f>J198</f>
        <v/>
      </c>
      <c r="I427" s="6">
        <f>K198</f>
        <v/>
      </c>
      <c r="J427" s="6">
        <f>L198</f>
        <v/>
      </c>
      <c r="K427" s="6">
        <f>M198</f>
        <v/>
      </c>
      <c r="L427" s="6">
        <f>N198</f>
        <v/>
      </c>
      <c r="M427" s="6">
        <f>O198</f>
        <v/>
      </c>
      <c r="N427" s="6">
        <f>P198</f>
        <v/>
      </c>
      <c r="O427" s="6">
        <f>Q198</f>
        <v/>
      </c>
      <c r="P427" s="99" t="n"/>
      <c r="Q427" s="99" t="n"/>
    </row>
    <row r="428">
      <c r="C428" s="6" t="inlineStr">
        <is>
          <t>2024-01</t>
        </is>
      </c>
      <c r="D428" s="6">
        <f>F199</f>
        <v/>
      </c>
      <c r="E428" s="6">
        <f>G199</f>
        <v/>
      </c>
      <c r="F428" s="6">
        <f>H199</f>
        <v/>
      </c>
      <c r="G428" s="6">
        <f>I199</f>
        <v/>
      </c>
      <c r="H428" s="6">
        <f>J199</f>
        <v/>
      </c>
      <c r="I428" s="6">
        <f>K199</f>
        <v/>
      </c>
      <c r="J428" s="6">
        <f>L199</f>
        <v/>
      </c>
      <c r="K428" s="6">
        <f>M199</f>
        <v/>
      </c>
      <c r="L428" s="6">
        <f>N199</f>
        <v/>
      </c>
      <c r="M428" s="6">
        <f>O199</f>
        <v/>
      </c>
      <c r="N428" s="6">
        <f>P199</f>
        <v/>
      </c>
      <c r="O428" s="6">
        <f>Q199</f>
        <v/>
      </c>
      <c r="P428" s="99" t="n"/>
      <c r="Q428" s="99" t="n"/>
    </row>
    <row r="429">
      <c r="C429" s="6" t="inlineStr">
        <is>
          <t>2024-02</t>
        </is>
      </c>
      <c r="D429" s="6">
        <f>F200</f>
        <v/>
      </c>
      <c r="E429" s="6">
        <f>G200</f>
        <v/>
      </c>
      <c r="F429" s="6">
        <f>H200</f>
        <v/>
      </c>
      <c r="G429" s="6">
        <f>I200</f>
        <v/>
      </c>
      <c r="H429" s="6">
        <f>J200</f>
        <v/>
      </c>
      <c r="I429" s="6">
        <f>K200</f>
        <v/>
      </c>
      <c r="J429" s="6">
        <f>L200</f>
        <v/>
      </c>
      <c r="K429" s="6">
        <f>M200</f>
        <v/>
      </c>
      <c r="L429" s="6">
        <f>N200</f>
        <v/>
      </c>
      <c r="M429" s="6">
        <f>O200</f>
        <v/>
      </c>
      <c r="N429" s="6">
        <f>P200</f>
        <v/>
      </c>
      <c r="O429" s="6">
        <f>Q200</f>
        <v/>
      </c>
      <c r="P429" s="99" t="n"/>
      <c r="Q429" s="99" t="n"/>
    </row>
    <row r="430">
      <c r="C430" s="6" t="inlineStr">
        <is>
          <t>2024-03</t>
        </is>
      </c>
      <c r="D430" s="6">
        <f>F201</f>
        <v/>
      </c>
      <c r="E430" s="6">
        <f>G201</f>
        <v/>
      </c>
      <c r="F430" s="6">
        <f>H201</f>
        <v/>
      </c>
      <c r="G430" s="6">
        <f>I201</f>
        <v/>
      </c>
      <c r="H430" s="6">
        <f>J201</f>
        <v/>
      </c>
      <c r="I430" s="6">
        <f>K201</f>
        <v/>
      </c>
      <c r="J430" s="6">
        <f>L201</f>
        <v/>
      </c>
      <c r="K430" s="6">
        <f>M201</f>
        <v/>
      </c>
      <c r="L430" s="6">
        <f>N201</f>
        <v/>
      </c>
      <c r="M430" s="6">
        <f>O201</f>
        <v/>
      </c>
      <c r="N430" s="6">
        <f>P201</f>
        <v/>
      </c>
      <c r="O430" s="6">
        <f>Q201</f>
        <v/>
      </c>
      <c r="P430" s="99" t="n"/>
      <c r="Q430" s="99" t="n"/>
    </row>
    <row r="431">
      <c r="C431" s="6" t="inlineStr">
        <is>
          <t>2024-04</t>
        </is>
      </c>
      <c r="D431" s="6">
        <f>F202</f>
        <v/>
      </c>
      <c r="E431" s="6">
        <f>G202</f>
        <v/>
      </c>
      <c r="F431" s="6">
        <f>H202</f>
        <v/>
      </c>
      <c r="G431" s="6">
        <f>I202</f>
        <v/>
      </c>
      <c r="H431" s="6">
        <f>J202</f>
        <v/>
      </c>
      <c r="I431" s="6">
        <f>K202</f>
        <v/>
      </c>
      <c r="J431" s="6">
        <f>L202</f>
        <v/>
      </c>
      <c r="K431" s="6">
        <f>M202</f>
        <v/>
      </c>
      <c r="L431" s="6">
        <f>N202</f>
        <v/>
      </c>
      <c r="M431" s="6">
        <f>O202</f>
        <v/>
      </c>
      <c r="N431" s="6">
        <f>P202</f>
        <v/>
      </c>
      <c r="O431" s="6">
        <f>Q202</f>
        <v/>
      </c>
      <c r="P431" s="99" t="n"/>
      <c r="Q431" s="99" t="n"/>
    </row>
    <row r="432">
      <c r="C432" s="6" t="inlineStr">
        <is>
          <t>2024-05</t>
        </is>
      </c>
      <c r="D432" s="6">
        <f>F203</f>
        <v/>
      </c>
      <c r="E432" s="6">
        <f>G203</f>
        <v/>
      </c>
      <c r="F432" s="6">
        <f>H203</f>
        <v/>
      </c>
      <c r="G432" s="6">
        <f>I203</f>
        <v/>
      </c>
      <c r="H432" s="6">
        <f>J203</f>
        <v/>
      </c>
      <c r="I432" s="6">
        <f>K203</f>
        <v/>
      </c>
      <c r="J432" s="6">
        <f>L203</f>
        <v/>
      </c>
      <c r="K432" s="6">
        <f>M203</f>
        <v/>
      </c>
      <c r="L432" s="6">
        <f>N203</f>
        <v/>
      </c>
      <c r="M432" s="6">
        <f>O203</f>
        <v/>
      </c>
      <c r="N432" s="6">
        <f>P203</f>
        <v/>
      </c>
      <c r="O432" s="6">
        <f>Q203</f>
        <v/>
      </c>
      <c r="P432" s="99" t="n"/>
      <c r="Q432" s="99" t="n"/>
    </row>
    <row r="433">
      <c r="C433" s="6" t="inlineStr">
        <is>
          <t>2024-06</t>
        </is>
      </c>
      <c r="D433" s="6">
        <f>F204</f>
        <v/>
      </c>
      <c r="E433" s="6">
        <f>G204</f>
        <v/>
      </c>
      <c r="F433" s="6">
        <f>H204</f>
        <v/>
      </c>
      <c r="G433" s="6">
        <f>I204</f>
        <v/>
      </c>
      <c r="H433" s="6">
        <f>J204</f>
        <v/>
      </c>
      <c r="I433" s="6">
        <f>K204</f>
        <v/>
      </c>
      <c r="J433" s="6">
        <f>L204</f>
        <v/>
      </c>
      <c r="K433" s="6">
        <f>M204</f>
        <v/>
      </c>
      <c r="L433" s="6">
        <f>N204</f>
        <v/>
      </c>
      <c r="M433" s="6">
        <f>O204</f>
        <v/>
      </c>
      <c r="N433" s="6">
        <f>P204</f>
        <v/>
      </c>
      <c r="O433" s="6">
        <f>Q204</f>
        <v/>
      </c>
      <c r="P433" s="99" t="n"/>
      <c r="Q433" s="99" t="n"/>
    </row>
    <row r="434">
      <c r="C434" s="6" t="inlineStr">
        <is>
          <t>2024-07</t>
        </is>
      </c>
      <c r="D434" s="6">
        <f>F205</f>
        <v/>
      </c>
      <c r="E434" s="6">
        <f>G205</f>
        <v/>
      </c>
      <c r="F434" s="6">
        <f>H205</f>
        <v/>
      </c>
      <c r="G434" s="6">
        <f>I205</f>
        <v/>
      </c>
      <c r="H434" s="6">
        <f>J205</f>
        <v/>
      </c>
      <c r="I434" s="6">
        <f>K205</f>
        <v/>
      </c>
      <c r="J434" s="6">
        <f>L205</f>
        <v/>
      </c>
      <c r="K434" s="6">
        <f>M205</f>
        <v/>
      </c>
      <c r="L434" s="6">
        <f>N205</f>
        <v/>
      </c>
      <c r="M434" s="6">
        <f>O205</f>
        <v/>
      </c>
      <c r="N434" s="6">
        <f>P205</f>
        <v/>
      </c>
      <c r="O434" s="6">
        <f>Q205</f>
        <v/>
      </c>
      <c r="P434" s="99" t="n"/>
      <c r="Q434" s="99" t="n"/>
    </row>
    <row r="435">
      <c r="C435" s="6" t="inlineStr">
        <is>
          <t>2024-08</t>
        </is>
      </c>
      <c r="D435" s="6">
        <f>F206</f>
        <v/>
      </c>
      <c r="E435" s="6">
        <f>G206</f>
        <v/>
      </c>
      <c r="F435" s="6">
        <f>H206</f>
        <v/>
      </c>
      <c r="G435" s="6">
        <f>I206</f>
        <v/>
      </c>
      <c r="H435" s="6">
        <f>J206</f>
        <v/>
      </c>
      <c r="I435" s="6">
        <f>K206</f>
        <v/>
      </c>
      <c r="J435" s="6">
        <f>L206</f>
        <v/>
      </c>
      <c r="K435" s="6">
        <f>M206</f>
        <v/>
      </c>
      <c r="L435" s="6">
        <f>N206</f>
        <v/>
      </c>
      <c r="M435" s="6">
        <f>O206</f>
        <v/>
      </c>
      <c r="N435" s="6">
        <f>P206</f>
        <v/>
      </c>
      <c r="O435" s="6">
        <f>Q206</f>
        <v/>
      </c>
      <c r="P435" s="99" t="n"/>
      <c r="Q435" s="99" t="n"/>
    </row>
    <row r="436">
      <c r="C436" s="6" t="inlineStr">
        <is>
          <t>2024-09</t>
        </is>
      </c>
      <c r="D436" s="6">
        <f>F207</f>
        <v/>
      </c>
      <c r="E436" s="6">
        <f>G207</f>
        <v/>
      </c>
      <c r="F436" s="6">
        <f>H207</f>
        <v/>
      </c>
      <c r="G436" s="6">
        <f>I207</f>
        <v/>
      </c>
      <c r="H436" s="6">
        <f>J207</f>
        <v/>
      </c>
      <c r="I436" s="6">
        <f>K207</f>
        <v/>
      </c>
      <c r="J436" s="6">
        <f>L207</f>
        <v/>
      </c>
      <c r="K436" s="6">
        <f>M207</f>
        <v/>
      </c>
      <c r="L436" s="6">
        <f>N207</f>
        <v/>
      </c>
      <c r="M436" s="6">
        <f>O207</f>
        <v/>
      </c>
      <c r="N436" s="6">
        <f>P207</f>
        <v/>
      </c>
      <c r="O436" s="6">
        <f>Q207</f>
        <v/>
      </c>
      <c r="P436" s="99" t="n"/>
      <c r="Q436" s="99" t="n"/>
    </row>
    <row r="437">
      <c r="C437" s="6" t="inlineStr">
        <is>
          <t>2024-10</t>
        </is>
      </c>
      <c r="D437" s="6">
        <f>F208</f>
        <v/>
      </c>
      <c r="E437" s="6">
        <f>G208</f>
        <v/>
      </c>
      <c r="F437" s="6">
        <f>H208</f>
        <v/>
      </c>
      <c r="G437" s="6">
        <f>I208</f>
        <v/>
      </c>
      <c r="H437" s="6">
        <f>J208</f>
        <v/>
      </c>
      <c r="I437" s="6">
        <f>K208</f>
        <v/>
      </c>
      <c r="J437" s="6">
        <f>L208</f>
        <v/>
      </c>
      <c r="K437" s="6">
        <f>M208</f>
        <v/>
      </c>
      <c r="L437" s="6">
        <f>N208</f>
        <v/>
      </c>
      <c r="M437" s="6">
        <f>O208</f>
        <v/>
      </c>
      <c r="N437" s="6">
        <f>P208</f>
        <v/>
      </c>
      <c r="O437" s="6">
        <f>Q208</f>
        <v/>
      </c>
      <c r="P437" s="99" t="n"/>
      <c r="Q437" s="99" t="n"/>
    </row>
    <row r="438">
      <c r="C438" s="6" t="inlineStr">
        <is>
          <t>2024-11</t>
        </is>
      </c>
      <c r="D438" s="6">
        <f>F209</f>
        <v/>
      </c>
      <c r="E438" s="6">
        <f>G209</f>
        <v/>
      </c>
      <c r="F438" s="6">
        <f>H209</f>
        <v/>
      </c>
      <c r="G438" s="6">
        <f>I209</f>
        <v/>
      </c>
      <c r="H438" s="6">
        <f>J209</f>
        <v/>
      </c>
      <c r="I438" s="6">
        <f>K209</f>
        <v/>
      </c>
      <c r="J438" s="6">
        <f>L209</f>
        <v/>
      </c>
      <c r="K438" s="6">
        <f>M209</f>
        <v/>
      </c>
      <c r="L438" s="6">
        <f>N209</f>
        <v/>
      </c>
      <c r="M438" s="6">
        <f>O209</f>
        <v/>
      </c>
      <c r="N438" s="6">
        <f>P209</f>
        <v/>
      </c>
      <c r="O438" s="6">
        <f>Q209</f>
        <v/>
      </c>
      <c r="P438" s="99" t="n"/>
      <c r="Q438" s="99" t="n"/>
    </row>
    <row r="439">
      <c r="C439" s="6" t="inlineStr">
        <is>
          <t>2024-12</t>
        </is>
      </c>
      <c r="D439" s="6">
        <f>F210</f>
        <v/>
      </c>
      <c r="E439" s="6">
        <f>G210</f>
        <v/>
      </c>
      <c r="F439" s="6">
        <f>H210</f>
        <v/>
      </c>
      <c r="G439" s="6">
        <f>I210</f>
        <v/>
      </c>
      <c r="H439" s="6">
        <f>J210</f>
        <v/>
      </c>
      <c r="I439" s="6">
        <f>K210</f>
        <v/>
      </c>
      <c r="J439" s="6">
        <f>L210</f>
        <v/>
      </c>
      <c r="K439" s="6">
        <f>M210</f>
        <v/>
      </c>
      <c r="L439" s="6">
        <f>N210</f>
        <v/>
      </c>
      <c r="M439" s="6">
        <f>O210</f>
        <v/>
      </c>
      <c r="N439" s="6">
        <f>P210</f>
        <v/>
      </c>
      <c r="O439" s="6">
        <f>Q210</f>
        <v/>
      </c>
      <c r="P439" s="99" t="n"/>
      <c r="Q439" s="99" t="n"/>
    </row>
    <row r="440">
      <c r="C440" s="6" t="inlineStr">
        <is>
          <t>2025-01</t>
        </is>
      </c>
      <c r="D440" s="6">
        <f>F211</f>
        <v/>
      </c>
      <c r="E440" s="6">
        <f>G211</f>
        <v/>
      </c>
      <c r="F440" s="6">
        <f>H211</f>
        <v/>
      </c>
      <c r="G440" s="6">
        <f>I211</f>
        <v/>
      </c>
      <c r="H440" s="6">
        <f>J211</f>
        <v/>
      </c>
      <c r="I440" s="6">
        <f>K211</f>
        <v/>
      </c>
      <c r="J440" s="6">
        <f>L211</f>
        <v/>
      </c>
      <c r="K440" s="6">
        <f>M211</f>
        <v/>
      </c>
      <c r="L440" s="6">
        <f>N211</f>
        <v/>
      </c>
      <c r="M440" s="6">
        <f>O211</f>
        <v/>
      </c>
      <c r="N440" s="6">
        <f>P211</f>
        <v/>
      </c>
      <c r="O440" s="6">
        <f>Q211</f>
        <v/>
      </c>
      <c r="P440" s="99" t="n"/>
      <c r="Q440" s="99" t="n"/>
    </row>
    <row r="441">
      <c r="C441" s="6" t="inlineStr">
        <is>
          <t>2025-02</t>
        </is>
      </c>
      <c r="D441" s="6">
        <f>F212</f>
        <v/>
      </c>
      <c r="E441" s="6">
        <f>G212</f>
        <v/>
      </c>
      <c r="F441" s="6">
        <f>H212</f>
        <v/>
      </c>
      <c r="G441" s="6">
        <f>I212</f>
        <v/>
      </c>
      <c r="H441" s="6">
        <f>J212</f>
        <v/>
      </c>
      <c r="I441" s="6">
        <f>K212</f>
        <v/>
      </c>
      <c r="J441" s="6">
        <f>L212</f>
        <v/>
      </c>
      <c r="K441" s="6">
        <f>M212</f>
        <v/>
      </c>
      <c r="L441" s="6">
        <f>N212</f>
        <v/>
      </c>
      <c r="M441" s="6">
        <f>O212</f>
        <v/>
      </c>
      <c r="N441" s="6">
        <f>P212</f>
        <v/>
      </c>
      <c r="O441" s="6">
        <f>Q212</f>
        <v/>
      </c>
      <c r="P441" s="99" t="n"/>
      <c r="Q441" s="99" t="n"/>
    </row>
    <row r="442">
      <c r="C442" s="6" t="inlineStr">
        <is>
          <t>2025-03</t>
        </is>
      </c>
      <c r="D442" s="6">
        <f>F213</f>
        <v/>
      </c>
      <c r="E442" s="6">
        <f>G213</f>
        <v/>
      </c>
      <c r="F442" s="6">
        <f>H213</f>
        <v/>
      </c>
      <c r="G442" s="6">
        <f>I213</f>
        <v/>
      </c>
      <c r="H442" s="6">
        <f>J213</f>
        <v/>
      </c>
      <c r="I442" s="6">
        <f>K213</f>
        <v/>
      </c>
      <c r="J442" s="6">
        <f>L213</f>
        <v/>
      </c>
      <c r="K442" s="6">
        <f>M213</f>
        <v/>
      </c>
      <c r="L442" s="6">
        <f>N213</f>
        <v/>
      </c>
      <c r="M442" s="6">
        <f>O213</f>
        <v/>
      </c>
      <c r="N442" s="6">
        <f>P213</f>
        <v/>
      </c>
      <c r="O442" s="6">
        <f>Q213</f>
        <v/>
      </c>
      <c r="P442" s="99" t="n"/>
      <c r="Q442" s="99" t="n"/>
    </row>
    <row r="443">
      <c r="C443" s="6" t="inlineStr">
        <is>
          <t>2025-04</t>
        </is>
      </c>
      <c r="D443" s="6">
        <f>F214</f>
        <v/>
      </c>
      <c r="E443" s="6">
        <f>G214</f>
        <v/>
      </c>
      <c r="F443" s="6">
        <f>H214</f>
        <v/>
      </c>
      <c r="G443" s="6">
        <f>I214</f>
        <v/>
      </c>
      <c r="H443" s="6">
        <f>J214</f>
        <v/>
      </c>
      <c r="I443" s="6">
        <f>K214</f>
        <v/>
      </c>
      <c r="J443" s="6">
        <f>L214</f>
        <v/>
      </c>
      <c r="K443" s="6">
        <f>M214</f>
        <v/>
      </c>
      <c r="L443" s="6">
        <f>N214</f>
        <v/>
      </c>
      <c r="M443" s="6">
        <f>O214</f>
        <v/>
      </c>
      <c r="N443" s="6">
        <f>P214</f>
        <v/>
      </c>
      <c r="O443" s="6">
        <f>Q214</f>
        <v/>
      </c>
      <c r="P443" s="99" t="n"/>
      <c r="Q443" s="99" t="n"/>
    </row>
    <row r="444">
      <c r="C444" s="6" t="inlineStr">
        <is>
          <t>2025-05</t>
        </is>
      </c>
      <c r="D444" s="6">
        <f>F215</f>
        <v/>
      </c>
      <c r="E444" s="6">
        <f>G215</f>
        <v/>
      </c>
      <c r="F444" s="6">
        <f>H215</f>
        <v/>
      </c>
      <c r="G444" s="6">
        <f>I215</f>
        <v/>
      </c>
      <c r="H444" s="6">
        <f>J215</f>
        <v/>
      </c>
      <c r="I444" s="6">
        <f>K215</f>
        <v/>
      </c>
      <c r="J444" s="6">
        <f>L215</f>
        <v/>
      </c>
      <c r="K444" s="6">
        <f>M215</f>
        <v/>
      </c>
      <c r="L444" s="6">
        <f>N215</f>
        <v/>
      </c>
      <c r="M444" s="6">
        <f>O215</f>
        <v/>
      </c>
      <c r="N444" s="6">
        <f>P215</f>
        <v/>
      </c>
      <c r="O444" s="6">
        <f>Q215</f>
        <v/>
      </c>
      <c r="P444" s="99" t="n"/>
      <c r="Q444" s="99" t="n"/>
    </row>
    <row r="445">
      <c r="C445" s="6" t="inlineStr">
        <is>
          <t>2025-06</t>
        </is>
      </c>
      <c r="D445" s="6">
        <f>F216</f>
        <v/>
      </c>
      <c r="E445" s="6">
        <f>G216</f>
        <v/>
      </c>
      <c r="F445" s="6">
        <f>H216</f>
        <v/>
      </c>
      <c r="G445" s="6">
        <f>I216</f>
        <v/>
      </c>
      <c r="H445" s="6">
        <f>J216</f>
        <v/>
      </c>
      <c r="I445" s="6">
        <f>K216</f>
        <v/>
      </c>
      <c r="J445" s="6">
        <f>L216</f>
        <v/>
      </c>
      <c r="K445" s="6">
        <f>M216</f>
        <v/>
      </c>
      <c r="L445" s="6">
        <f>N216</f>
        <v/>
      </c>
      <c r="M445" s="6">
        <f>O216</f>
        <v/>
      </c>
      <c r="N445" s="6">
        <f>P216</f>
        <v/>
      </c>
      <c r="O445" s="6">
        <f>Q216</f>
        <v/>
      </c>
      <c r="P445" s="99" t="n"/>
      <c r="Q445" s="99" t="n"/>
    </row>
    <row r="446">
      <c r="C446" s="6" t="inlineStr">
        <is>
          <t>2025-07</t>
        </is>
      </c>
      <c r="D446" s="6">
        <f>F217</f>
        <v/>
      </c>
      <c r="E446" s="6">
        <f>G217</f>
        <v/>
      </c>
      <c r="F446" s="6">
        <f>H217</f>
        <v/>
      </c>
      <c r="G446" s="6">
        <f>I217</f>
        <v/>
      </c>
      <c r="H446" s="6">
        <f>J217</f>
        <v/>
      </c>
      <c r="I446" s="6">
        <f>K217</f>
        <v/>
      </c>
      <c r="J446" s="6">
        <f>L217</f>
        <v/>
      </c>
      <c r="K446" s="6">
        <f>M217</f>
        <v/>
      </c>
      <c r="L446" s="6">
        <f>N217</f>
        <v/>
      </c>
      <c r="M446" s="6">
        <f>O217</f>
        <v/>
      </c>
      <c r="N446" s="6">
        <f>P217</f>
        <v/>
      </c>
      <c r="O446" s="6">
        <f>Q217</f>
        <v/>
      </c>
      <c r="P446" s="99" t="n"/>
      <c r="Q446" s="99" t="n"/>
    </row>
    <row r="447">
      <c r="C447" s="6" t="inlineStr">
        <is>
          <t>2025-08</t>
        </is>
      </c>
      <c r="D447" s="6">
        <f>F218</f>
        <v/>
      </c>
      <c r="E447" s="6">
        <f>G218</f>
        <v/>
      </c>
      <c r="F447" s="6">
        <f>H218</f>
        <v/>
      </c>
      <c r="G447" s="6">
        <f>I218</f>
        <v/>
      </c>
      <c r="H447" s="6">
        <f>J218</f>
        <v/>
      </c>
      <c r="I447" s="6">
        <f>K218</f>
        <v/>
      </c>
      <c r="J447" s="6">
        <f>L218</f>
        <v/>
      </c>
      <c r="K447" s="6">
        <f>M218</f>
        <v/>
      </c>
      <c r="L447" s="6">
        <f>N218</f>
        <v/>
      </c>
      <c r="M447" s="6">
        <f>O218</f>
        <v/>
      </c>
      <c r="N447" s="6">
        <f>P218</f>
        <v/>
      </c>
      <c r="O447" s="6">
        <f>Q218</f>
        <v/>
      </c>
      <c r="P447" s="99" t="n"/>
      <c r="Q447" s="99" t="n"/>
    </row>
    <row r="448">
      <c r="C448" s="6" t="inlineStr">
        <is>
          <t>2025-09</t>
        </is>
      </c>
      <c r="D448" s="6">
        <f>F219</f>
        <v/>
      </c>
      <c r="E448" s="6">
        <f>G219</f>
        <v/>
      </c>
      <c r="F448" s="6">
        <f>H219</f>
        <v/>
      </c>
      <c r="G448" s="6">
        <f>I219</f>
        <v/>
      </c>
      <c r="H448" s="6">
        <f>J219</f>
        <v/>
      </c>
      <c r="I448" s="6">
        <f>K219</f>
        <v/>
      </c>
      <c r="J448" s="6">
        <f>L219</f>
        <v/>
      </c>
      <c r="K448" s="6">
        <f>M219</f>
        <v/>
      </c>
      <c r="L448" s="6">
        <f>N219</f>
        <v/>
      </c>
      <c r="M448" s="6">
        <f>O219</f>
        <v/>
      </c>
      <c r="N448" s="6">
        <f>P219</f>
        <v/>
      </c>
      <c r="O448" s="6">
        <f>Q219</f>
        <v/>
      </c>
      <c r="P448" s="99" t="n"/>
      <c r="Q448" s="99" t="n"/>
    </row>
    <row r="449">
      <c r="C449" s="6" t="inlineStr">
        <is>
          <t>2025-10</t>
        </is>
      </c>
      <c r="D449" s="6">
        <f>F220</f>
        <v/>
      </c>
      <c r="E449" s="6">
        <f>G220</f>
        <v/>
      </c>
      <c r="F449" s="6">
        <f>H220</f>
        <v/>
      </c>
      <c r="G449" s="6">
        <f>I220</f>
        <v/>
      </c>
      <c r="H449" s="6">
        <f>J220</f>
        <v/>
      </c>
      <c r="I449" s="6">
        <f>K220</f>
        <v/>
      </c>
      <c r="J449" s="6">
        <f>L220</f>
        <v/>
      </c>
      <c r="K449" s="6">
        <f>M220</f>
        <v/>
      </c>
      <c r="L449" s="6">
        <f>N220</f>
        <v/>
      </c>
      <c r="M449" s="6">
        <f>O220</f>
        <v/>
      </c>
      <c r="N449" s="6">
        <f>P220</f>
        <v/>
      </c>
      <c r="O449" s="6">
        <f>Q220</f>
        <v/>
      </c>
      <c r="P449" s="99" t="n"/>
      <c r="Q449" s="99" t="n"/>
    </row>
    <row r="450">
      <c r="C450" s="6" t="inlineStr">
        <is>
          <t>2025-11</t>
        </is>
      </c>
      <c r="D450" s="6">
        <f>F221</f>
        <v/>
      </c>
      <c r="E450" s="6">
        <f>G221</f>
        <v/>
      </c>
      <c r="F450" s="6">
        <f>H221</f>
        <v/>
      </c>
      <c r="G450" s="6">
        <f>I221</f>
        <v/>
      </c>
      <c r="H450" s="6">
        <f>J221</f>
        <v/>
      </c>
      <c r="I450" s="6">
        <f>K221</f>
        <v/>
      </c>
      <c r="J450" s="6">
        <f>L221</f>
        <v/>
      </c>
      <c r="K450" s="6">
        <f>M221</f>
        <v/>
      </c>
      <c r="L450" s="6">
        <f>N221</f>
        <v/>
      </c>
      <c r="M450" s="6">
        <f>O221</f>
        <v/>
      </c>
      <c r="N450" s="6">
        <f>P221</f>
        <v/>
      </c>
      <c r="O450" s="6">
        <f>Q221</f>
        <v/>
      </c>
      <c r="P450" s="99" t="n"/>
      <c r="Q450" s="99" t="n"/>
    </row>
    <row r="451">
      <c r="C451" s="6" t="inlineStr">
        <is>
          <t>2025-12</t>
        </is>
      </c>
      <c r="D451" s="6">
        <f>F222</f>
        <v/>
      </c>
      <c r="E451" s="6">
        <f>G222</f>
        <v/>
      </c>
      <c r="F451" s="6">
        <f>H222</f>
        <v/>
      </c>
      <c r="G451" s="6">
        <f>I222</f>
        <v/>
      </c>
      <c r="H451" s="6">
        <f>J222</f>
        <v/>
      </c>
      <c r="I451" s="6">
        <f>K222</f>
        <v/>
      </c>
      <c r="J451" s="6">
        <f>L222</f>
        <v/>
      </c>
      <c r="K451" s="6">
        <f>M222</f>
        <v/>
      </c>
      <c r="L451" s="6">
        <f>N222</f>
        <v/>
      </c>
      <c r="M451" s="6">
        <f>O222</f>
        <v/>
      </c>
      <c r="N451" s="6">
        <f>P222</f>
        <v/>
      </c>
      <c r="O451" s="6">
        <f>Q222</f>
        <v/>
      </c>
      <c r="P451" s="99" t="n"/>
      <c r="Q451" s="99" t="n"/>
    </row>
    <row r="452">
      <c r="C452" s="6" t="inlineStr">
        <is>
          <t>2026-01</t>
        </is>
      </c>
      <c r="D452" s="6">
        <f>F223</f>
        <v/>
      </c>
      <c r="E452" s="6">
        <f>G223</f>
        <v/>
      </c>
      <c r="F452" s="6">
        <f>H223</f>
        <v/>
      </c>
      <c r="G452" s="6">
        <f>I223</f>
        <v/>
      </c>
      <c r="H452" s="6">
        <f>J223</f>
        <v/>
      </c>
      <c r="I452" s="6">
        <f>K223</f>
        <v/>
      </c>
      <c r="J452" s="6">
        <f>L223</f>
        <v/>
      </c>
      <c r="K452" s="6">
        <f>M223</f>
        <v/>
      </c>
      <c r="L452" s="6">
        <f>N223</f>
        <v/>
      </c>
      <c r="M452" s="6">
        <f>O223</f>
        <v/>
      </c>
      <c r="N452" s="6">
        <f>P223</f>
        <v/>
      </c>
      <c r="O452" s="6">
        <f>Q223</f>
        <v/>
      </c>
      <c r="P452" s="99" t="n"/>
      <c r="Q452" s="99" t="n"/>
    </row>
    <row r="453">
      <c r="C453" s="6" t="inlineStr">
        <is>
          <t>2026-02</t>
        </is>
      </c>
      <c r="D453" s="6">
        <f>F224</f>
        <v/>
      </c>
      <c r="E453" s="6">
        <f>G224</f>
        <v/>
      </c>
      <c r="F453" s="6">
        <f>H224</f>
        <v/>
      </c>
      <c r="G453" s="6">
        <f>I224</f>
        <v/>
      </c>
      <c r="H453" s="6">
        <f>J224</f>
        <v/>
      </c>
      <c r="I453" s="6">
        <f>K224</f>
        <v/>
      </c>
      <c r="J453" s="6">
        <f>L224</f>
        <v/>
      </c>
      <c r="K453" s="6">
        <f>M224</f>
        <v/>
      </c>
      <c r="L453" s="6">
        <f>N224</f>
        <v/>
      </c>
      <c r="M453" s="6">
        <f>O224</f>
        <v/>
      </c>
      <c r="N453" s="6">
        <f>P224</f>
        <v/>
      </c>
      <c r="O453" s="6">
        <f>Q224</f>
        <v/>
      </c>
      <c r="P453" s="99" t="n"/>
      <c r="Q453" s="99" t="n"/>
    </row>
    <row r="454">
      <c r="C454" s="6" t="inlineStr">
        <is>
          <t>2026-03</t>
        </is>
      </c>
      <c r="D454" s="6">
        <f>F225</f>
        <v/>
      </c>
      <c r="E454" s="6">
        <f>G225</f>
        <v/>
      </c>
      <c r="F454" s="6">
        <f>H225</f>
        <v/>
      </c>
      <c r="G454" s="6">
        <f>I225</f>
        <v/>
      </c>
      <c r="H454" s="6">
        <f>J225</f>
        <v/>
      </c>
      <c r="I454" s="6">
        <f>K225</f>
        <v/>
      </c>
      <c r="J454" s="6">
        <f>L225</f>
        <v/>
      </c>
      <c r="K454" s="6">
        <f>M225</f>
        <v/>
      </c>
      <c r="L454" s="6">
        <f>N225</f>
        <v/>
      </c>
      <c r="M454" s="6">
        <f>O225</f>
        <v/>
      </c>
      <c r="N454" s="6">
        <f>P225</f>
        <v/>
      </c>
      <c r="O454" s="6">
        <f>Q225</f>
        <v/>
      </c>
      <c r="P454" s="99" t="n"/>
      <c r="Q454" s="99" t="n"/>
    </row>
    <row r="455">
      <c r="C455" s="6" t="inlineStr">
        <is>
          <t>2026-04</t>
        </is>
      </c>
      <c r="D455" s="6">
        <f>F226</f>
        <v/>
      </c>
      <c r="E455" s="6">
        <f>G226</f>
        <v/>
      </c>
      <c r="F455" s="6">
        <f>H226</f>
        <v/>
      </c>
      <c r="G455" s="6">
        <f>I226</f>
        <v/>
      </c>
      <c r="H455" s="6">
        <f>J226</f>
        <v/>
      </c>
      <c r="I455" s="6">
        <f>K226</f>
        <v/>
      </c>
      <c r="J455" s="6">
        <f>L226</f>
        <v/>
      </c>
      <c r="K455" s="6">
        <f>M226</f>
        <v/>
      </c>
      <c r="L455" s="6">
        <f>N226</f>
        <v/>
      </c>
      <c r="M455" s="6">
        <f>O226</f>
        <v/>
      </c>
      <c r="N455" s="6">
        <f>P226</f>
        <v/>
      </c>
      <c r="O455" s="6">
        <f>Q226</f>
        <v/>
      </c>
      <c r="P455" s="99" t="n"/>
      <c r="Q455" s="99" t="n"/>
    </row>
    <row r="456">
      <c r="C456" s="6" t="inlineStr">
        <is>
          <t>2026-05</t>
        </is>
      </c>
      <c r="D456" s="6">
        <f>F227</f>
        <v/>
      </c>
      <c r="E456" s="6">
        <f>G227</f>
        <v/>
      </c>
      <c r="F456" s="6">
        <f>H227</f>
        <v/>
      </c>
      <c r="G456" s="6">
        <f>I227</f>
        <v/>
      </c>
      <c r="H456" s="6">
        <f>J227</f>
        <v/>
      </c>
      <c r="I456" s="6">
        <f>K227</f>
        <v/>
      </c>
      <c r="J456" s="6">
        <f>L227</f>
        <v/>
      </c>
      <c r="K456" s="6">
        <f>M227</f>
        <v/>
      </c>
      <c r="L456" s="6">
        <f>N227</f>
        <v/>
      </c>
      <c r="M456" s="6">
        <f>O227</f>
        <v/>
      </c>
      <c r="N456" s="6">
        <f>P227</f>
        <v/>
      </c>
      <c r="O456" s="6">
        <f>Q227</f>
        <v/>
      </c>
      <c r="P456" s="99" t="n"/>
      <c r="Q456" s="99" t="n"/>
    </row>
    <row r="457">
      <c r="C457" s="6" t="inlineStr">
        <is>
          <t>2026-06</t>
        </is>
      </c>
      <c r="D457" s="6">
        <f>F228</f>
        <v/>
      </c>
      <c r="E457" s="6">
        <f>G228</f>
        <v/>
      </c>
      <c r="F457" s="6">
        <f>H228</f>
        <v/>
      </c>
      <c r="G457" s="6">
        <f>I228</f>
        <v/>
      </c>
      <c r="H457" s="6">
        <f>J228</f>
        <v/>
      </c>
      <c r="I457" s="6">
        <f>K228</f>
        <v/>
      </c>
      <c r="J457" s="6">
        <f>L228</f>
        <v/>
      </c>
      <c r="K457" s="6">
        <f>M228</f>
        <v/>
      </c>
      <c r="L457" s="6">
        <f>N228</f>
        <v/>
      </c>
      <c r="M457" s="6">
        <f>O228</f>
        <v/>
      </c>
      <c r="N457" s="6">
        <f>P228</f>
        <v/>
      </c>
      <c r="O457" s="6">
        <f>Q228</f>
        <v/>
      </c>
      <c r="P457" s="99" t="n"/>
      <c r="Q457" s="99" t="n"/>
    </row>
    <row r="458">
      <c r="C458" s="6" t="inlineStr">
        <is>
          <t>2026-07</t>
        </is>
      </c>
      <c r="D458" s="6">
        <f>F229</f>
        <v/>
      </c>
      <c r="E458" s="6">
        <f>G229</f>
        <v/>
      </c>
      <c r="F458" s="6">
        <f>H229</f>
        <v/>
      </c>
      <c r="G458" s="6">
        <f>I229</f>
        <v/>
      </c>
      <c r="H458" s="6">
        <f>J229</f>
        <v/>
      </c>
      <c r="I458" s="6">
        <f>K229</f>
        <v/>
      </c>
      <c r="J458" s="6">
        <f>L229</f>
        <v/>
      </c>
      <c r="K458" s="6">
        <f>M229</f>
        <v/>
      </c>
      <c r="L458" s="6">
        <f>N229</f>
        <v/>
      </c>
      <c r="M458" s="6">
        <f>O229</f>
        <v/>
      </c>
      <c r="N458" s="6">
        <f>P229</f>
        <v/>
      </c>
      <c r="O458" s="6">
        <f>Q229</f>
        <v/>
      </c>
      <c r="P458" s="99" t="n"/>
      <c r="Q458" s="99" t="n"/>
    </row>
    <row r="459">
      <c r="C459" s="6" t="inlineStr">
        <is>
          <t>2026-08</t>
        </is>
      </c>
      <c r="D459" s="6">
        <f>F230</f>
        <v/>
      </c>
      <c r="E459" s="6">
        <f>G230</f>
        <v/>
      </c>
      <c r="F459" s="6">
        <f>H230</f>
        <v/>
      </c>
      <c r="G459" s="6">
        <f>I230</f>
        <v/>
      </c>
      <c r="H459" s="6">
        <f>J230</f>
        <v/>
      </c>
      <c r="I459" s="6">
        <f>K230</f>
        <v/>
      </c>
      <c r="J459" s="6">
        <f>L230</f>
        <v/>
      </c>
      <c r="K459" s="6">
        <f>M230</f>
        <v/>
      </c>
      <c r="L459" s="6">
        <f>N230</f>
        <v/>
      </c>
      <c r="M459" s="6">
        <f>O230</f>
        <v/>
      </c>
      <c r="N459" s="6">
        <f>P230</f>
        <v/>
      </c>
      <c r="O459" s="6">
        <f>Q230</f>
        <v/>
      </c>
      <c r="P459" s="99" t="n"/>
      <c r="Q459" s="99" t="n"/>
    </row>
    <row r="460">
      <c r="C460" s="6" t="inlineStr">
        <is>
          <t>2026-09</t>
        </is>
      </c>
      <c r="D460" s="6">
        <f>F231</f>
        <v/>
      </c>
      <c r="E460" s="6">
        <f>G231</f>
        <v/>
      </c>
      <c r="F460" s="6">
        <f>H231</f>
        <v/>
      </c>
      <c r="G460" s="6">
        <f>I231</f>
        <v/>
      </c>
      <c r="H460" s="6">
        <f>J231</f>
        <v/>
      </c>
      <c r="I460" s="6">
        <f>K231</f>
        <v/>
      </c>
      <c r="J460" s="6">
        <f>L231</f>
        <v/>
      </c>
      <c r="K460" s="6">
        <f>M231</f>
        <v/>
      </c>
      <c r="L460" s="6">
        <f>N231</f>
        <v/>
      </c>
      <c r="M460" s="6">
        <f>O231</f>
        <v/>
      </c>
      <c r="N460" s="6">
        <f>P231</f>
        <v/>
      </c>
      <c r="O460" s="6">
        <f>Q231</f>
        <v/>
      </c>
      <c r="P460" s="99" t="n"/>
      <c r="Q460" s="99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2:R231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2">
      <c r="C2" s="2" t="inlineStr">
        <is>
          <t>Earnings revisions de três meses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</row>
    <row r="3">
      <c r="C3" s="4" t="inlineStr">
        <is>
          <t>100 × log(Earnings_t / Earnings_t-3). Valores em percentual logarítmico.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</row>
    <row r="6" ht="36" customHeight="1">
      <c r="C6" s="11" t="inlineStr">
        <is>
          <t>month</t>
        </is>
      </c>
      <c r="D6" s="11" t="inlineStr">
        <is>
          <t>date</t>
        </is>
      </c>
      <c r="E6" s="11" t="inlineStr">
        <is>
          <t>source_file</t>
        </is>
      </c>
      <c r="F6" s="11" t="inlineStr">
        <is>
          <t>IBOV</t>
        </is>
      </c>
      <c r="G6" s="11" t="inlineStr">
        <is>
          <t>Communication Services</t>
        </is>
      </c>
      <c r="H6" s="11" t="inlineStr">
        <is>
          <t>Consumer Discretionary</t>
        </is>
      </c>
      <c r="I6" s="11" t="inlineStr">
        <is>
          <t>Consumer Staples</t>
        </is>
      </c>
      <c r="J6" s="11" t="inlineStr">
        <is>
          <t>Energy</t>
        </is>
      </c>
      <c r="K6" s="11" t="inlineStr">
        <is>
          <t>Financials</t>
        </is>
      </c>
      <c r="L6" s="11" t="inlineStr">
        <is>
          <t>Health Care</t>
        </is>
      </c>
      <c r="M6" s="11" t="inlineStr">
        <is>
          <t>Industrials</t>
        </is>
      </c>
      <c r="N6" s="11" t="inlineStr">
        <is>
          <t>Information Technology</t>
        </is>
      </c>
      <c r="O6" s="11" t="inlineStr">
        <is>
          <t>Materials</t>
        </is>
      </c>
      <c r="P6" s="11" t="inlineStr">
        <is>
          <t>Real Estate</t>
        </is>
      </c>
      <c r="Q6" s="11" t="inlineStr">
        <is>
          <t>Utilities</t>
        </is>
      </c>
      <c r="R6" s="11" t="inlineStr">
        <is>
          <t>Not Classified</t>
        </is>
      </c>
    </row>
    <row r="7">
      <c r="C7" s="109" t="n">
        <v>39448</v>
      </c>
      <c r="D7" s="109" t="n">
        <v>39478</v>
      </c>
      <c r="E7" s="124" t="inlineStr">
        <is>
          <t>grid_20qvjmd3.xlsx</t>
        </is>
      </c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</row>
    <row r="8">
      <c r="C8" s="112" t="n">
        <v>39479</v>
      </c>
      <c r="D8" s="112" t="n">
        <v>39507</v>
      </c>
      <c r="E8" s="126" t="inlineStr">
        <is>
          <t>grid_20qvjmd3.xlsx</t>
        </is>
      </c>
      <c r="F8" s="127" t="n"/>
      <c r="G8" s="127" t="n"/>
      <c r="H8" s="127" t="n"/>
      <c r="I8" s="127" t="n"/>
      <c r="J8" s="127" t="n"/>
      <c r="K8" s="127" t="n"/>
      <c r="L8" s="127" t="n"/>
      <c r="M8" s="127" t="n"/>
      <c r="N8" s="127" t="n"/>
      <c r="O8" s="127" t="n"/>
      <c r="P8" s="127" t="n"/>
      <c r="Q8" s="127" t="n"/>
      <c r="R8" s="127" t="n"/>
    </row>
    <row r="9">
      <c r="C9" s="112" t="n">
        <v>39508</v>
      </c>
      <c r="D9" s="112" t="n">
        <v>39538</v>
      </c>
      <c r="E9" s="126" t="inlineStr">
        <is>
          <t>grid_20qvjmd3.xlsx</t>
        </is>
      </c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</row>
    <row r="10">
      <c r="C10" s="112" t="n">
        <v>39539</v>
      </c>
      <c r="D10" s="112" t="n">
        <v>39568</v>
      </c>
      <c r="E10" s="126" t="inlineStr">
        <is>
          <t>grid_20qvjmd3.xlsx</t>
        </is>
      </c>
      <c r="F10" s="127" t="n">
        <v>7.004419009040412</v>
      </c>
      <c r="G10" s="127" t="n">
        <v>-2.65978415990891</v>
      </c>
      <c r="H10" s="127" t="n">
        <v>-3.226035313732582</v>
      </c>
      <c r="I10" s="127" t="n">
        <v>-5.852808162841599</v>
      </c>
      <c r="J10" s="127" t="n">
        <v>5.050344566361565</v>
      </c>
      <c r="K10" s="127" t="n">
        <v>3.799638374762821</v>
      </c>
      <c r="L10" s="127" t="n"/>
      <c r="M10" s="127" t="n">
        <v>-9.226299196638234</v>
      </c>
      <c r="N10" s="127" t="n"/>
      <c r="O10" s="127" t="n">
        <v>11.10352143610516</v>
      </c>
      <c r="P10" s="127" t="n"/>
      <c r="Q10" s="127" t="n">
        <v>12.62844540703353</v>
      </c>
      <c r="R10" s="127" t="n">
        <v>-2.845859762203202</v>
      </c>
    </row>
    <row r="11">
      <c r="C11" s="112" t="n">
        <v>39569</v>
      </c>
      <c r="D11" s="112" t="n">
        <v>39598</v>
      </c>
      <c r="E11" s="126" t="inlineStr">
        <is>
          <t>grid_20qvjmd3.xlsx</t>
        </is>
      </c>
      <c r="F11" s="127" t="n">
        <v>16.1771215029118</v>
      </c>
      <c r="G11" s="127" t="n">
        <v>-9.416986943324963</v>
      </c>
      <c r="H11" s="127" t="n">
        <v>-1.766644186997993</v>
      </c>
      <c r="I11" s="127" t="n">
        <v>-4.498473085289487</v>
      </c>
      <c r="J11" s="127" t="n">
        <v>8.653037610415597</v>
      </c>
      <c r="K11" s="127" t="n">
        <v>1.39533506513229</v>
      </c>
      <c r="L11" s="127" t="n"/>
      <c r="M11" s="127" t="n">
        <v>-10.57160596537007</v>
      </c>
      <c r="N11" s="127" t="n"/>
      <c r="O11" s="127" t="n">
        <v>10.97757232884146</v>
      </c>
      <c r="P11" s="127" t="n"/>
      <c r="Q11" s="127" t="n">
        <v>8.5122910754437</v>
      </c>
      <c r="R11" s="127" t="n">
        <v>-0.3971906019452036</v>
      </c>
    </row>
    <row r="12">
      <c r="C12" s="112" t="n">
        <v>39600</v>
      </c>
      <c r="D12" s="112" t="n">
        <v>39629</v>
      </c>
      <c r="E12" s="126" t="inlineStr">
        <is>
          <t>grid_20qvjmd3.xlsx</t>
        </is>
      </c>
      <c r="F12" s="127" t="n">
        <v>19.46822822212318</v>
      </c>
      <c r="G12" s="127" t="n">
        <v>-6.677498909298279</v>
      </c>
      <c r="H12" s="127" t="n">
        <v>5.653620524811854</v>
      </c>
      <c r="I12" s="127" t="n">
        <v>0.7450644703946969</v>
      </c>
      <c r="J12" s="127" t="n">
        <v>6.967089925021306</v>
      </c>
      <c r="K12" s="127" t="n">
        <v>0.5308547536185869</v>
      </c>
      <c r="L12" s="127" t="n"/>
      <c r="M12" s="127" t="n">
        <v>-11.21559926416857</v>
      </c>
      <c r="N12" s="127" t="n"/>
      <c r="O12" s="127" t="n">
        <v>9.904431812533554</v>
      </c>
      <c r="P12" s="127" t="n"/>
      <c r="Q12" s="127" t="n">
        <v>0.0476986638492766</v>
      </c>
      <c r="R12" s="127" t="n">
        <v>-3.40409638697718</v>
      </c>
    </row>
    <row r="13">
      <c r="C13" s="112" t="n">
        <v>39630</v>
      </c>
      <c r="D13" s="112" t="n">
        <v>39660</v>
      </c>
      <c r="E13" s="126" t="inlineStr">
        <is>
          <t>grid_20qvjmd3.xlsx</t>
        </is>
      </c>
      <c r="F13" s="127" t="n">
        <v>8.362040505253745</v>
      </c>
      <c r="G13" s="127" t="n">
        <v>3.594296173643138</v>
      </c>
      <c r="H13" s="127" t="n">
        <v>-2.254211301710712</v>
      </c>
      <c r="I13" s="127" t="n">
        <v>-2.172142206798295</v>
      </c>
      <c r="J13" s="127" t="n">
        <v>10.29678269705123</v>
      </c>
      <c r="K13" s="127" t="n">
        <v>-0.5862460003906349</v>
      </c>
      <c r="L13" s="127" t="n"/>
      <c r="M13" s="127" t="n">
        <v>-13.30378432661391</v>
      </c>
      <c r="N13" s="127" t="n"/>
      <c r="O13" s="127" t="n">
        <v>6.055203584401029</v>
      </c>
      <c r="P13" s="127" t="n"/>
      <c r="Q13" s="127" t="n">
        <v>-1.629120048900799</v>
      </c>
      <c r="R13" s="127" t="n">
        <v>-0.3603518519331376</v>
      </c>
    </row>
    <row r="14">
      <c r="C14" s="112" t="n">
        <v>39661</v>
      </c>
      <c r="D14" s="112" t="n">
        <v>39689</v>
      </c>
      <c r="E14" s="126" t="inlineStr">
        <is>
          <t>grid_20qvjmd3.xlsx</t>
        </is>
      </c>
      <c r="F14" s="127" t="n">
        <v>0.06324047322728446</v>
      </c>
      <c r="G14" s="127" t="n">
        <v>-3.278997156932658</v>
      </c>
      <c r="H14" s="127" t="n">
        <v>-4.769044382769173</v>
      </c>
      <c r="I14" s="127" t="n">
        <v>0.1582100345528575</v>
      </c>
      <c r="J14" s="127" t="n">
        <v>7.655237480699418</v>
      </c>
      <c r="K14" s="127" t="n">
        <v>0.04264140890419096</v>
      </c>
      <c r="L14" s="127" t="n"/>
      <c r="M14" s="127" t="n">
        <v>0.2531704884241838</v>
      </c>
      <c r="N14" s="127" t="n"/>
      <c r="O14" s="127" t="n">
        <v>5.26153179455247</v>
      </c>
      <c r="P14" s="127" t="n">
        <v>79.46485149612084</v>
      </c>
      <c r="Q14" s="127" t="n">
        <v>4.035765697435195</v>
      </c>
      <c r="R14" s="127" t="n">
        <v>-0.2852630219077666</v>
      </c>
    </row>
    <row r="15">
      <c r="C15" s="112" t="n">
        <v>39692</v>
      </c>
      <c r="D15" s="112" t="n">
        <v>39721</v>
      </c>
      <c r="E15" s="126" t="inlineStr">
        <is>
          <t>grid_20qvjmd3.xlsx</t>
        </is>
      </c>
      <c r="F15" s="127" t="n">
        <v>13.07467104223579</v>
      </c>
      <c r="G15" s="127" t="n">
        <v>-7.441972565908564</v>
      </c>
      <c r="H15" s="127" t="n">
        <v>15.1786141947327</v>
      </c>
      <c r="I15" s="127" t="n">
        <v>13.0998571161049</v>
      </c>
      <c r="J15" s="127" t="n">
        <v>9.474746533074521</v>
      </c>
      <c r="K15" s="127" t="n">
        <v>-14.3879495332464</v>
      </c>
      <c r="L15" s="127" t="n"/>
      <c r="M15" s="127" t="n">
        <v>3.726332405137311</v>
      </c>
      <c r="N15" s="127" t="n"/>
      <c r="O15" s="127" t="n">
        <v>16.50075292695059</v>
      </c>
      <c r="P15" s="127" t="n"/>
      <c r="Q15" s="127" t="n">
        <v>16.47118472303603</v>
      </c>
      <c r="R15" s="127" t="n">
        <v>8.026986396552758</v>
      </c>
    </row>
    <row r="16">
      <c r="C16" s="112" t="n">
        <v>39722</v>
      </c>
      <c r="D16" s="112" t="n">
        <v>39752</v>
      </c>
      <c r="E16" s="126" t="inlineStr">
        <is>
          <t>grid_20qvjmd3.xlsx</t>
        </is>
      </c>
      <c r="F16" s="127" t="n">
        <v>12.1571324154743</v>
      </c>
      <c r="G16" s="127" t="n">
        <v>-12.29240027913457</v>
      </c>
      <c r="H16" s="127" t="n">
        <v>23.63153315999112</v>
      </c>
      <c r="I16" s="127" t="n">
        <v>12.08775335265109</v>
      </c>
      <c r="J16" s="127" t="n">
        <v>0.1958346853704268</v>
      </c>
      <c r="K16" s="127" t="n">
        <v>-18.7468121927118</v>
      </c>
      <c r="L16" s="127" t="n"/>
      <c r="M16" s="127" t="n">
        <v>15.55956595667283</v>
      </c>
      <c r="N16" s="127" t="n"/>
      <c r="O16" s="127" t="n">
        <v>17.12896499977588</v>
      </c>
      <c r="P16" s="127" t="n"/>
      <c r="Q16" s="127" t="n">
        <v>19.37368779135026</v>
      </c>
      <c r="R16" s="127" t="n">
        <v>4.322190492597181</v>
      </c>
    </row>
    <row r="17">
      <c r="C17" s="112" t="n">
        <v>39753</v>
      </c>
      <c r="D17" s="112" t="n">
        <v>39780</v>
      </c>
      <c r="E17" s="126" t="inlineStr">
        <is>
          <t>grid_20qvjmd3.xlsx</t>
        </is>
      </c>
      <c r="F17" s="127" t="n">
        <v>-2.120157226567846</v>
      </c>
      <c r="G17" s="127" t="n">
        <v>-14.82379771667171</v>
      </c>
      <c r="H17" s="127" t="n">
        <v>21.56783301465944</v>
      </c>
      <c r="I17" s="127" t="n">
        <v>9.701721391438989</v>
      </c>
      <c r="J17" s="127" t="n">
        <v>-4.110001363086973</v>
      </c>
      <c r="K17" s="127" t="n">
        <v>-16.90299578811376</v>
      </c>
      <c r="L17" s="127" t="n"/>
      <c r="M17" s="127" t="n">
        <v>0.3928220420469101</v>
      </c>
      <c r="N17" s="127" t="n"/>
      <c r="O17" s="127" t="n">
        <v>7.235976737716126</v>
      </c>
      <c r="P17" s="127" t="n"/>
      <c r="Q17" s="127" t="n">
        <v>17.60410016372148</v>
      </c>
      <c r="R17" s="127" t="n">
        <v>-1.959410235557647</v>
      </c>
    </row>
    <row r="18">
      <c r="C18" s="112" t="n">
        <v>39783</v>
      </c>
      <c r="D18" s="112" t="n">
        <v>39813</v>
      </c>
      <c r="E18" s="126" t="inlineStr">
        <is>
          <t>grid_20qvjmd3.xlsx</t>
        </is>
      </c>
      <c r="F18" s="127" t="n">
        <v>-25.24037337621235</v>
      </c>
      <c r="G18" s="127" t="n">
        <v>3.372264004461736</v>
      </c>
      <c r="H18" s="127" t="n">
        <v>4.398921485890182</v>
      </c>
      <c r="I18" s="127" t="n">
        <v>-2.432997358777769</v>
      </c>
      <c r="J18" s="127" t="n">
        <v>-22.03295621598225</v>
      </c>
      <c r="K18" s="127" t="n">
        <v>-5.17556846166167</v>
      </c>
      <c r="L18" s="127" t="n"/>
      <c r="M18" s="127" t="n">
        <v>1.280678430946868</v>
      </c>
      <c r="N18" s="127" t="n"/>
      <c r="O18" s="127" t="n">
        <v>-20.62860342756106</v>
      </c>
      <c r="P18" s="127" t="n"/>
      <c r="Q18" s="127" t="n">
        <v>13.48827437390312</v>
      </c>
      <c r="R18" s="127" t="n">
        <v>-13.67578427655694</v>
      </c>
    </row>
    <row r="19">
      <c r="C19" s="112" t="n">
        <v>39814</v>
      </c>
      <c r="D19" s="112" t="n">
        <v>39843</v>
      </c>
      <c r="E19" s="126" t="inlineStr">
        <is>
          <t>grid_20qvjmd3.xlsx</t>
        </is>
      </c>
      <c r="F19" s="127" t="n">
        <v>-17.28429864973241</v>
      </c>
      <c r="G19" s="127" t="n">
        <v>-1.801022264700022</v>
      </c>
      <c r="H19" s="127" t="n">
        <v>-7.122529467734676</v>
      </c>
      <c r="I19" s="127" t="n">
        <v>-2.476885281390543</v>
      </c>
      <c r="J19" s="127" t="n">
        <v>-24.94042444696098</v>
      </c>
      <c r="K19" s="127" t="n">
        <v>-18.71621371493025</v>
      </c>
      <c r="L19" s="127" t="n"/>
      <c r="M19" s="127" t="n">
        <v>-12.98220372363076</v>
      </c>
      <c r="N19" s="127" t="n"/>
      <c r="O19" s="127" t="n">
        <v>-37.07856716922259</v>
      </c>
      <c r="P19" s="127" t="n"/>
      <c r="Q19" s="127" t="n">
        <v>7.593489581433052</v>
      </c>
      <c r="R19" s="127" t="n">
        <v>-28.0775234043617</v>
      </c>
    </row>
    <row r="20">
      <c r="C20" s="112" t="n">
        <v>39845</v>
      </c>
      <c r="D20" s="112" t="n">
        <v>39871</v>
      </c>
      <c r="E20" s="126" t="inlineStr">
        <is>
          <t>grid_20qvjmd3.xlsx</t>
        </is>
      </c>
      <c r="F20" s="127" t="n">
        <v>-5.728397245922926</v>
      </c>
      <c r="G20" s="127" t="n">
        <v>6.033928589568268</v>
      </c>
      <c r="H20" s="127" t="n">
        <v>-13.28793967975318</v>
      </c>
      <c r="I20" s="127" t="n">
        <v>-9.840866556106372</v>
      </c>
      <c r="J20" s="127" t="n">
        <v>-21.38626865229453</v>
      </c>
      <c r="K20" s="127" t="n">
        <v>-19.57936341149927</v>
      </c>
      <c r="L20" s="127" t="n"/>
      <c r="M20" s="127" t="n">
        <v>-7.133818204377032</v>
      </c>
      <c r="N20" s="127" t="n"/>
      <c r="O20" s="127" t="n">
        <v>-36.62203190659437</v>
      </c>
      <c r="P20" s="127" t="n"/>
      <c r="Q20" s="127" t="n">
        <v>4.956678091342365</v>
      </c>
      <c r="R20" s="127" t="n">
        <v>-18.59239663370267</v>
      </c>
    </row>
    <row r="21">
      <c r="C21" s="112" t="n">
        <v>39873</v>
      </c>
      <c r="D21" s="112" t="n">
        <v>39903</v>
      </c>
      <c r="E21" s="126" t="inlineStr">
        <is>
          <t>grid_20qvjmd3.xlsx</t>
        </is>
      </c>
      <c r="F21" s="127" t="n">
        <v>-10.70048991321601</v>
      </c>
      <c r="G21" s="127" t="n">
        <v>-6.240132519430333</v>
      </c>
      <c r="H21" s="127" t="n">
        <v>-10.84048911657919</v>
      </c>
      <c r="I21" s="127" t="n">
        <v>-4.610534052639799</v>
      </c>
      <c r="J21" s="127" t="n">
        <v>-17.16101713031722</v>
      </c>
      <c r="K21" s="127" t="n">
        <v>-8.954532714537065</v>
      </c>
      <c r="L21" s="127" t="n"/>
      <c r="M21" s="127" t="n">
        <v>-5.751899203829884</v>
      </c>
      <c r="N21" s="127" t="n"/>
      <c r="O21" s="127" t="n">
        <v>-45.56351621503873</v>
      </c>
      <c r="P21" s="127" t="n"/>
      <c r="Q21" s="127" t="n">
        <v>5.604878640497626</v>
      </c>
      <c r="R21" s="127" t="n">
        <v>-49.9460045502108</v>
      </c>
    </row>
    <row r="22">
      <c r="C22" s="112" t="n">
        <v>39904</v>
      </c>
      <c r="D22" s="112" t="n">
        <v>39933</v>
      </c>
      <c r="E22" s="126" t="inlineStr">
        <is>
          <t>grid_20qvjmd3.xlsx</t>
        </is>
      </c>
      <c r="F22" s="127" t="n">
        <v>-19.54581886938448</v>
      </c>
      <c r="G22" s="127" t="n">
        <v>-1.66800986318882</v>
      </c>
      <c r="H22" s="127" t="n">
        <v>-3.922394268352129</v>
      </c>
      <c r="I22" s="127" t="n">
        <v>5.912865819338095</v>
      </c>
      <c r="J22" s="127" t="n">
        <v>-12.67164519718213</v>
      </c>
      <c r="K22" s="127" t="n">
        <v>11.84054863312934</v>
      </c>
      <c r="L22" s="127" t="n"/>
      <c r="M22" s="127" t="n">
        <v>-2.729653973216041</v>
      </c>
      <c r="N22" s="127" t="n"/>
      <c r="O22" s="127" t="n">
        <v>-37.23028891968818</v>
      </c>
      <c r="P22" s="127" t="n"/>
      <c r="Q22" s="127" t="n">
        <v>4.770394153801157</v>
      </c>
      <c r="R22" s="127" t="n">
        <v>-44.51870608868944</v>
      </c>
    </row>
    <row r="23">
      <c r="C23" s="112" t="n">
        <v>39934</v>
      </c>
      <c r="D23" s="112" t="n">
        <v>39962</v>
      </c>
      <c r="E23" s="126" t="inlineStr">
        <is>
          <t>grid_20qvjmd3.xlsx</t>
        </is>
      </c>
      <c r="F23" s="127" t="n">
        <v>-19.6308666488892</v>
      </c>
      <c r="G23" s="127" t="n">
        <v>-1.059313613466017</v>
      </c>
      <c r="H23" s="127" t="n">
        <v>3.328063144762226</v>
      </c>
      <c r="I23" s="127" t="n">
        <v>16.34761360400127</v>
      </c>
      <c r="J23" s="127" t="n">
        <v>-7.437386635802097</v>
      </c>
      <c r="K23" s="127" t="n">
        <v>11.23495954870769</v>
      </c>
      <c r="L23" s="127" t="n"/>
      <c r="M23" s="127" t="n">
        <v>-6.291527079428818</v>
      </c>
      <c r="N23" s="127" t="n"/>
      <c r="O23" s="127" t="n">
        <v>-45.17915414591817</v>
      </c>
      <c r="P23" s="127" t="n"/>
      <c r="Q23" s="127" t="n">
        <v>3.827519781848533</v>
      </c>
      <c r="R23" s="127" t="n">
        <v>-59.04352045170545</v>
      </c>
    </row>
    <row r="24">
      <c r="C24" s="112" t="n">
        <v>39965</v>
      </c>
      <c r="D24" s="112" t="n">
        <v>39994</v>
      </c>
      <c r="E24" s="126" t="inlineStr">
        <is>
          <t>grid_20qvjmd3.xlsx</t>
        </is>
      </c>
      <c r="F24" s="127" t="n">
        <v>-11.31742298598187</v>
      </c>
      <c r="G24" s="127" t="n">
        <v>5.344087575743861</v>
      </c>
      <c r="H24" s="127" t="n">
        <v>3.348983704487304</v>
      </c>
      <c r="I24" s="127" t="n">
        <v>15.08540554704588</v>
      </c>
      <c r="J24" s="127" t="n">
        <v>2.349491633092796</v>
      </c>
      <c r="K24" s="127" t="n">
        <v>4.427710008098096</v>
      </c>
      <c r="L24" s="127" t="n"/>
      <c r="M24" s="127" t="n">
        <v>-18.9685424296748</v>
      </c>
      <c r="N24" s="127" t="n"/>
      <c r="O24" s="127" t="n">
        <v>-27.9876018669441</v>
      </c>
      <c r="P24" s="127" t="n"/>
      <c r="Q24" s="127" t="n">
        <v>-4.525793114676728</v>
      </c>
      <c r="R24" s="127" t="n">
        <v>-18.69477251475898</v>
      </c>
    </row>
    <row r="25">
      <c r="C25" s="112" t="n">
        <v>39995</v>
      </c>
      <c r="D25" s="112" t="n">
        <v>40025</v>
      </c>
      <c r="E25" s="126" t="inlineStr">
        <is>
          <t>grid_20qvjmd3.xlsx</t>
        </is>
      </c>
      <c r="F25" s="127" t="n">
        <v>-5.796327318395663</v>
      </c>
      <c r="G25" s="127" t="n">
        <v>5.067627245997504</v>
      </c>
      <c r="H25" s="127" t="n">
        <v>5.677230553880971</v>
      </c>
      <c r="I25" s="127" t="n">
        <v>13.61074462370487</v>
      </c>
      <c r="J25" s="127" t="n">
        <v>7.12690087372798</v>
      </c>
      <c r="K25" s="127" t="n">
        <v>5.588149457164492</v>
      </c>
      <c r="L25" s="127" t="n"/>
      <c r="M25" s="127" t="n">
        <v>-17.07608846708569</v>
      </c>
      <c r="N25" s="127" t="n"/>
      <c r="O25" s="127" t="n">
        <v>-21.77552874764277</v>
      </c>
      <c r="P25" s="127" t="n"/>
      <c r="Q25" s="127" t="n">
        <v>-3.616350221909159</v>
      </c>
      <c r="R25" s="127" t="n">
        <v>-16.67927769328134</v>
      </c>
    </row>
    <row r="26">
      <c r="C26" s="112" t="n">
        <v>40026</v>
      </c>
      <c r="D26" s="112" t="n">
        <v>40056</v>
      </c>
      <c r="E26" s="126" t="inlineStr">
        <is>
          <t>grid_20qvjmd3.xlsx</t>
        </is>
      </c>
      <c r="F26" s="127" t="n">
        <v>-9.186808155218236</v>
      </c>
      <c r="G26" s="127" t="n">
        <v>4.855822143102135</v>
      </c>
      <c r="H26" s="127" t="n">
        <v>10.82612728831882</v>
      </c>
      <c r="I26" s="127" t="n">
        <v>12.06264155539225</v>
      </c>
      <c r="J26" s="127" t="n">
        <v>0.9319622260038428</v>
      </c>
      <c r="K26" s="127" t="n">
        <v>9.974323629199636</v>
      </c>
      <c r="L26" s="127" t="n"/>
      <c r="M26" s="127" t="n">
        <v>-10.69890051471358</v>
      </c>
      <c r="N26" s="127" t="n"/>
      <c r="O26" s="127" t="n">
        <v>-12.27554758743679</v>
      </c>
      <c r="P26" s="127" t="n"/>
      <c r="Q26" s="127" t="n">
        <v>-3.211053552415624</v>
      </c>
      <c r="R26" s="127" t="n">
        <v>-10.11756123314389</v>
      </c>
    </row>
    <row r="27">
      <c r="C27" s="112" t="n">
        <v>40057</v>
      </c>
      <c r="D27" s="112" t="n">
        <v>40086</v>
      </c>
      <c r="E27" s="126" t="inlineStr">
        <is>
          <t>grid_20qvjmd3.xlsx</t>
        </is>
      </c>
      <c r="F27" s="127" t="n">
        <v>2.951325489255795</v>
      </c>
      <c r="G27" s="127" t="n">
        <v>7.63046041283798</v>
      </c>
      <c r="H27" s="127" t="n">
        <v>10.32352752227379</v>
      </c>
      <c r="I27" s="127" t="n">
        <v>-11.15496067861975</v>
      </c>
      <c r="J27" s="127" t="n">
        <v>5.547508030660454</v>
      </c>
      <c r="K27" s="127" t="n">
        <v>11.97190806279337</v>
      </c>
      <c r="L27" s="127" t="n"/>
      <c r="M27" s="127" t="n">
        <v>6.464986782507083</v>
      </c>
      <c r="N27" s="127" t="n"/>
      <c r="O27" s="127" t="n">
        <v>4.425261059213949</v>
      </c>
      <c r="P27" s="127" t="n"/>
      <c r="Q27" s="127" t="n">
        <v>-1.977818202691341</v>
      </c>
      <c r="R27" s="127" t="n">
        <v>23.67321660983256</v>
      </c>
    </row>
    <row r="28">
      <c r="C28" s="112" t="n">
        <v>40087</v>
      </c>
      <c r="D28" s="112" t="n">
        <v>40116</v>
      </c>
      <c r="E28" s="126" t="inlineStr">
        <is>
          <t>grid_20qvjmd3.xlsx</t>
        </is>
      </c>
      <c r="F28" s="127" t="n">
        <v>11.63006470142311</v>
      </c>
      <c r="G28" s="127" t="n">
        <v>11.32929113437895</v>
      </c>
      <c r="H28" s="127" t="n">
        <v>24.05819428495178</v>
      </c>
      <c r="I28" s="127" t="n">
        <v>-4.039250664874357</v>
      </c>
      <c r="J28" s="127" t="n">
        <v>7.580483222100575</v>
      </c>
      <c r="K28" s="127" t="n">
        <v>11.62452496321975</v>
      </c>
      <c r="L28" s="127" t="n"/>
      <c r="M28" s="127" t="n">
        <v>7.021388565295035</v>
      </c>
      <c r="N28" s="127" t="n"/>
      <c r="O28" s="127" t="n">
        <v>13.39711410118097</v>
      </c>
      <c r="P28" s="127" t="n"/>
      <c r="Q28" s="127" t="n">
        <v>-10.83059733006667</v>
      </c>
      <c r="R28" s="127" t="n">
        <v>39.87784378264554</v>
      </c>
    </row>
    <row r="29">
      <c r="C29" s="112" t="n">
        <v>40118</v>
      </c>
      <c r="D29" s="112" t="n">
        <v>40147</v>
      </c>
      <c r="E29" s="126" t="inlineStr">
        <is>
          <t>grid_20qvjmd3.xlsx</t>
        </is>
      </c>
      <c r="F29" s="127" t="n">
        <v>18.87194539875267</v>
      </c>
      <c r="G29" s="127" t="n">
        <v>19.60317501930631</v>
      </c>
      <c r="H29" s="127" t="n">
        <v>19.48834563437286</v>
      </c>
      <c r="I29" s="127" t="n">
        <v>1.290624485549521</v>
      </c>
      <c r="J29" s="127" t="n">
        <v>13.00808263114227</v>
      </c>
      <c r="K29" s="127" t="n">
        <v>10.77964146204254</v>
      </c>
      <c r="L29" s="127" t="n"/>
      <c r="M29" s="127" t="n">
        <v>3.380456008498245</v>
      </c>
      <c r="N29" s="127" t="n"/>
      <c r="O29" s="127" t="n">
        <v>14.88813178441798</v>
      </c>
      <c r="P29" s="127" t="n"/>
      <c r="Q29" s="127" t="n">
        <v>-5.599287743871054</v>
      </c>
      <c r="R29" s="127" t="n">
        <v>56.54102659345045</v>
      </c>
    </row>
    <row r="30">
      <c r="C30" s="112" t="n">
        <v>40148</v>
      </c>
      <c r="D30" s="112" t="n">
        <v>40178</v>
      </c>
      <c r="E30" s="126" t="inlineStr">
        <is>
          <t>grid_20qvjmd3.xlsx</t>
        </is>
      </c>
      <c r="F30" s="127" t="n">
        <v>8.428448750367798</v>
      </c>
      <c r="G30" s="127" t="n">
        <v>13.64355669622577</v>
      </c>
      <c r="H30" s="127" t="n">
        <v>24.31933657215262</v>
      </c>
      <c r="I30" s="127" t="n">
        <v>16.95461487765131</v>
      </c>
      <c r="J30" s="127" t="n">
        <v>11.1909339576659</v>
      </c>
      <c r="K30" s="127" t="n">
        <v>9.617545813935061</v>
      </c>
      <c r="L30" s="127" t="n"/>
      <c r="M30" s="127" t="n">
        <v>-5.736344831880113</v>
      </c>
      <c r="N30" s="127" t="n"/>
      <c r="O30" s="127" t="n">
        <v>7.092318125710525</v>
      </c>
      <c r="P30" s="127" t="n"/>
      <c r="Q30" s="127" t="n">
        <v>-1.913582887579225</v>
      </c>
      <c r="R30" s="127" t="n">
        <v>14.46176295075839</v>
      </c>
    </row>
    <row r="31">
      <c r="C31" s="112" t="n">
        <v>40179</v>
      </c>
      <c r="D31" s="112" t="n">
        <v>40207</v>
      </c>
      <c r="E31" s="126" t="inlineStr">
        <is>
          <t>grid_20qvjmd3.xlsx</t>
        </is>
      </c>
      <c r="F31" s="127" t="n">
        <v>0.5519127003622458</v>
      </c>
      <c r="G31" s="127" t="n">
        <v>-8.153861823634092</v>
      </c>
      <c r="H31" s="127" t="n">
        <v>18.21263304543228</v>
      </c>
      <c r="I31" s="127" t="n">
        <v>2.332725484814658</v>
      </c>
      <c r="J31" s="127" t="n">
        <v>5.907549084095133</v>
      </c>
      <c r="K31" s="127" t="n">
        <v>1.205329169907887</v>
      </c>
      <c r="L31" s="127" t="n"/>
      <c r="M31" s="127" t="n">
        <v>-18.13814180240316</v>
      </c>
      <c r="N31" s="127" t="n"/>
      <c r="O31" s="127" t="n">
        <v>14.30160419022383</v>
      </c>
      <c r="P31" s="127" t="n"/>
      <c r="Q31" s="127" t="n">
        <v>10.10170163244443</v>
      </c>
      <c r="R31" s="127" t="n">
        <v>17.1907424055635</v>
      </c>
    </row>
    <row r="32">
      <c r="C32" s="112" t="n">
        <v>40210</v>
      </c>
      <c r="D32" s="112" t="n">
        <v>40235</v>
      </c>
      <c r="E32" s="126" t="inlineStr">
        <is>
          <t>grid_20qvjmd3.xlsx</t>
        </is>
      </c>
      <c r="F32" s="127" t="n">
        <v>-4.248165198717259</v>
      </c>
      <c r="G32" s="127" t="n">
        <v>-17.63503805364619</v>
      </c>
      <c r="H32" s="127" t="n">
        <v>19.84046927494341</v>
      </c>
      <c r="I32" s="127" t="n">
        <v>-5.387631389207058</v>
      </c>
      <c r="J32" s="127" t="n">
        <v>-1.887344991417405</v>
      </c>
      <c r="K32" s="127" t="n">
        <v>1.520974417028794</v>
      </c>
      <c r="L32" s="127" t="n"/>
      <c r="M32" s="127" t="n">
        <v>-18.95968859817626</v>
      </c>
      <c r="N32" s="127" t="n"/>
      <c r="O32" s="127" t="n">
        <v>17.37058726708215</v>
      </c>
      <c r="P32" s="127" t="n"/>
      <c r="Q32" s="127" t="n">
        <v>0.1293118881101085</v>
      </c>
      <c r="R32" s="127" t="n">
        <v>6.255624930374043</v>
      </c>
    </row>
    <row r="33">
      <c r="C33" s="112" t="n">
        <v>40238</v>
      </c>
      <c r="D33" s="112" t="n">
        <v>40268</v>
      </c>
      <c r="E33" s="126" t="inlineStr">
        <is>
          <t>grid_20qvjmd3.xlsx</t>
        </is>
      </c>
      <c r="F33" s="127" t="n">
        <v>7.93708747442955</v>
      </c>
      <c r="G33" s="127" t="n">
        <v>-17.44203906429869</v>
      </c>
      <c r="H33" s="127" t="n">
        <v>12.9894505077302</v>
      </c>
      <c r="I33" s="127" t="n">
        <v>-8.18510147144446</v>
      </c>
      <c r="J33" s="127" t="n">
        <v>-2.216795017690737</v>
      </c>
      <c r="K33" s="127" t="n">
        <v>1.924888646135059</v>
      </c>
      <c r="L33" s="127" t="n"/>
      <c r="M33" s="127" t="n">
        <v>-20.0055800454211</v>
      </c>
      <c r="N33" s="127" t="n"/>
      <c r="O33" s="127" t="n">
        <v>38.76868166726259</v>
      </c>
      <c r="P33" s="127" t="n"/>
      <c r="Q33" s="127" t="n">
        <v>8.293228535758406</v>
      </c>
      <c r="R33" s="127" t="n">
        <v>15.06649410429693</v>
      </c>
    </row>
    <row r="34">
      <c r="C34" s="112" t="n">
        <v>40269</v>
      </c>
      <c r="D34" s="112" t="n">
        <v>40298</v>
      </c>
      <c r="E34" s="126" t="inlineStr">
        <is>
          <t>grid_20qvjmd3.xlsx</t>
        </is>
      </c>
      <c r="F34" s="127" t="n">
        <v>12.91669085492038</v>
      </c>
      <c r="G34" s="127" t="n">
        <v>5.720353281787171</v>
      </c>
      <c r="H34" s="127" t="n">
        <v>6.342016339234307</v>
      </c>
      <c r="I34" s="127" t="n">
        <v>2.26909008744051</v>
      </c>
      <c r="J34" s="127" t="n">
        <v>2.139775578869717</v>
      </c>
      <c r="K34" s="127" t="n">
        <v>6.566981432278189</v>
      </c>
      <c r="L34" s="127" t="n"/>
      <c r="M34" s="127" t="n">
        <v>-7.459015226803658</v>
      </c>
      <c r="N34" s="127" t="n"/>
      <c r="O34" s="127" t="n">
        <v>30.62452455726248</v>
      </c>
      <c r="P34" s="127" t="n"/>
      <c r="Q34" s="127" t="n">
        <v>1.020139782693318</v>
      </c>
      <c r="R34" s="127" t="n">
        <v>5.151367193698699</v>
      </c>
    </row>
    <row r="35">
      <c r="C35" s="112" t="n">
        <v>40299</v>
      </c>
      <c r="D35" s="112" t="n">
        <v>40329</v>
      </c>
      <c r="E35" s="126" t="inlineStr">
        <is>
          <t>grid_20qvjmd3.xlsx</t>
        </is>
      </c>
      <c r="F35" s="127" t="n">
        <v>5.725962805004198</v>
      </c>
      <c r="G35" s="127" t="n">
        <v>1.158005792347734</v>
      </c>
      <c r="H35" s="127" t="n">
        <v>7.383815143449487</v>
      </c>
      <c r="I35" s="127" t="n">
        <v>-0.2317214999337445</v>
      </c>
      <c r="J35" s="127" t="n">
        <v>-4.406011745176562</v>
      </c>
      <c r="K35" s="127" t="n">
        <v>-10.61033719442408</v>
      </c>
      <c r="L35" s="127" t="n"/>
      <c r="M35" s="127" t="n">
        <v>-12.20253870626928</v>
      </c>
      <c r="N35" s="127" t="n"/>
      <c r="O35" s="127" t="n">
        <v>39.69062420278922</v>
      </c>
      <c r="P35" s="127" t="n"/>
      <c r="Q35" s="127" t="n">
        <v>8.570157484123072</v>
      </c>
      <c r="R35" s="127" t="n">
        <v>-13.53695226195007</v>
      </c>
    </row>
    <row r="36">
      <c r="C36" s="112" t="n">
        <v>40330</v>
      </c>
      <c r="D36" s="112" t="n">
        <v>40359</v>
      </c>
      <c r="E36" s="126" t="inlineStr">
        <is>
          <t>grid_20qvjmd3.xlsx</t>
        </is>
      </c>
      <c r="F36" s="127" t="n">
        <v>-7.775972097947038</v>
      </c>
      <c r="G36" s="127" t="n">
        <v>13.85175409858049</v>
      </c>
      <c r="H36" s="127" t="n">
        <v>10.59538165800886</v>
      </c>
      <c r="I36" s="127" t="n">
        <v>5.446706020199619</v>
      </c>
      <c r="J36" s="127" t="n">
        <v>-7.370329857376326</v>
      </c>
      <c r="K36" s="127" t="n">
        <v>-12.9027528944615</v>
      </c>
      <c r="L36" s="127" t="n"/>
      <c r="M36" s="127" t="n">
        <v>-6.414105728959927</v>
      </c>
      <c r="N36" s="127" t="n"/>
      <c r="O36" s="127" t="n">
        <v>18.8571456956375</v>
      </c>
      <c r="P36" s="127" t="n"/>
      <c r="Q36" s="127" t="n">
        <v>-5.61089112811383</v>
      </c>
      <c r="R36" s="127" t="n">
        <v>-1.487005460021903</v>
      </c>
    </row>
    <row r="37">
      <c r="C37" s="112" t="n">
        <v>40360</v>
      </c>
      <c r="D37" s="112" t="n">
        <v>40389</v>
      </c>
      <c r="E37" s="126" t="inlineStr">
        <is>
          <t>grid_20qvjmd3.xlsx</t>
        </is>
      </c>
      <c r="F37" s="127" t="n">
        <v>-8.032566064288135</v>
      </c>
      <c r="G37" s="127" t="n">
        <v>3.281815012335108</v>
      </c>
      <c r="H37" s="127" t="n">
        <v>13.69253173922916</v>
      </c>
      <c r="I37" s="127" t="n">
        <v>5.2286321354659</v>
      </c>
      <c r="J37" s="127" t="n">
        <v>-9.144247259961949</v>
      </c>
      <c r="K37" s="127" t="n">
        <v>-7.090709792099672</v>
      </c>
      <c r="L37" s="127" t="n"/>
      <c r="M37" s="127" t="n">
        <v>-6.115884213474135</v>
      </c>
      <c r="N37" s="127" t="n"/>
      <c r="O37" s="127" t="n">
        <v>19.44750282052012</v>
      </c>
      <c r="P37" s="127" t="n"/>
      <c r="Q37" s="127" t="n">
        <v>0.8363020865056452</v>
      </c>
      <c r="R37" s="127" t="n">
        <v>-4.145744576720039</v>
      </c>
    </row>
    <row r="38">
      <c r="C38" s="112" t="n">
        <v>40391</v>
      </c>
      <c r="D38" s="112" t="n">
        <v>40421</v>
      </c>
      <c r="E38" s="126" t="inlineStr">
        <is>
          <t>grid_20qvjmd3.xlsx</t>
        </is>
      </c>
      <c r="F38" s="127" t="n">
        <v>1.899531228989601</v>
      </c>
      <c r="G38" s="127" t="n">
        <v>13.69650915772188</v>
      </c>
      <c r="H38" s="127" t="n">
        <v>13.91632003800292</v>
      </c>
      <c r="I38" s="127" t="n">
        <v>8.855834616071219</v>
      </c>
      <c r="J38" s="127" t="n">
        <v>-3.975740412815038</v>
      </c>
      <c r="K38" s="127" t="n">
        <v>6.124560826735729</v>
      </c>
      <c r="L38" s="127" t="n"/>
      <c r="M38" s="127" t="n">
        <v>3.896225525550084</v>
      </c>
      <c r="N38" s="127" t="n"/>
      <c r="O38" s="127" t="n">
        <v>18.07793388146085</v>
      </c>
      <c r="P38" s="127" t="n"/>
      <c r="Q38" s="127" t="n">
        <v>-1.482395402722654</v>
      </c>
      <c r="R38" s="127" t="n">
        <v>8.517368707745449</v>
      </c>
    </row>
    <row r="39">
      <c r="C39" s="112" t="n">
        <v>40422</v>
      </c>
      <c r="D39" s="112" t="n">
        <v>40451</v>
      </c>
      <c r="E39" s="126" t="inlineStr">
        <is>
          <t>grid_20qvjmd3.xlsx</t>
        </is>
      </c>
      <c r="F39" s="127" t="n">
        <v>13.34736649505233</v>
      </c>
      <c r="G39" s="127" t="n">
        <v>2.449573312163263</v>
      </c>
      <c r="H39" s="127" t="n">
        <v>12.42454366601742</v>
      </c>
      <c r="I39" s="127" t="n">
        <v>-6.058088008372983</v>
      </c>
      <c r="J39" s="127" t="n">
        <v>-5.199234464055641</v>
      </c>
      <c r="K39" s="127" t="n">
        <v>13.18088383629864</v>
      </c>
      <c r="L39" s="127" t="n"/>
      <c r="M39" s="127" t="n">
        <v>10.74143294080691</v>
      </c>
      <c r="N39" s="127" t="n"/>
      <c r="O39" s="127" t="n">
        <v>22.45672551641026</v>
      </c>
      <c r="P39" s="127" t="n"/>
      <c r="Q39" s="127" t="n">
        <v>4.372159524777318</v>
      </c>
      <c r="R39" s="127" t="n">
        <v>0.3342215559491507</v>
      </c>
    </row>
    <row r="40">
      <c r="C40" s="112" t="n">
        <v>40452</v>
      </c>
      <c r="D40" s="112" t="n">
        <v>40480</v>
      </c>
      <c r="E40" s="126" t="inlineStr">
        <is>
          <t>grid_20qvjmd3.xlsx</t>
        </is>
      </c>
      <c r="F40" s="127" t="n">
        <v>13.2119231277068</v>
      </c>
      <c r="G40" s="127" t="n">
        <v>28.88140827664774</v>
      </c>
      <c r="H40" s="127" t="n">
        <v>12.42812097765529</v>
      </c>
      <c r="I40" s="127" t="n">
        <v>-1.246454290979443</v>
      </c>
      <c r="J40" s="127" t="n">
        <v>-4.365914348217808</v>
      </c>
      <c r="K40" s="127" t="n">
        <v>9.940493863348802</v>
      </c>
      <c r="L40" s="127" t="n"/>
      <c r="M40" s="127" t="n">
        <v>16.84165269816529</v>
      </c>
      <c r="N40" s="127" t="n"/>
      <c r="O40" s="127" t="n">
        <v>19.79183224521495</v>
      </c>
      <c r="P40" s="127" t="n"/>
      <c r="Q40" s="127" t="n">
        <v>3.530270980600245</v>
      </c>
      <c r="R40" s="127" t="n">
        <v>0.5030895178660862</v>
      </c>
    </row>
    <row r="41">
      <c r="C41" s="112" t="n">
        <v>40483</v>
      </c>
      <c r="D41" s="112" t="n">
        <v>40512</v>
      </c>
      <c r="E41" s="126" t="inlineStr">
        <is>
          <t>grid_20qvjmd3.xlsx</t>
        </is>
      </c>
      <c r="F41" s="127" t="n">
        <v>13.71213133114892</v>
      </c>
      <c r="G41" s="127" t="n">
        <v>28.09228519129057</v>
      </c>
      <c r="H41" s="127" t="n">
        <v>10.56409204390354</v>
      </c>
      <c r="I41" s="127" t="n">
        <v>-1.389566558219968</v>
      </c>
      <c r="J41" s="127" t="n">
        <v>2.030515076503776</v>
      </c>
      <c r="K41" s="127" t="n">
        <v>11.55041814719265</v>
      </c>
      <c r="L41" s="127" t="n"/>
      <c r="M41" s="127" t="n">
        <v>20.80618389658066</v>
      </c>
      <c r="N41" s="127" t="n"/>
      <c r="O41" s="127" t="n">
        <v>15.62957130173759</v>
      </c>
      <c r="P41" s="127" t="n"/>
      <c r="Q41" s="127" t="n">
        <v>3.965419339857687</v>
      </c>
      <c r="R41" s="127" t="n">
        <v>5.072617996291163</v>
      </c>
    </row>
    <row r="42">
      <c r="C42" s="112" t="n">
        <v>40513</v>
      </c>
      <c r="D42" s="112" t="n">
        <v>40543</v>
      </c>
      <c r="E42" s="126" t="inlineStr">
        <is>
          <t>grid_20qvjmd3.xlsx</t>
        </is>
      </c>
      <c r="F42" s="127" t="n">
        <v>9.927922747314</v>
      </c>
      <c r="G42" s="127" t="n">
        <v>28.5318450771667</v>
      </c>
      <c r="H42" s="127" t="n">
        <v>10.92219591709592</v>
      </c>
      <c r="I42" s="127" t="n">
        <v>16.04841970011232</v>
      </c>
      <c r="J42" s="127" t="n">
        <v>9.405052651645489</v>
      </c>
      <c r="K42" s="127" t="n">
        <v>5.880276129502368</v>
      </c>
      <c r="L42" s="127" t="n"/>
      <c r="M42" s="127" t="n">
        <v>23.17918045619334</v>
      </c>
      <c r="N42" s="127" t="n"/>
      <c r="O42" s="127" t="n">
        <v>10.54309027849524</v>
      </c>
      <c r="P42" s="127" t="n"/>
      <c r="Q42" s="127" t="n">
        <v>-5.913073881704318</v>
      </c>
      <c r="R42" s="127" t="n">
        <v>0.8878880136936724</v>
      </c>
    </row>
    <row r="43">
      <c r="C43" s="112" t="n">
        <v>40544</v>
      </c>
      <c r="D43" s="112" t="n">
        <v>40574</v>
      </c>
      <c r="E43" s="126" t="inlineStr">
        <is>
          <t>grid_u4lflnxf.xlsx</t>
        </is>
      </c>
      <c r="F43" s="127" t="n">
        <v>12.81955151489702</v>
      </c>
      <c r="G43" s="127" t="n">
        <v>12.05487420976502</v>
      </c>
      <c r="H43" s="127" t="n">
        <v>8.748804703218724</v>
      </c>
      <c r="I43" s="127" t="n">
        <v>-1.769530954753853</v>
      </c>
      <c r="J43" s="127" t="n">
        <v>5.929174799869321</v>
      </c>
      <c r="K43" s="127" t="n">
        <v>7.330807423454227</v>
      </c>
      <c r="L43" s="127" t="n"/>
      <c r="M43" s="127" t="n">
        <v>18.98266866093595</v>
      </c>
      <c r="N43" s="127" t="n"/>
      <c r="O43" s="127" t="n">
        <v>8.738170177403697</v>
      </c>
      <c r="P43" s="127" t="n"/>
      <c r="Q43" s="127" t="n">
        <v>-6.152738939869089</v>
      </c>
      <c r="R43" s="127" t="n">
        <v>7.192662758041228</v>
      </c>
    </row>
    <row r="44">
      <c r="C44" s="112" t="n">
        <v>40575</v>
      </c>
      <c r="D44" s="112" t="n">
        <v>40602</v>
      </c>
      <c r="E44" s="126" t="inlineStr">
        <is>
          <t>grid_u4lflnxf.xlsx</t>
        </is>
      </c>
      <c r="F44" s="127" t="n">
        <v>11.10955672610653</v>
      </c>
      <c r="G44" s="127" t="n">
        <v>8.306323772162667</v>
      </c>
      <c r="H44" s="127" t="n">
        <v>6.851631333271214</v>
      </c>
      <c r="I44" s="127" t="n">
        <v>-4.700290839229417</v>
      </c>
      <c r="J44" s="127" t="n">
        <v>1.315392153439019</v>
      </c>
      <c r="K44" s="127" t="n">
        <v>7.738909335817437</v>
      </c>
      <c r="L44" s="127" t="n"/>
      <c r="M44" s="127" t="n">
        <v>14.36327094056305</v>
      </c>
      <c r="N44" s="127" t="n"/>
      <c r="O44" s="127" t="n">
        <v>5.525230954974147</v>
      </c>
      <c r="P44" s="127" t="n"/>
      <c r="Q44" s="127" t="n">
        <v>1.181028348061617</v>
      </c>
      <c r="R44" s="127" t="n">
        <v>7.496143119264064</v>
      </c>
    </row>
    <row r="45">
      <c r="C45" s="112" t="n">
        <v>40603</v>
      </c>
      <c r="D45" s="112" t="n">
        <v>40633</v>
      </c>
      <c r="E45" s="126" t="inlineStr">
        <is>
          <t>grid_u4lflnxf.xlsx</t>
        </is>
      </c>
      <c r="F45" s="127" t="n">
        <v>4.767769110936255</v>
      </c>
      <c r="G45" s="127" t="n">
        <v>9.0151179793596</v>
      </c>
      <c r="H45" s="127" t="n">
        <v>2.394586860039959</v>
      </c>
      <c r="I45" s="127" t="n">
        <v>-5.892524201005509</v>
      </c>
      <c r="J45" s="127" t="n">
        <v>-3.292999303025594</v>
      </c>
      <c r="K45" s="127" t="n">
        <v>6.383376418793177</v>
      </c>
      <c r="L45" s="127" t="n"/>
      <c r="M45" s="127" t="n">
        <v>2.636308645295728</v>
      </c>
      <c r="N45" s="127" t="n"/>
      <c r="O45" s="127" t="n">
        <v>2.514345541234433</v>
      </c>
      <c r="P45" s="127" t="n"/>
      <c r="Q45" s="127" t="n">
        <v>5.741267119729973</v>
      </c>
      <c r="R45" s="127" t="n">
        <v>3.56592715668004</v>
      </c>
    </row>
    <row r="46">
      <c r="C46" s="112" t="n">
        <v>40634</v>
      </c>
      <c r="D46" s="112" t="n">
        <v>40662</v>
      </c>
      <c r="E46" s="126" t="inlineStr">
        <is>
          <t>grid_u4lflnxf.xlsx</t>
        </is>
      </c>
      <c r="F46" s="127" t="n">
        <v>-0.02103546440409518</v>
      </c>
      <c r="G46" s="127" t="n">
        <v>9.308596136787834</v>
      </c>
      <c r="H46" s="127" t="n">
        <v>-5.396352915460779</v>
      </c>
      <c r="I46" s="127" t="n">
        <v>7.512587178366453</v>
      </c>
      <c r="J46" s="127" t="n">
        <v>0.7510057090229495</v>
      </c>
      <c r="K46" s="127" t="n">
        <v>1.488582487198215</v>
      </c>
      <c r="L46" s="127" t="n">
        <v>1.265944269592969</v>
      </c>
      <c r="M46" s="127" t="n">
        <v>8.107194781061052</v>
      </c>
      <c r="N46" s="127" t="n"/>
      <c r="O46" s="127" t="n">
        <v>6.161178108325267</v>
      </c>
      <c r="P46" s="127" t="n"/>
      <c r="Q46" s="127" t="n">
        <v>1.919838523643484</v>
      </c>
      <c r="R46" s="127" t="n">
        <v>0.2448569071027809</v>
      </c>
    </row>
    <row r="47">
      <c r="C47" s="112" t="n">
        <v>40664</v>
      </c>
      <c r="D47" s="112" t="n">
        <v>40694</v>
      </c>
      <c r="E47" s="126" t="inlineStr">
        <is>
          <t>grid_u4lflnxf.xlsx</t>
        </is>
      </c>
      <c r="F47" s="127" t="n">
        <v>-7.201217173718574</v>
      </c>
      <c r="G47" s="127" t="n">
        <v>14.54706051267862</v>
      </c>
      <c r="H47" s="127" t="n">
        <v>-4.350269535235111</v>
      </c>
      <c r="I47" s="127" t="n">
        <v>21.30026532329625</v>
      </c>
      <c r="J47" s="127" t="n">
        <v>-0.5063024926811993</v>
      </c>
      <c r="K47" s="127" t="n">
        <v>-8.97084171320626</v>
      </c>
      <c r="L47" s="127" t="n">
        <v>-0.2632546009449173</v>
      </c>
      <c r="M47" s="127" t="n">
        <v>4.837401740223022</v>
      </c>
      <c r="N47" s="127" t="n"/>
      <c r="O47" s="127" t="n">
        <v>0.244296283810965</v>
      </c>
      <c r="P47" s="127" t="n"/>
      <c r="Q47" s="127" t="n">
        <v>-8.114934635471741</v>
      </c>
      <c r="R47" s="127" t="n">
        <v>-5.718412983959412</v>
      </c>
    </row>
    <row r="48">
      <c r="C48" s="112" t="n">
        <v>40695</v>
      </c>
      <c r="D48" s="112" t="n">
        <v>40724</v>
      </c>
      <c r="E48" s="126" t="inlineStr">
        <is>
          <t>grid_u4lflnxf.xlsx</t>
        </is>
      </c>
      <c r="F48" s="127" t="n">
        <v>1.586078838522801</v>
      </c>
      <c r="G48" s="127" t="n">
        <v>70.23982472303136</v>
      </c>
      <c r="H48" s="127" t="n">
        <v>-3.571412948578393</v>
      </c>
      <c r="I48" s="127" t="n">
        <v>21.42602916071906</v>
      </c>
      <c r="J48" s="127" t="n">
        <v>4.49765713902852</v>
      </c>
      <c r="K48" s="127" t="n">
        <v>6.164846793045628</v>
      </c>
      <c r="L48" s="127" t="n">
        <v>-4.543667396663835</v>
      </c>
      <c r="M48" s="127" t="n">
        <v>2.266476423230501</v>
      </c>
      <c r="N48" s="127" t="n"/>
      <c r="O48" s="127" t="n">
        <v>6.306839225632954</v>
      </c>
      <c r="P48" s="127" t="n"/>
      <c r="Q48" s="127" t="n">
        <v>-2.732583593830728</v>
      </c>
      <c r="R48" s="127" t="n">
        <v>-26.16453568367014</v>
      </c>
    </row>
    <row r="49">
      <c r="C49" s="112" t="n">
        <v>40725</v>
      </c>
      <c r="D49" s="112" t="n">
        <v>40753</v>
      </c>
      <c r="E49" s="126" t="inlineStr">
        <is>
          <t>grid_u4lflnxf.xlsx</t>
        </is>
      </c>
      <c r="F49" s="127" t="n">
        <v>6.662615475523821</v>
      </c>
      <c r="G49" s="127" t="n">
        <v>86.25959837602002</v>
      </c>
      <c r="H49" s="127" t="n">
        <v>2.007767967607758</v>
      </c>
      <c r="I49" s="127" t="n">
        <v>16.75536965178593</v>
      </c>
      <c r="J49" s="127" t="n">
        <v>7.852392789080708</v>
      </c>
      <c r="K49" s="127" t="n">
        <v>5.92753625116155</v>
      </c>
      <c r="L49" s="127" t="n">
        <v>-2.862740442521936</v>
      </c>
      <c r="M49" s="127" t="n">
        <v>-8.362743136280461</v>
      </c>
      <c r="N49" s="127" t="n"/>
      <c r="O49" s="127" t="n">
        <v>5.589096211041091</v>
      </c>
      <c r="P49" s="127" t="n"/>
      <c r="Q49" s="127" t="n">
        <v>-2.673685437521458</v>
      </c>
      <c r="R49" s="127" t="n">
        <v>-34.08385042373162</v>
      </c>
    </row>
    <row r="50">
      <c r="C50" s="112" t="n">
        <v>40756</v>
      </c>
      <c r="D50" s="112" t="n">
        <v>40786</v>
      </c>
      <c r="E50" s="126" t="inlineStr">
        <is>
          <t>grid_u4lflnxf.xlsx</t>
        </is>
      </c>
      <c r="F50" s="127" t="n">
        <v>7.568321809741363</v>
      </c>
      <c r="G50" s="127" t="n">
        <v>81.91061932679146</v>
      </c>
      <c r="H50" s="127" t="n">
        <v>-2.747379448264361</v>
      </c>
      <c r="I50" s="127" t="n">
        <v>17.39842240593234</v>
      </c>
      <c r="J50" s="127" t="n">
        <v>14.70425357947673</v>
      </c>
      <c r="K50" s="127" t="n">
        <v>11.36394194060748</v>
      </c>
      <c r="L50" s="127" t="n">
        <v>-23.21510035253656</v>
      </c>
      <c r="M50" s="127" t="n">
        <v>-5.795470548375243</v>
      </c>
      <c r="N50" s="127" t="n"/>
      <c r="O50" s="127" t="n">
        <v>3.807791033184303</v>
      </c>
      <c r="P50" s="127" t="n"/>
      <c r="Q50" s="127" t="n">
        <v>3.140094169843668</v>
      </c>
      <c r="R50" s="127" t="n">
        <v>-32.1484712857637</v>
      </c>
    </row>
    <row r="51">
      <c r="C51" s="112" t="n">
        <v>40787</v>
      </c>
      <c r="D51" s="112" t="n">
        <v>40816</v>
      </c>
      <c r="E51" s="126" t="inlineStr">
        <is>
          <t>grid_u4lflnxf.xlsx</t>
        </is>
      </c>
      <c r="F51" s="127" t="n">
        <v>-0.4861661003992697</v>
      </c>
      <c r="G51" s="127" t="n">
        <v>21.0177571930593</v>
      </c>
      <c r="H51" s="127" t="n">
        <v>-3.245214553395504</v>
      </c>
      <c r="I51" s="127" t="n">
        <v>17.95797257285166</v>
      </c>
      <c r="J51" s="127" t="n">
        <v>0.3294719077107813</v>
      </c>
      <c r="K51" s="127" t="n">
        <v>0.7851520543569138</v>
      </c>
      <c r="L51" s="127" t="n">
        <v>-26.44458233901536</v>
      </c>
      <c r="M51" s="127" t="n">
        <v>-8.69641882098165</v>
      </c>
      <c r="N51" s="127" t="n"/>
      <c r="O51" s="127" t="n">
        <v>-5.628016470183934</v>
      </c>
      <c r="P51" s="127" t="n"/>
      <c r="Q51" s="127" t="n">
        <v>3.326115307266934</v>
      </c>
      <c r="R51" s="127" t="n">
        <v>-5.397978374192626</v>
      </c>
    </row>
    <row r="52">
      <c r="C52" s="112" t="n">
        <v>40817</v>
      </c>
      <c r="D52" s="112" t="n">
        <v>40847</v>
      </c>
      <c r="E52" s="126" t="inlineStr">
        <is>
          <t>grid_u4lflnxf.xlsx</t>
        </is>
      </c>
      <c r="F52" s="127" t="n">
        <v>-8.870355044887877</v>
      </c>
      <c r="G52" s="127" t="n">
        <v>1.61346921570736</v>
      </c>
      <c r="H52" s="127" t="n">
        <v>-4.494644292584439</v>
      </c>
      <c r="I52" s="127" t="n">
        <v>15.20105761969502</v>
      </c>
      <c r="J52" s="127" t="n">
        <v>-10.88927792094778</v>
      </c>
      <c r="K52" s="127" t="n">
        <v>1.290197050887658</v>
      </c>
      <c r="L52" s="127" t="n">
        <v>-35.2732445962345</v>
      </c>
      <c r="M52" s="127" t="n">
        <v>-5.76692138994275</v>
      </c>
      <c r="N52" s="127" t="n"/>
      <c r="O52" s="127" t="n">
        <v>-13.46539651191652</v>
      </c>
      <c r="P52" s="127" t="n"/>
      <c r="Q52" s="127" t="n">
        <v>3.452073084207433</v>
      </c>
      <c r="R52" s="127" t="n">
        <v>3.296292323986622</v>
      </c>
    </row>
    <row r="53">
      <c r="C53" s="112" t="n">
        <v>40848</v>
      </c>
      <c r="D53" s="112" t="n">
        <v>40877</v>
      </c>
      <c r="E53" s="126" t="inlineStr">
        <is>
          <t>grid_u4lflnxf.xlsx</t>
        </is>
      </c>
      <c r="F53" s="127" t="n">
        <v>-2.757096150888306</v>
      </c>
      <c r="G53" s="127" t="n">
        <v>3.127215951094465</v>
      </c>
      <c r="H53" s="127" t="n">
        <v>-0.2935145225335458</v>
      </c>
      <c r="I53" s="127" t="n">
        <v>0.3726759174709787</v>
      </c>
      <c r="J53" s="127" t="n">
        <v>-10.60874552116154</v>
      </c>
      <c r="K53" s="127" t="n">
        <v>4.254079021455904</v>
      </c>
      <c r="L53" s="127" t="n">
        <v>-40.47784343264071</v>
      </c>
      <c r="M53" s="127" t="n">
        <v>1.307039392371869</v>
      </c>
      <c r="N53" s="127" t="n"/>
      <c r="O53" s="127" t="n">
        <v>-8.478907234902868</v>
      </c>
      <c r="P53" s="127" t="n"/>
      <c r="Q53" s="127" t="n">
        <v>-1.915026508606347</v>
      </c>
      <c r="R53" s="127" t="n">
        <v>12.479533674233</v>
      </c>
    </row>
    <row r="54">
      <c r="C54" s="112" t="n">
        <v>40878</v>
      </c>
      <c r="D54" s="112" t="n">
        <v>40907</v>
      </c>
      <c r="E54" s="126" t="inlineStr">
        <is>
          <t>grid_u4lflnxf.xlsx</t>
        </is>
      </c>
      <c r="F54" s="127" t="n">
        <v>-5.437012468633058</v>
      </c>
      <c r="G54" s="127" t="n">
        <v>5.58351738918595</v>
      </c>
      <c r="H54" s="127" t="n">
        <v>7.994141327200049</v>
      </c>
      <c r="I54" s="127" t="n">
        <v>2.257569659635113</v>
      </c>
      <c r="J54" s="127" t="n">
        <v>-5.029790401333416</v>
      </c>
      <c r="K54" s="127" t="n">
        <v>0.6086858100070415</v>
      </c>
      <c r="L54" s="127" t="n">
        <v>-31.68644362737809</v>
      </c>
      <c r="M54" s="127" t="n">
        <v>12.98145787067824</v>
      </c>
      <c r="N54" s="127" t="n"/>
      <c r="O54" s="127" t="n">
        <v>-8.20242947649022</v>
      </c>
      <c r="P54" s="127" t="n">
        <v>5.332786147730201</v>
      </c>
      <c r="Q54" s="127" t="n">
        <v>-4.374784893667457</v>
      </c>
      <c r="R54" s="127" t="n">
        <v>8.217811896503905</v>
      </c>
    </row>
    <row r="55">
      <c r="C55" s="112" t="n">
        <v>40909</v>
      </c>
      <c r="D55" s="112" t="n">
        <v>40939</v>
      </c>
      <c r="E55" s="126" t="inlineStr">
        <is>
          <t>grid_u4lflnxf.xlsx</t>
        </is>
      </c>
      <c r="F55" s="127" t="n">
        <v>-7.744098250112195</v>
      </c>
      <c r="G55" s="127" t="n">
        <v>-2.316123805427695</v>
      </c>
      <c r="H55" s="127" t="n">
        <v>-2.654199450374196</v>
      </c>
      <c r="I55" s="127" t="n">
        <v>10.68380727486397</v>
      </c>
      <c r="J55" s="127" t="n">
        <v>-0.04560169931742697</v>
      </c>
      <c r="K55" s="127" t="n">
        <v>2.187936238976156</v>
      </c>
      <c r="L55" s="127" t="n">
        <v>-21.30535409226161</v>
      </c>
      <c r="M55" s="127" t="n">
        <v>10.16823273223877</v>
      </c>
      <c r="N55" s="127" t="n"/>
      <c r="O55" s="127" t="n">
        <v>-7.378571911737082</v>
      </c>
      <c r="P55" s="127" t="n">
        <v>2.235222636342508</v>
      </c>
      <c r="Q55" s="127" t="n">
        <v>-0.9007979615744941</v>
      </c>
      <c r="R55" s="127" t="n">
        <v>6.581805454389728</v>
      </c>
    </row>
    <row r="56">
      <c r="C56" s="112" t="n">
        <v>40940</v>
      </c>
      <c r="D56" s="112" t="n">
        <v>40968</v>
      </c>
      <c r="E56" s="126" t="inlineStr">
        <is>
          <t>grid_u4lflnxf.xlsx</t>
        </is>
      </c>
      <c r="F56" s="127" t="n">
        <v>-20.43570858839727</v>
      </c>
      <c r="G56" s="127" t="n">
        <v>-6.692985704627207</v>
      </c>
      <c r="H56" s="127" t="n">
        <v>-8.658062599730874</v>
      </c>
      <c r="I56" s="127" t="n">
        <v>8.513358844184538</v>
      </c>
      <c r="J56" s="127" t="n">
        <v>-11.19859036567747</v>
      </c>
      <c r="K56" s="127" t="n">
        <v>1.26435037034535</v>
      </c>
      <c r="L56" s="127" t="n">
        <v>8.703059680476349</v>
      </c>
      <c r="M56" s="127" t="n">
        <v>4.628682637401015</v>
      </c>
      <c r="N56" s="127" t="n"/>
      <c r="O56" s="127" t="n">
        <v>-20.85086653445328</v>
      </c>
      <c r="P56" s="127" t="n">
        <v>1.989637545476348</v>
      </c>
      <c r="Q56" s="127" t="n">
        <v>3.562854629589081</v>
      </c>
      <c r="R56" s="127" t="n">
        <v>3.175369923056839</v>
      </c>
    </row>
    <row r="57">
      <c r="C57" s="112" t="n">
        <v>40969</v>
      </c>
      <c r="D57" s="112" t="n">
        <v>40998</v>
      </c>
      <c r="E57" s="126" t="inlineStr">
        <is>
          <t>grid_u4lflnxf.xlsx</t>
        </is>
      </c>
      <c r="F57" s="127" t="n">
        <v>-18.10783432905783</v>
      </c>
      <c r="G57" s="127" t="n">
        <v>-6.180484495914121</v>
      </c>
      <c r="H57" s="127" t="n">
        <v>-16.17762670502274</v>
      </c>
      <c r="I57" s="127" t="n">
        <v>9.30491992444367</v>
      </c>
      <c r="J57" s="127" t="n">
        <v>-6.403373417617633</v>
      </c>
      <c r="K57" s="127" t="n">
        <v>0.8785239066478989</v>
      </c>
      <c r="L57" s="127" t="n">
        <v>9.045524048734208</v>
      </c>
      <c r="M57" s="127" t="n">
        <v>5.603177177845802</v>
      </c>
      <c r="N57" s="127" t="n"/>
      <c r="O57" s="127" t="n">
        <v>-18.21643431074598</v>
      </c>
      <c r="P57" s="127" t="n">
        <v>4.527353030826027</v>
      </c>
      <c r="Q57" s="127" t="n">
        <v>2.440815204449732</v>
      </c>
      <c r="R57" s="127" t="n">
        <v>4.364063463264682</v>
      </c>
    </row>
    <row r="58">
      <c r="C58" s="112" t="n">
        <v>41000</v>
      </c>
      <c r="D58" s="112" t="n">
        <v>41029</v>
      </c>
      <c r="E58" s="126" t="inlineStr">
        <is>
          <t>grid_u4lflnxf.xlsx</t>
        </is>
      </c>
      <c r="F58" s="127" t="n">
        <v>-12.44691704363737</v>
      </c>
      <c r="G58" s="127" t="n">
        <v>-28.33571442335979</v>
      </c>
      <c r="H58" s="127" t="n">
        <v>-7.781140705709482</v>
      </c>
      <c r="I58" s="127" t="n">
        <v>5.968775447942542</v>
      </c>
      <c r="J58" s="127" t="n">
        <v>-6.5742492708685</v>
      </c>
      <c r="K58" s="127" t="n">
        <v>-3.732278143142871</v>
      </c>
      <c r="L58" s="127" t="n">
        <v>6.713182337064285</v>
      </c>
      <c r="M58" s="127" t="n">
        <v>15.88235989451937</v>
      </c>
      <c r="N58" s="127" t="n"/>
      <c r="O58" s="127" t="n">
        <v>-14.58957671537739</v>
      </c>
      <c r="P58" s="127" t="n">
        <v>2.652463151363784</v>
      </c>
      <c r="Q58" s="127" t="n">
        <v>6.604832116782491</v>
      </c>
      <c r="R58" s="127" t="n">
        <v>4.67922049272955</v>
      </c>
    </row>
    <row r="59">
      <c r="C59" s="112" t="n">
        <v>41030</v>
      </c>
      <c r="D59" s="112" t="n">
        <v>41060</v>
      </c>
      <c r="E59" s="126" t="inlineStr">
        <is>
          <t>grid_u4lflnxf.xlsx</t>
        </is>
      </c>
      <c r="F59" s="127" t="n">
        <v>4.735809450144381</v>
      </c>
      <c r="G59" s="127" t="n">
        <v>-25.19335573900795</v>
      </c>
      <c r="H59" s="127" t="n">
        <v>-8.090781354495972</v>
      </c>
      <c r="I59" s="127" t="n">
        <v>11.17697204065457</v>
      </c>
      <c r="J59" s="127" t="n">
        <v>5.381307922892735</v>
      </c>
      <c r="K59" s="127" t="n">
        <v>1.653338760760887</v>
      </c>
      <c r="L59" s="127" t="n">
        <v>-4.701415123759508</v>
      </c>
      <c r="M59" s="127" t="n">
        <v>18.45950621635115</v>
      </c>
      <c r="N59" s="127" t="n"/>
      <c r="O59" s="127" t="n">
        <v>7.580734738572429</v>
      </c>
      <c r="P59" s="127" t="n">
        <v>2.712966291313673</v>
      </c>
      <c r="Q59" s="127" t="n">
        <v>5.778827274680708</v>
      </c>
      <c r="R59" s="127" t="n">
        <v>11.92357918662226</v>
      </c>
    </row>
    <row r="60">
      <c r="C60" s="112" t="n">
        <v>41061</v>
      </c>
      <c r="D60" s="112" t="n">
        <v>41089</v>
      </c>
      <c r="E60" s="126" t="inlineStr">
        <is>
          <t>grid_u4lflnxf.xlsx</t>
        </is>
      </c>
      <c r="F60" s="127" t="n">
        <v>6.503730113346193</v>
      </c>
      <c r="G60" s="127" t="n">
        <v>-28.97416667856346</v>
      </c>
      <c r="H60" s="127" t="n">
        <v>-14.75402843107992</v>
      </c>
      <c r="I60" s="127" t="n">
        <v>3.261853514444382</v>
      </c>
      <c r="J60" s="127" t="n">
        <v>11.86184121715917</v>
      </c>
      <c r="K60" s="127" t="n">
        <v>-1.556826396854706</v>
      </c>
      <c r="L60" s="127" t="n">
        <v>-5.477855589515881</v>
      </c>
      <c r="M60" s="127" t="n">
        <v>10.98185847867966</v>
      </c>
      <c r="N60" s="127" t="n"/>
      <c r="O60" s="127" t="n">
        <v>14.30616620443619</v>
      </c>
      <c r="P60" s="127" t="n">
        <v>2.761943667221535</v>
      </c>
      <c r="Q60" s="127" t="n">
        <v>6.846596007035945</v>
      </c>
      <c r="R60" s="127" t="n">
        <v>20.13414251784481</v>
      </c>
    </row>
    <row r="61">
      <c r="C61" s="112" t="n">
        <v>41091</v>
      </c>
      <c r="D61" s="112" t="n">
        <v>41121</v>
      </c>
      <c r="E61" s="126" t="inlineStr">
        <is>
          <t>grid_u4lflnxf.xlsx</t>
        </is>
      </c>
      <c r="F61" s="127" t="n">
        <v>0.9561075647469839</v>
      </c>
      <c r="G61" s="127" t="n">
        <v>-5.513467163542685</v>
      </c>
      <c r="H61" s="127" t="n">
        <v>-16.34004666243761</v>
      </c>
      <c r="I61" s="127" t="n">
        <v>1.057575902257461</v>
      </c>
      <c r="J61" s="127" t="n">
        <v>14.11838822929609</v>
      </c>
      <c r="K61" s="127" t="n">
        <v>1.65072323282469</v>
      </c>
      <c r="L61" s="127" t="n">
        <v>-5.400317165140981</v>
      </c>
      <c r="M61" s="127" t="n">
        <v>2.554997825849328</v>
      </c>
      <c r="N61" s="127" t="n"/>
      <c r="O61" s="127" t="n">
        <v>-1.31931541168047</v>
      </c>
      <c r="P61" s="127" t="n">
        <v>-0.9166761976744353</v>
      </c>
      <c r="Q61" s="127" t="n">
        <v>4.585704415622356</v>
      </c>
      <c r="R61" s="127" t="n">
        <v>20.38887321518929</v>
      </c>
    </row>
    <row r="62">
      <c r="C62" s="112" t="n">
        <v>41122</v>
      </c>
      <c r="D62" s="112" t="n">
        <v>41152</v>
      </c>
      <c r="E62" s="126" t="inlineStr">
        <is>
          <t>grid_u4lflnxf.xlsx</t>
        </is>
      </c>
      <c r="F62" s="127" t="n">
        <v>-10.64461160353849</v>
      </c>
      <c r="G62" s="127" t="n">
        <v>-9.612900350042587</v>
      </c>
      <c r="H62" s="127" t="n">
        <v>-23.42945226577425</v>
      </c>
      <c r="I62" s="127" t="n">
        <v>-6.44937898568885</v>
      </c>
      <c r="J62" s="127" t="n">
        <v>6.416257334124527</v>
      </c>
      <c r="K62" s="127" t="n">
        <v>-1.533150582635357</v>
      </c>
      <c r="L62" s="127" t="n">
        <v>1.675884808236957</v>
      </c>
      <c r="M62" s="127" t="n">
        <v>-1.661743678521449</v>
      </c>
      <c r="N62" s="127" t="n"/>
      <c r="O62" s="127" t="n">
        <v>-20.62569716997721</v>
      </c>
      <c r="P62" s="127" t="n">
        <v>5.227189748760894</v>
      </c>
      <c r="Q62" s="127" t="n">
        <v>5.503675739671874</v>
      </c>
      <c r="R62" s="127" t="n">
        <v>10.78321295331397</v>
      </c>
    </row>
    <row r="63">
      <c r="C63" s="112" t="n">
        <v>41153</v>
      </c>
      <c r="D63" s="112" t="n">
        <v>41180</v>
      </c>
      <c r="E63" s="126" t="inlineStr">
        <is>
          <t>grid_u4lflnxf.xlsx</t>
        </is>
      </c>
      <c r="F63" s="127" t="n">
        <v>-14.08119408279958</v>
      </c>
      <c r="G63" s="127" t="n">
        <v>-8.272008041944552</v>
      </c>
      <c r="H63" s="127" t="n">
        <v>-20.299693193257</v>
      </c>
      <c r="I63" s="127" t="n">
        <v>2.301138068227905</v>
      </c>
      <c r="J63" s="127" t="n">
        <v>-17.25403914530878</v>
      </c>
      <c r="K63" s="127" t="n">
        <v>-5.521693787516837</v>
      </c>
      <c r="L63" s="127" t="n">
        <v>5.357928718532976</v>
      </c>
      <c r="M63" s="127" t="n">
        <v>-3.681612814370082</v>
      </c>
      <c r="N63" s="127" t="n"/>
      <c r="O63" s="127" t="n">
        <v>-34.40777888817904</v>
      </c>
      <c r="P63" s="127" t="n">
        <v>1.70983689333358</v>
      </c>
      <c r="Q63" s="127" t="n">
        <v>-3.637894339987355</v>
      </c>
      <c r="R63" s="127" t="n">
        <v>-83.83525154177683</v>
      </c>
    </row>
    <row r="64">
      <c r="C64" s="112" t="n">
        <v>41183</v>
      </c>
      <c r="D64" s="112" t="n">
        <v>41213</v>
      </c>
      <c r="E64" s="126" t="inlineStr">
        <is>
          <t>grid_u4lflnxf.xlsx</t>
        </is>
      </c>
      <c r="F64" s="127" t="n">
        <v>-11.28971810610256</v>
      </c>
      <c r="G64" s="127" t="n">
        <v>0.1477931334310663</v>
      </c>
      <c r="H64" s="127" t="n">
        <v>-15.81011605064537</v>
      </c>
      <c r="I64" s="127" t="n">
        <v>8.741618121694408</v>
      </c>
      <c r="J64" s="127" t="n">
        <v>-15.66067297211174</v>
      </c>
      <c r="K64" s="127" t="n">
        <v>-6.722910782818032</v>
      </c>
      <c r="L64" s="127" t="n">
        <v>4.940920831340913</v>
      </c>
      <c r="M64" s="127" t="n">
        <v>5.235750698572759</v>
      </c>
      <c r="N64" s="127" t="n"/>
      <c r="O64" s="127" t="n">
        <v>-26.15821586695913</v>
      </c>
      <c r="P64" s="127" t="n">
        <v>10.57908261201409</v>
      </c>
      <c r="Q64" s="127" t="n">
        <v>-5.260550323426535</v>
      </c>
      <c r="R64" s="127" t="n">
        <v>-81.16196781763894</v>
      </c>
    </row>
    <row r="65">
      <c r="C65" s="112" t="n">
        <v>41214</v>
      </c>
      <c r="D65" s="112" t="n">
        <v>41243</v>
      </c>
      <c r="E65" s="126" t="inlineStr">
        <is>
          <t>grid_u4lflnxf.xlsx</t>
        </is>
      </c>
      <c r="F65" s="127" t="n">
        <v>-10.2179375198313</v>
      </c>
      <c r="G65" s="127" t="n">
        <v>3.878686187205715</v>
      </c>
      <c r="H65" s="127" t="n">
        <v>-4.644065912268117</v>
      </c>
      <c r="I65" s="127" t="n">
        <v>13.7980753173831</v>
      </c>
      <c r="J65" s="127" t="n">
        <v>-15.52294173042938</v>
      </c>
      <c r="K65" s="127" t="n">
        <v>-7.878972026991161</v>
      </c>
      <c r="L65" s="127" t="n">
        <v>9.961293807526879</v>
      </c>
      <c r="M65" s="127" t="n">
        <v>8.256285505268051</v>
      </c>
      <c r="N65" s="127" t="n"/>
      <c r="O65" s="127" t="n">
        <v>-17.83408048687359</v>
      </c>
      <c r="P65" s="127" t="n">
        <v>5.189169970146526</v>
      </c>
      <c r="Q65" s="127" t="n">
        <v>-33.34305995884858</v>
      </c>
      <c r="R65" s="127" t="n">
        <v>-79.96631954114378</v>
      </c>
    </row>
    <row r="66">
      <c r="C66" s="112" t="n">
        <v>41244</v>
      </c>
      <c r="D66" s="112" t="n">
        <v>41274</v>
      </c>
      <c r="E66" s="126" t="inlineStr">
        <is>
          <t>grid_u4lflnxf.xlsx</t>
        </is>
      </c>
      <c r="F66" s="127" t="n">
        <v>-5.076689494067466</v>
      </c>
      <c r="G66" s="127" t="n">
        <v>5.518044564620806</v>
      </c>
      <c r="H66" s="127" t="n">
        <v>-0.396585849721026</v>
      </c>
      <c r="I66" s="127" t="n">
        <v>8.153729863352833</v>
      </c>
      <c r="J66" s="127" t="n">
        <v>2.077716481171989</v>
      </c>
      <c r="K66" s="127" t="n">
        <v>-0.2441169734289103</v>
      </c>
      <c r="L66" s="127" t="n">
        <v>12.86305406171989</v>
      </c>
      <c r="M66" s="127" t="n">
        <v>8.531085326690203</v>
      </c>
      <c r="N66" s="127" t="n"/>
      <c r="O66" s="127" t="n">
        <v>-5.80256801916472</v>
      </c>
      <c r="P66" s="127" t="n">
        <v>8.092955794473415</v>
      </c>
      <c r="Q66" s="127" t="n">
        <v>-24.00212972930507</v>
      </c>
      <c r="R66" s="127" t="n">
        <v>7.574105376272451</v>
      </c>
    </row>
    <row r="67">
      <c r="C67" s="112" t="n">
        <v>41275</v>
      </c>
      <c r="D67" s="112" t="n">
        <v>41305</v>
      </c>
      <c r="E67" s="126" t="inlineStr">
        <is>
          <t>grid_u4lflnxf.xlsx</t>
        </is>
      </c>
      <c r="F67" s="127" t="n">
        <v>-8.514459698442167</v>
      </c>
      <c r="G67" s="127" t="n">
        <v>0.07328412273545425</v>
      </c>
      <c r="H67" s="127" t="n">
        <v>1.811833439570259</v>
      </c>
      <c r="I67" s="127" t="n">
        <v>6.428652599341802</v>
      </c>
      <c r="J67" s="127" t="n">
        <v>-3.368286842068541</v>
      </c>
      <c r="K67" s="127" t="n">
        <v>0.3910648767323032</v>
      </c>
      <c r="L67" s="127" t="n">
        <v>7.554730104759298</v>
      </c>
      <c r="M67" s="127" t="n">
        <v>8.424979368181642</v>
      </c>
      <c r="N67" s="127" t="n"/>
      <c r="O67" s="127" t="n">
        <v>-8.596026478862123</v>
      </c>
      <c r="P67" s="127" t="n">
        <v>5.971364764800205</v>
      </c>
      <c r="Q67" s="127" t="n">
        <v>-43.52982756793675</v>
      </c>
      <c r="R67" s="127" t="n">
        <v>6.938453790739961</v>
      </c>
    </row>
    <row r="68">
      <c r="C68" s="112" t="n">
        <v>41306</v>
      </c>
      <c r="D68" s="112" t="n">
        <v>41333</v>
      </c>
      <c r="E68" s="126" t="inlineStr">
        <is>
          <t>grid_u4lflnxf.xlsx</t>
        </is>
      </c>
      <c r="F68" s="127" t="n">
        <v>-6.042843826723082</v>
      </c>
      <c r="G68" s="127" t="n">
        <v>4.599743697016572</v>
      </c>
      <c r="H68" s="127" t="n">
        <v>-1.197697756758183</v>
      </c>
      <c r="I68" s="127" t="n">
        <v>5.820053745186084</v>
      </c>
      <c r="J68" s="127" t="n">
        <v>-5.5989418914435</v>
      </c>
      <c r="K68" s="127" t="n">
        <v>0.3319927008087045</v>
      </c>
      <c r="L68" s="127" t="n">
        <v>6.125791957738134</v>
      </c>
      <c r="M68" s="127" t="n">
        <v>9.048020948585442</v>
      </c>
      <c r="N68" s="127" t="n"/>
      <c r="O68" s="127" t="n">
        <v>0.8188570154706927</v>
      </c>
      <c r="P68" s="127" t="n">
        <v>5.236531850589614</v>
      </c>
      <c r="Q68" s="127" t="n">
        <v>-2.482681835558151</v>
      </c>
      <c r="R68" s="127" t="n">
        <v>6.906703796082611</v>
      </c>
    </row>
    <row r="69">
      <c r="C69" s="112" t="n">
        <v>41334</v>
      </c>
      <c r="D69" s="112" t="n">
        <v>41362</v>
      </c>
      <c r="E69" s="126" t="inlineStr">
        <is>
          <t>grid_u4lflnxf.xlsx</t>
        </is>
      </c>
      <c r="F69" s="127" t="n">
        <v>-5.160597262445832</v>
      </c>
      <c r="G69" s="127" t="n">
        <v>5.590103194872773</v>
      </c>
      <c r="H69" s="127" t="n">
        <v>-4.120604691759732</v>
      </c>
      <c r="I69" s="127" t="n">
        <v>5.287963610255493</v>
      </c>
      <c r="J69" s="127" t="n">
        <v>3.922443613856916</v>
      </c>
      <c r="K69" s="127" t="n">
        <v>1.591904065857767</v>
      </c>
      <c r="L69" s="127" t="n">
        <v>-0.08376136573364731</v>
      </c>
      <c r="M69" s="127" t="n">
        <v>13.43088625824547</v>
      </c>
      <c r="N69" s="127" t="n"/>
      <c r="O69" s="127" t="n">
        <v>-8.081581165125245</v>
      </c>
      <c r="P69" s="127" t="n">
        <v>4.64096207138168</v>
      </c>
      <c r="Q69" s="127" t="n">
        <v>0.6779760891668615</v>
      </c>
      <c r="R69" s="127" t="n">
        <v>3.461696942820202</v>
      </c>
    </row>
    <row r="70">
      <c r="C70" s="112" t="n">
        <v>41365</v>
      </c>
      <c r="D70" s="112" t="n">
        <v>41394</v>
      </c>
      <c r="E70" s="126" t="inlineStr">
        <is>
          <t>grid_u4lflnxf.xlsx</t>
        </is>
      </c>
      <c r="F70" s="127" t="n">
        <v>8.548523309871857</v>
      </c>
      <c r="G70" s="127" t="n">
        <v>11.80736168296023</v>
      </c>
      <c r="H70" s="127" t="n">
        <v>-6.018186068720929</v>
      </c>
      <c r="I70" s="127" t="n">
        <v>0.03332879551029894</v>
      </c>
      <c r="J70" s="127" t="n">
        <v>14.67386165727891</v>
      </c>
      <c r="K70" s="127" t="n">
        <v>1.850765857248895</v>
      </c>
      <c r="L70" s="127" t="n">
        <v>3.518272584550853</v>
      </c>
      <c r="M70" s="127" t="n">
        <v>7.926278886778915</v>
      </c>
      <c r="N70" s="127" t="n"/>
      <c r="O70" s="127" t="n">
        <v>4.43575146164881</v>
      </c>
      <c r="P70" s="127" t="n">
        <v>6.863032733378012</v>
      </c>
      <c r="Q70" s="127" t="n">
        <v>15.79950738170817</v>
      </c>
      <c r="R70" s="127" t="n">
        <v>3.063915754248726</v>
      </c>
    </row>
    <row r="71">
      <c r="C71" s="112" t="n">
        <v>41395</v>
      </c>
      <c r="D71" s="112" t="n">
        <v>41425</v>
      </c>
      <c r="E71" s="126" t="inlineStr">
        <is>
          <t>grid_u4lflnxf.xlsx</t>
        </is>
      </c>
      <c r="F71" s="127" t="n">
        <v>5.684543346142053</v>
      </c>
      <c r="G71" s="127" t="n">
        <v>-1.50436533136871</v>
      </c>
      <c r="H71" s="127" t="n">
        <v>-16.34335898363724</v>
      </c>
      <c r="I71" s="127" t="n">
        <v>-5.231439938463381</v>
      </c>
      <c r="J71" s="127" t="n">
        <v>8.159438778788914</v>
      </c>
      <c r="K71" s="127" t="n">
        <v>5.846978161722816</v>
      </c>
      <c r="L71" s="127" t="n">
        <v>-0.2536839595820013</v>
      </c>
      <c r="M71" s="127" t="n">
        <v>11.21284616971322</v>
      </c>
      <c r="N71" s="127" t="n"/>
      <c r="O71" s="127" t="n">
        <v>-6.437535676288133</v>
      </c>
      <c r="P71" s="127" t="n">
        <v>-12.90305779583075</v>
      </c>
      <c r="Q71" s="127" t="n">
        <v>-3.671192087534628</v>
      </c>
      <c r="R71" s="127" t="n">
        <v>0.3694148180767832</v>
      </c>
    </row>
    <row r="72">
      <c r="C72" s="112" t="n">
        <v>41426</v>
      </c>
      <c r="D72" s="112" t="n">
        <v>41453</v>
      </c>
      <c r="E72" s="126" t="inlineStr">
        <is>
          <t>grid_u4lflnxf.xlsx</t>
        </is>
      </c>
      <c r="F72" s="127" t="n">
        <v>0.06564047955828112</v>
      </c>
      <c r="G72" s="127" t="n">
        <v>-3.45103922573914</v>
      </c>
      <c r="H72" s="127" t="n">
        <v>-9.089562754085762</v>
      </c>
      <c r="I72" s="127" t="n">
        <v>-1.919107968959433</v>
      </c>
      <c r="J72" s="127" t="n">
        <v>0.3455348703321904</v>
      </c>
      <c r="K72" s="127" t="n">
        <v>2.378125609559944</v>
      </c>
      <c r="L72" s="127" t="n">
        <v>-5.146589914476085</v>
      </c>
      <c r="M72" s="127" t="n">
        <v>15.25389551049296</v>
      </c>
      <c r="N72" s="127" t="n"/>
      <c r="O72" s="127" t="n">
        <v>2.033373037466575</v>
      </c>
      <c r="P72" s="127" t="n">
        <v>-14.89664825331393</v>
      </c>
      <c r="Q72" s="127" t="n">
        <v>0.1171801654734004</v>
      </c>
      <c r="R72" s="127" t="n">
        <v>2.008663031277446</v>
      </c>
    </row>
    <row r="73">
      <c r="C73" s="112" t="n">
        <v>41456</v>
      </c>
      <c r="D73" s="112" t="n">
        <v>41486</v>
      </c>
      <c r="E73" s="126" t="inlineStr">
        <is>
          <t>grid_u4lflnxf.xlsx</t>
        </is>
      </c>
      <c r="F73" s="127" t="n">
        <v>-9.512205097266648</v>
      </c>
      <c r="G73" s="127" t="n">
        <v>-11.03507263302651</v>
      </c>
      <c r="H73" s="127" t="n">
        <v>-5.550098483877433</v>
      </c>
      <c r="I73" s="127" t="n">
        <v>3.710103139115127</v>
      </c>
      <c r="J73" s="127" t="n">
        <v>-10.38805714452642</v>
      </c>
      <c r="K73" s="127" t="n">
        <v>3.372928067255895</v>
      </c>
      <c r="L73" s="127" t="n">
        <v>-2.626273183937794</v>
      </c>
      <c r="M73" s="127" t="n">
        <v>11.22201746752393</v>
      </c>
      <c r="N73" s="127" t="n"/>
      <c r="O73" s="127" t="n">
        <v>-5.680874238171424</v>
      </c>
      <c r="P73" s="127" t="n">
        <v>-22.97517606655555</v>
      </c>
      <c r="Q73" s="127" t="n">
        <v>3.075280402589539</v>
      </c>
      <c r="R73" s="127" t="n">
        <v>-1.775820665681714</v>
      </c>
    </row>
    <row r="74">
      <c r="C74" s="112" t="n">
        <v>41487</v>
      </c>
      <c r="D74" s="112" t="n">
        <v>41516</v>
      </c>
      <c r="E74" s="126" t="inlineStr">
        <is>
          <t>grid_u4lflnxf.xlsx</t>
        </is>
      </c>
      <c r="F74" s="127" t="n">
        <v>-3.395888248150487</v>
      </c>
      <c r="G74" s="127" t="n">
        <v>-2.637015018654294</v>
      </c>
      <c r="H74" s="127" t="n">
        <v>9.231137557478997</v>
      </c>
      <c r="I74" s="127" t="n">
        <v>9.151680465439249</v>
      </c>
      <c r="J74" s="127" t="n">
        <v>14.55923287460579</v>
      </c>
      <c r="K74" s="127" t="n">
        <v>-0.4052843568490564</v>
      </c>
      <c r="L74" s="127" t="n">
        <v>-0.2633613330254025</v>
      </c>
      <c r="M74" s="127" t="n">
        <v>-1.175584102888596</v>
      </c>
      <c r="N74" s="127" t="n"/>
      <c r="O74" s="127" t="n">
        <v>-5.712959873949107</v>
      </c>
      <c r="P74" s="127" t="n">
        <v>-4.862986813793619</v>
      </c>
      <c r="Q74" s="127" t="n">
        <v>3.420996929470854</v>
      </c>
      <c r="R74" s="127" t="n">
        <v>0.2827372733079644</v>
      </c>
    </row>
    <row r="75">
      <c r="C75" s="112" t="n">
        <v>41518</v>
      </c>
      <c r="D75" s="112" t="n">
        <v>41547</v>
      </c>
      <c r="E75" s="126" t="inlineStr">
        <is>
          <t>grid_u4lflnxf.xlsx</t>
        </is>
      </c>
      <c r="F75" s="127" t="n">
        <v>-3.257095520653917</v>
      </c>
      <c r="G75" s="127" t="n">
        <v>-18.10783810313857</v>
      </c>
      <c r="H75" s="127" t="n">
        <v>3.814848539100516</v>
      </c>
      <c r="I75" s="127" t="n">
        <v>4.368560068234602</v>
      </c>
      <c r="J75" s="127" t="n">
        <v>-8.796992177223071</v>
      </c>
      <c r="K75" s="127" t="n">
        <v>2.45611512951656</v>
      </c>
      <c r="L75" s="127" t="n">
        <v>8.044680659239337</v>
      </c>
      <c r="M75" s="127" t="n">
        <v>-13.19637651133306</v>
      </c>
      <c r="N75" s="127" t="n"/>
      <c r="O75" s="127" t="n">
        <v>-1.951896182621879</v>
      </c>
      <c r="P75" s="127" t="n">
        <v>-2.353343266965615</v>
      </c>
      <c r="Q75" s="127" t="n">
        <v>-0.5224313196389986</v>
      </c>
      <c r="R75" s="127" t="n">
        <v>1.34471308209184</v>
      </c>
    </row>
    <row r="76">
      <c r="C76" s="112" t="n">
        <v>41548</v>
      </c>
      <c r="D76" s="112" t="n">
        <v>41578</v>
      </c>
      <c r="E76" s="126" t="inlineStr">
        <is>
          <t>grid_u4lflnxf.xlsx</t>
        </is>
      </c>
      <c r="F76" s="127" t="n">
        <v>0.3086480463428979</v>
      </c>
      <c r="G76" s="127" t="n">
        <v>-18.31828921775372</v>
      </c>
      <c r="H76" s="127" t="n">
        <v>1.198434598776956</v>
      </c>
      <c r="I76" s="127" t="n">
        <v>2.452207869614311</v>
      </c>
      <c r="J76" s="127" t="n">
        <v>-3.832104395216069</v>
      </c>
      <c r="K76" s="127" t="n">
        <v>3.714082758598731</v>
      </c>
      <c r="L76" s="127" t="n">
        <v>7.228764186150396</v>
      </c>
      <c r="M76" s="127" t="n">
        <v>-8.097803662793924</v>
      </c>
      <c r="N76" s="127" t="n"/>
      <c r="O76" s="127" t="n">
        <v>-1.893548587415509</v>
      </c>
      <c r="P76" s="127" t="n">
        <v>-1.56047941488005</v>
      </c>
      <c r="Q76" s="127" t="n">
        <v>-1.091329116730916</v>
      </c>
      <c r="R76" s="127" t="n">
        <v>-0.5551832533447227</v>
      </c>
    </row>
    <row r="77">
      <c r="C77" s="112" t="n">
        <v>41579</v>
      </c>
      <c r="D77" s="112" t="n">
        <v>41607</v>
      </c>
      <c r="E77" s="126" t="inlineStr">
        <is>
          <t>grid_u4lflnxf.xlsx</t>
        </is>
      </c>
      <c r="F77" s="127" t="n">
        <v>5.423682474420521</v>
      </c>
      <c r="G77" s="127" t="n">
        <v>-24.36087720660154</v>
      </c>
      <c r="H77" s="127" t="n">
        <v>0.5434104217194323</v>
      </c>
      <c r="I77" s="127" t="n">
        <v>7.875642770007399</v>
      </c>
      <c r="J77" s="127" t="n">
        <v>3.192319287518188</v>
      </c>
      <c r="K77" s="127" t="n">
        <v>3.730989685312019</v>
      </c>
      <c r="L77" s="127" t="n">
        <v>7.301995126471199</v>
      </c>
      <c r="M77" s="127" t="n">
        <v>3.121334799465962</v>
      </c>
      <c r="N77" s="127" t="n"/>
      <c r="O77" s="127" t="n">
        <v>9.645880493190186</v>
      </c>
      <c r="P77" s="127" t="n">
        <v>0.05336088851417749</v>
      </c>
      <c r="Q77" s="127" t="n">
        <v>3.58548796286951</v>
      </c>
      <c r="R77" s="127" t="n">
        <v>-2.984701750770013</v>
      </c>
    </row>
    <row r="78">
      <c r="C78" s="112" t="n">
        <v>41609</v>
      </c>
      <c r="D78" s="112" t="n">
        <v>41639</v>
      </c>
      <c r="E78" s="126" t="inlineStr">
        <is>
          <t>grid_u4lflnxf.xlsx</t>
        </is>
      </c>
      <c r="F78" s="127" t="n">
        <v>6.393819030109545</v>
      </c>
      <c r="G78" s="127" t="n">
        <v>-9.372375540799627</v>
      </c>
      <c r="H78" s="127" t="n">
        <v>-4.702420720041435</v>
      </c>
      <c r="I78" s="127" t="n">
        <v>10.17351488988047</v>
      </c>
      <c r="J78" s="127" t="n">
        <v>27.01737149183239</v>
      </c>
      <c r="K78" s="127" t="n">
        <v>2.772545016004912</v>
      </c>
      <c r="L78" s="127" t="n">
        <v>-1.510513044986644</v>
      </c>
      <c r="M78" s="127" t="n">
        <v>7.854970004440413</v>
      </c>
      <c r="N78" s="127" t="n"/>
      <c r="O78" s="127" t="n">
        <v>0.8184181097706675</v>
      </c>
      <c r="P78" s="127" t="n">
        <v>-3.689855857598454</v>
      </c>
      <c r="Q78" s="127" t="n">
        <v>3.426840575924947</v>
      </c>
      <c r="R78" s="127" t="n">
        <v>-9.303018941930706</v>
      </c>
    </row>
    <row r="79">
      <c r="C79" s="112" t="n">
        <v>41640</v>
      </c>
      <c r="D79" s="112" t="n">
        <v>41670</v>
      </c>
      <c r="E79" s="126" t="inlineStr">
        <is>
          <t>grid_vtqvtw11.xlsx</t>
        </is>
      </c>
      <c r="F79" s="127" t="n">
        <v>19.26918511595792</v>
      </c>
      <c r="G79" s="127" t="n">
        <v>24.01427666500227</v>
      </c>
      <c r="H79" s="127" t="n">
        <v>18.90130673587929</v>
      </c>
      <c r="I79" s="127" t="n">
        <v>35.29450984517295</v>
      </c>
      <c r="J79" s="127" t="n">
        <v>22.18563805953628</v>
      </c>
      <c r="K79" s="127" t="n">
        <v>6.641935344230705</v>
      </c>
      <c r="L79" s="127" t="n">
        <v>-11.5433059470462</v>
      </c>
      <c r="M79" s="127" t="n">
        <v>16.26884399417713</v>
      </c>
      <c r="N79" s="127" t="n"/>
      <c r="O79" s="127" t="n">
        <v>28.18046329734276</v>
      </c>
      <c r="P79" s="127" t="n">
        <v>-2.262035292142143</v>
      </c>
      <c r="Q79" s="127" t="n">
        <v>7.983914408622837</v>
      </c>
      <c r="R79" s="127" t="n">
        <v>0.5746094800319106</v>
      </c>
    </row>
    <row r="80">
      <c r="C80" s="112" t="n">
        <v>41671</v>
      </c>
      <c r="D80" s="112" t="n">
        <v>41698</v>
      </c>
      <c r="E80" s="126" t="inlineStr">
        <is>
          <t>grid_vtqvtw11.xlsx</t>
        </is>
      </c>
      <c r="F80" s="127" t="n">
        <v>12.49946728893671</v>
      </c>
      <c r="G80" s="127" t="n">
        <v>32.0350342781713</v>
      </c>
      <c r="H80" s="127" t="n">
        <v>21.70895533327743</v>
      </c>
      <c r="I80" s="127" t="n">
        <v>33.48998010251326</v>
      </c>
      <c r="J80" s="127" t="n">
        <v>-1.202602844139323</v>
      </c>
      <c r="K80" s="127" t="n">
        <v>9.453279036706739</v>
      </c>
      <c r="L80" s="127" t="n">
        <v>-5.599468225411134</v>
      </c>
      <c r="M80" s="127" t="n">
        <v>10.08358241515226</v>
      </c>
      <c r="N80" s="127" t="n"/>
      <c r="O80" s="127" t="n">
        <v>22.94495352691995</v>
      </c>
      <c r="P80" s="127" t="n">
        <v>-6.692803521846331</v>
      </c>
      <c r="Q80" s="127" t="n">
        <v>11.19633854963919</v>
      </c>
      <c r="R80" s="127" t="n">
        <v>4.776756482500039</v>
      </c>
    </row>
    <row r="81">
      <c r="C81" s="112" t="n">
        <v>41699</v>
      </c>
      <c r="D81" s="112" t="n">
        <v>41729</v>
      </c>
      <c r="E81" s="126" t="inlineStr">
        <is>
          <t>grid_vtqvtw11.xlsx</t>
        </is>
      </c>
      <c r="F81" s="127" t="n">
        <v>17.4822050643899</v>
      </c>
      <c r="G81" s="127" t="n">
        <v>35.66336176509582</v>
      </c>
      <c r="H81" s="127" t="n">
        <v>29.42915650765469</v>
      </c>
      <c r="I81" s="127" t="n">
        <v>31.29376231995806</v>
      </c>
      <c r="J81" s="127" t="n">
        <v>-0.5937784011851444</v>
      </c>
      <c r="K81" s="127" t="n">
        <v>9.590989443434163</v>
      </c>
      <c r="L81" s="127" t="n">
        <v>5.02632532554829</v>
      </c>
      <c r="M81" s="127" t="n">
        <v>9.616259556312775</v>
      </c>
      <c r="N81" s="127" t="n"/>
      <c r="O81" s="127" t="n">
        <v>28.40457174704547</v>
      </c>
      <c r="P81" s="127" t="n">
        <v>-8.648559046380459</v>
      </c>
      <c r="Q81" s="127" t="n">
        <v>5.552810243108789</v>
      </c>
      <c r="R81" s="127" t="n">
        <v>14.68906669644376</v>
      </c>
    </row>
    <row r="82">
      <c r="C82" s="112" t="n">
        <v>41730</v>
      </c>
      <c r="D82" s="112" t="n">
        <v>41759</v>
      </c>
      <c r="E82" s="126" t="inlineStr">
        <is>
          <t>grid_vtqvtw11.xlsx</t>
        </is>
      </c>
      <c r="F82" s="127" t="n">
        <v>3.543558182269622</v>
      </c>
      <c r="G82" s="127" t="n">
        <v>11.28304490844393</v>
      </c>
      <c r="H82" s="127" t="n">
        <v>10.77463419252472</v>
      </c>
      <c r="I82" s="127" t="n">
        <v>-0.3361049736792892</v>
      </c>
      <c r="J82" s="127" t="n">
        <v>2.187471111022881</v>
      </c>
      <c r="K82" s="127" t="n">
        <v>5.594543232833607</v>
      </c>
      <c r="L82" s="127" t="n">
        <v>15.10184914643196</v>
      </c>
      <c r="M82" s="127" t="n">
        <v>-5.834300319750055</v>
      </c>
      <c r="N82" s="127" t="n"/>
      <c r="O82" s="127" t="n">
        <v>0.7798004764686824</v>
      </c>
      <c r="P82" s="127" t="n">
        <v>-5.232561835302192</v>
      </c>
      <c r="Q82" s="127" t="n">
        <v>0.8225635065736727</v>
      </c>
      <c r="R82" s="127" t="n">
        <v>8.718609566843998</v>
      </c>
    </row>
    <row r="83">
      <c r="C83" s="112" t="n">
        <v>41760</v>
      </c>
      <c r="D83" s="112" t="n">
        <v>41789</v>
      </c>
      <c r="E83" s="126" t="inlineStr">
        <is>
          <t>grid_vtqvtw11.xlsx</t>
        </is>
      </c>
      <c r="F83" s="127" t="n">
        <v>6.45907887580177</v>
      </c>
      <c r="G83" s="127" t="n">
        <v>0.8874390688791759</v>
      </c>
      <c r="H83" s="127" t="n">
        <v>32.17303178539602</v>
      </c>
      <c r="I83" s="127" t="n">
        <v>9.049840701114645</v>
      </c>
      <c r="J83" s="127" t="n">
        <v>1.224134560585133</v>
      </c>
      <c r="K83" s="127" t="n">
        <v>7.589307810321044</v>
      </c>
      <c r="L83" s="127" t="n">
        <v>13.21307480247994</v>
      </c>
      <c r="M83" s="127" t="n">
        <v>13.84230401422512</v>
      </c>
      <c r="N83" s="127" t="n"/>
      <c r="O83" s="127" t="n">
        <v>-1.220089957679556</v>
      </c>
      <c r="P83" s="127" t="n">
        <v>-1.260209667834399</v>
      </c>
      <c r="Q83" s="127" t="n">
        <v>1.077208754793262</v>
      </c>
      <c r="R83" s="127" t="n">
        <v>3.810545082954754</v>
      </c>
    </row>
    <row r="84">
      <c r="C84" s="112" t="n">
        <v>41791</v>
      </c>
      <c r="D84" s="112" t="n">
        <v>41820</v>
      </c>
      <c r="E84" s="126" t="inlineStr">
        <is>
          <t>grid_vtqvtw11.xlsx</t>
        </is>
      </c>
      <c r="F84" s="127" t="n">
        <v>1.764965932260145</v>
      </c>
      <c r="G84" s="127" t="n">
        <v>-5.359073738127161</v>
      </c>
      <c r="H84" s="127" t="n">
        <v>31.34560872405952</v>
      </c>
      <c r="I84" s="127" t="n">
        <v>8.272627577962455</v>
      </c>
      <c r="J84" s="127" t="n">
        <v>-2.9347657287901</v>
      </c>
      <c r="K84" s="127" t="n">
        <v>6.145098002860372</v>
      </c>
      <c r="L84" s="127" t="n">
        <v>11.75215082509116</v>
      </c>
      <c r="M84" s="127" t="n">
        <v>14.24698258950626</v>
      </c>
      <c r="N84" s="127" t="n"/>
      <c r="O84" s="127" t="n">
        <v>-10.10355180816947</v>
      </c>
      <c r="P84" s="127" t="n">
        <v>1.320568034222924</v>
      </c>
      <c r="Q84" s="127" t="n">
        <v>1.579085459000072</v>
      </c>
      <c r="R84" s="127" t="n">
        <v>-2.972618593410784</v>
      </c>
    </row>
    <row r="85">
      <c r="C85" s="112" t="n">
        <v>41821</v>
      </c>
      <c r="D85" s="112" t="n">
        <v>41851</v>
      </c>
      <c r="E85" s="126" t="inlineStr">
        <is>
          <t>grid_vtqvtw11.xlsx</t>
        </is>
      </c>
      <c r="F85" s="127" t="n">
        <v>3.688836717641099</v>
      </c>
      <c r="G85" s="127" t="n">
        <v>-4.027825544091837</v>
      </c>
      <c r="H85" s="127" t="n">
        <v>39.10433813284555</v>
      </c>
      <c r="I85" s="127" t="n">
        <v>11.56726866564737</v>
      </c>
      <c r="J85" s="127" t="n">
        <v>-7.043798471192138</v>
      </c>
      <c r="K85" s="127" t="n">
        <v>9.406117113859436</v>
      </c>
      <c r="L85" s="127" t="n">
        <v>7.299097793395726</v>
      </c>
      <c r="M85" s="127" t="n">
        <v>16.93929373290218</v>
      </c>
      <c r="N85" s="127" t="n"/>
      <c r="O85" s="127" t="n">
        <v>-9.856264098957979</v>
      </c>
      <c r="P85" s="127" t="n">
        <v>-5.872211370038991</v>
      </c>
      <c r="Q85" s="127" t="n">
        <v>3.652195547060495</v>
      </c>
      <c r="R85" s="127" t="n">
        <v>-2.867680871596794</v>
      </c>
    </row>
    <row r="86">
      <c r="C86" s="112" t="n">
        <v>41852</v>
      </c>
      <c r="D86" s="112" t="n">
        <v>41880</v>
      </c>
      <c r="E86" s="126" t="inlineStr">
        <is>
          <t>grid_vtqvtw11.xlsx</t>
        </is>
      </c>
      <c r="F86" s="127" t="n">
        <v>4.978822806598085</v>
      </c>
      <c r="G86" s="127" t="n">
        <v>3.98208003438688</v>
      </c>
      <c r="H86" s="127" t="n">
        <v>19.7549791552742</v>
      </c>
      <c r="I86" s="127" t="n">
        <v>-3.780076851003004</v>
      </c>
      <c r="J86" s="127" t="n">
        <v>-0.9134259916568701</v>
      </c>
      <c r="K86" s="127" t="n">
        <v>9.188062759647474</v>
      </c>
      <c r="L86" s="127" t="n">
        <v>4.764554811743501</v>
      </c>
      <c r="M86" s="127" t="n">
        <v>0.6353695033918886</v>
      </c>
      <c r="N86" s="127" t="n"/>
      <c r="O86" s="127" t="n">
        <v>-16.40313033985061</v>
      </c>
      <c r="P86" s="127" t="n">
        <v>-2.97351846846951</v>
      </c>
      <c r="Q86" s="127" t="n">
        <v>-2.227926310991978</v>
      </c>
      <c r="R86" s="127" t="n">
        <v>0.9046181934057521</v>
      </c>
    </row>
    <row r="87">
      <c r="C87" s="112" t="n">
        <v>41883</v>
      </c>
      <c r="D87" s="112" t="n">
        <v>41912</v>
      </c>
      <c r="E87" s="126" t="inlineStr">
        <is>
          <t>grid_vtqvtw11.xlsx</t>
        </is>
      </c>
      <c r="F87" s="127" t="n">
        <v>1.587095485029295</v>
      </c>
      <c r="G87" s="127" t="n">
        <v>2.374581620031133</v>
      </c>
      <c r="H87" s="127" t="n">
        <v>29.38306907626651</v>
      </c>
      <c r="I87" s="127" t="n">
        <v>11.11082448281644</v>
      </c>
      <c r="J87" s="127" t="n">
        <v>-0.1929634246143155</v>
      </c>
      <c r="K87" s="127" t="n">
        <v>10.39519311116377</v>
      </c>
      <c r="L87" s="127" t="n">
        <v>2.674866955365939</v>
      </c>
      <c r="M87" s="127" t="n">
        <v>-4.642040466468695</v>
      </c>
      <c r="N87" s="127" t="n"/>
      <c r="O87" s="127" t="n">
        <v>-15.50169144635754</v>
      </c>
      <c r="P87" s="127" t="n">
        <v>-2.921031498481184</v>
      </c>
      <c r="Q87" s="127" t="n">
        <v>-3.414846068891496</v>
      </c>
      <c r="R87" s="127" t="n">
        <v>0.7573877758865707</v>
      </c>
    </row>
    <row r="88">
      <c r="C88" s="112" t="n">
        <v>41913</v>
      </c>
      <c r="D88" s="112" t="n">
        <v>41943</v>
      </c>
      <c r="E88" s="126" t="inlineStr">
        <is>
          <t>grid_vtqvtw11.xlsx</t>
        </is>
      </c>
      <c r="F88" s="127" t="n">
        <v>-7.371587851444549</v>
      </c>
      <c r="G88" s="127" t="n">
        <v>2.924618305524918</v>
      </c>
      <c r="H88" s="127" t="n">
        <v>18.64036730414237</v>
      </c>
      <c r="I88" s="127" t="n">
        <v>12.24077430159518</v>
      </c>
      <c r="J88" s="127" t="n">
        <v>-0.5815673800622271</v>
      </c>
      <c r="K88" s="127" t="n">
        <v>9.6379521244216</v>
      </c>
      <c r="L88" s="127" t="n">
        <v>3.152478632591397</v>
      </c>
      <c r="M88" s="127" t="n">
        <v>-0.3647626854780284</v>
      </c>
      <c r="N88" s="127" t="n"/>
      <c r="O88" s="127" t="n">
        <v>-37.03085273086207</v>
      </c>
      <c r="P88" s="127" t="n">
        <v>2.47586409587789</v>
      </c>
      <c r="Q88" s="127" t="n">
        <v>-8.893649695584498</v>
      </c>
      <c r="R88" s="127" t="n">
        <v>1.859920906868317</v>
      </c>
    </row>
    <row r="89">
      <c r="C89" s="112" t="n">
        <v>41944</v>
      </c>
      <c r="D89" s="112" t="n">
        <v>41971</v>
      </c>
      <c r="E89" s="126" t="inlineStr">
        <is>
          <t>grid_vtqvtw11.xlsx</t>
        </is>
      </c>
      <c r="F89" s="127" t="n">
        <v>-14.74194463693309</v>
      </c>
      <c r="G89" s="127" t="n">
        <v>4.826828043889891</v>
      </c>
      <c r="H89" s="127" t="n">
        <v>15.65872250102582</v>
      </c>
      <c r="I89" s="127" t="n">
        <v>15.073029970221</v>
      </c>
      <c r="J89" s="127" t="n">
        <v>-6.350756116254898</v>
      </c>
      <c r="K89" s="127" t="n">
        <v>7.013015386545675</v>
      </c>
      <c r="L89" s="127" t="n">
        <v>2.060257509060551</v>
      </c>
      <c r="M89" s="127" t="n">
        <v>-2.796169876639756</v>
      </c>
      <c r="N89" s="127" t="n"/>
      <c r="O89" s="127" t="n">
        <v>-38.87547411558373</v>
      </c>
      <c r="P89" s="127" t="n">
        <v>-2.892233316093937</v>
      </c>
      <c r="Q89" s="127" t="n">
        <v>-9.804533083761283</v>
      </c>
      <c r="R89" s="127" t="n">
        <v>1.963619370079672</v>
      </c>
    </row>
    <row r="90">
      <c r="C90" s="112" t="n">
        <v>41974</v>
      </c>
      <c r="D90" s="112" t="n">
        <v>42004</v>
      </c>
      <c r="E90" s="126" t="inlineStr">
        <is>
          <t>grid_vtqvtw11.xlsx</t>
        </is>
      </c>
      <c r="F90" s="127" t="n">
        <v>-17.92371558480583</v>
      </c>
      <c r="G90" s="127" t="n">
        <v>15.29810573637931</v>
      </c>
      <c r="H90" s="127" t="n">
        <v>7.370728649919239</v>
      </c>
      <c r="I90" s="127" t="n">
        <v>3.454471022746318</v>
      </c>
      <c r="J90" s="127" t="n">
        <v>-22.39498041592875</v>
      </c>
      <c r="K90" s="127" t="n">
        <v>6.479173754418835</v>
      </c>
      <c r="L90" s="127" t="n">
        <v>2.956581522580298</v>
      </c>
      <c r="M90" s="127" t="n">
        <v>2.00661705814434</v>
      </c>
      <c r="N90" s="127" t="n"/>
      <c r="O90" s="127" t="n">
        <v>-55.6130943038817</v>
      </c>
      <c r="P90" s="127" t="n">
        <v>-10.7082694924239</v>
      </c>
      <c r="Q90" s="127" t="n">
        <v>-20.14765256787322</v>
      </c>
      <c r="R90" s="127" t="n">
        <v>-0.1250775198717714</v>
      </c>
    </row>
    <row r="91">
      <c r="C91" s="112" t="n">
        <v>42005</v>
      </c>
      <c r="D91" s="112" t="n">
        <v>42034</v>
      </c>
      <c r="E91" s="126" t="inlineStr">
        <is>
          <t>grid_vtqvtw11.xlsx</t>
        </is>
      </c>
      <c r="F91" s="127" t="n">
        <v>-14.07314364951814</v>
      </c>
      <c r="G91" s="127" t="n">
        <v>14.89052317695396</v>
      </c>
      <c r="H91" s="127" t="n">
        <v>4.761771190575264</v>
      </c>
      <c r="I91" s="127" t="n">
        <v>4.37667130619691</v>
      </c>
      <c r="J91" s="127" t="n">
        <v>-34.74763496363257</v>
      </c>
      <c r="K91" s="127" t="n">
        <v>4.615437324201678</v>
      </c>
      <c r="L91" s="127" t="n">
        <v>7.000561517826601</v>
      </c>
      <c r="M91" s="127" t="n">
        <v>1.535823915248341</v>
      </c>
      <c r="N91" s="127" t="n"/>
      <c r="O91" s="127" t="n">
        <v>-48.22620953160852</v>
      </c>
      <c r="P91" s="127" t="n">
        <v>-11.69752771303321</v>
      </c>
      <c r="Q91" s="127" t="n">
        <v>-20.1873017160747</v>
      </c>
      <c r="R91" s="127" t="n">
        <v>0.5254231729867431</v>
      </c>
    </row>
    <row r="92">
      <c r="C92" s="112" t="n">
        <v>42036</v>
      </c>
      <c r="D92" s="112" t="n">
        <v>42062</v>
      </c>
      <c r="E92" s="126" t="inlineStr">
        <is>
          <t>grid_vtqvtw11.xlsx</t>
        </is>
      </c>
      <c r="F92" s="127" t="n">
        <v>-9.787904480409432</v>
      </c>
      <c r="G92" s="127" t="n">
        <v>6.125407137258257</v>
      </c>
      <c r="H92" s="127" t="n">
        <v>0.9734090273300907</v>
      </c>
      <c r="I92" s="127" t="n">
        <v>4.420659130253561</v>
      </c>
      <c r="J92" s="127" t="n">
        <v>-33.95557516730602</v>
      </c>
      <c r="K92" s="127" t="n">
        <v>3.893896638280218</v>
      </c>
      <c r="L92" s="127" t="n">
        <v>8.355797932693406</v>
      </c>
      <c r="M92" s="127" t="n">
        <v>4.921978505143679</v>
      </c>
      <c r="N92" s="127" t="n"/>
      <c r="O92" s="127" t="n">
        <v>-56.80019556736743</v>
      </c>
      <c r="P92" s="127" t="n">
        <v>-9.671624526339603</v>
      </c>
      <c r="Q92" s="127" t="n">
        <v>-24.84710827204746</v>
      </c>
      <c r="R92" s="127" t="n">
        <v>0.9821660044858059</v>
      </c>
    </row>
    <row r="93">
      <c r="C93" s="112" t="n">
        <v>42064</v>
      </c>
      <c r="D93" s="112" t="n">
        <v>42094</v>
      </c>
      <c r="E93" s="126" t="inlineStr">
        <is>
          <t>grid_vtqvtw11.xlsx</t>
        </is>
      </c>
      <c r="F93" s="127" t="n">
        <v>-5.86352428105126</v>
      </c>
      <c r="G93" s="127" t="n">
        <v>6.784928192291667</v>
      </c>
      <c r="H93" s="127" t="n">
        <v>-2.683573931112231</v>
      </c>
      <c r="I93" s="127" t="n">
        <v>4.772449410224699</v>
      </c>
      <c r="J93" s="127" t="n">
        <v>-29.67917325875305</v>
      </c>
      <c r="K93" s="127" t="n">
        <v>3.298642348173963</v>
      </c>
      <c r="L93" s="127" t="n">
        <v>8.416083598403267</v>
      </c>
      <c r="M93" s="127" t="n">
        <v>0.02897459645541457</v>
      </c>
      <c r="N93" s="127" t="n"/>
      <c r="O93" s="127" t="n">
        <v>-84.22440758709656</v>
      </c>
      <c r="P93" s="127" t="n">
        <v>-2.364949181207484</v>
      </c>
      <c r="Q93" s="127" t="n">
        <v>-13.21670963439976</v>
      </c>
      <c r="R93" s="127" t="n">
        <v>3.368795240524997</v>
      </c>
    </row>
    <row r="94">
      <c r="C94" s="112" t="n">
        <v>42095</v>
      </c>
      <c r="D94" s="112" t="n">
        <v>42124</v>
      </c>
      <c r="E94" s="126" t="inlineStr">
        <is>
          <t>grid_vtqvtw11.xlsx</t>
        </is>
      </c>
      <c r="F94" s="127" t="n">
        <v>-5.649201450293289</v>
      </c>
      <c r="G94" s="127" t="n">
        <v>4.542702653186362</v>
      </c>
      <c r="H94" s="127" t="n">
        <v>-3.117082239759046</v>
      </c>
      <c r="I94" s="127" t="n">
        <v>3.687410367335411</v>
      </c>
      <c r="J94" s="127" t="n">
        <v>-22.69733238269622</v>
      </c>
      <c r="K94" s="127" t="n">
        <v>2.064760201332593</v>
      </c>
      <c r="L94" s="127" t="n">
        <v>3.116462259821275</v>
      </c>
      <c r="M94" s="127" t="n">
        <v>-1.582750067431454</v>
      </c>
      <c r="N94" s="127" t="n"/>
      <c r="O94" s="127" t="n"/>
      <c r="P94" s="127" t="n">
        <v>2.537508227521338</v>
      </c>
      <c r="Q94" s="127" t="n">
        <v>-7.979576554834587</v>
      </c>
      <c r="R94" s="127" t="n">
        <v>2.57723815331131</v>
      </c>
    </row>
    <row r="95">
      <c r="C95" s="112" t="n">
        <v>42125</v>
      </c>
      <c r="D95" s="112" t="n">
        <v>42153</v>
      </c>
      <c r="E95" s="126" t="inlineStr">
        <is>
          <t>grid_vtqvtw11.xlsx</t>
        </is>
      </c>
      <c r="F95" s="127" t="n">
        <v>-4.422293588399551</v>
      </c>
      <c r="G95" s="127" t="n">
        <v>14.08453436615175</v>
      </c>
      <c r="H95" s="127" t="n">
        <v>2.60652568399231</v>
      </c>
      <c r="I95" s="127" t="n">
        <v>2.364540207897699</v>
      </c>
      <c r="J95" s="127" t="n">
        <v>-6.717342236353244</v>
      </c>
      <c r="K95" s="127" t="n">
        <v>0.8077289851381244</v>
      </c>
      <c r="L95" s="127" t="n">
        <v>3.434007001399225</v>
      </c>
      <c r="M95" s="127" t="n">
        <v>-5.55678412514289</v>
      </c>
      <c r="N95" s="127" t="n"/>
      <c r="O95" s="127" t="n">
        <v>-253.1604090564987</v>
      </c>
      <c r="P95" s="127" t="n">
        <v>-1.123998134676261</v>
      </c>
      <c r="Q95" s="127" t="n">
        <v>2.506322198744143</v>
      </c>
      <c r="R95" s="127" t="n">
        <v>-0.3689372176077468</v>
      </c>
    </row>
    <row r="96">
      <c r="C96" s="112" t="n">
        <v>42156</v>
      </c>
      <c r="D96" s="112" t="n">
        <v>42185</v>
      </c>
      <c r="E96" s="126" t="inlineStr">
        <is>
          <t>grid_vtqvtw11.xlsx</t>
        </is>
      </c>
      <c r="F96" s="127" t="n">
        <v>2.858819162629418</v>
      </c>
      <c r="G96" s="127" t="n">
        <v>14.16489664909867</v>
      </c>
      <c r="H96" s="127" t="n">
        <v>4.722845008792715</v>
      </c>
      <c r="I96" s="127" t="n">
        <v>3.546214646399738</v>
      </c>
      <c r="J96" s="127" t="n">
        <v>7.192168005132175</v>
      </c>
      <c r="K96" s="127" t="n">
        <v>0.5956230737863732</v>
      </c>
      <c r="L96" s="127" t="n">
        <v>-0.5891643207543074</v>
      </c>
      <c r="M96" s="127" t="n">
        <v>0.643596235275259</v>
      </c>
      <c r="N96" s="127" t="n"/>
      <c r="O96" s="127" t="n">
        <v>-160.8061317010207</v>
      </c>
      <c r="P96" s="127" t="n">
        <v>-1.626537497446617</v>
      </c>
      <c r="Q96" s="127" t="n">
        <v>1.034223583754236</v>
      </c>
      <c r="R96" s="127" t="n">
        <v>1.79468946372225</v>
      </c>
    </row>
    <row r="97">
      <c r="C97" s="112" t="n">
        <v>42186</v>
      </c>
      <c r="D97" s="112" t="n">
        <v>42216</v>
      </c>
      <c r="E97" s="126" t="inlineStr">
        <is>
          <t>grid_vtqvtw11.xlsx</t>
        </is>
      </c>
      <c r="F97" s="127" t="n">
        <v>5.037142159397663</v>
      </c>
      <c r="G97" s="127" t="n">
        <v>16.37196944360424</v>
      </c>
      <c r="H97" s="127" t="n">
        <v>6.65255972915626</v>
      </c>
      <c r="I97" s="127" t="n">
        <v>4.186241680906372</v>
      </c>
      <c r="J97" s="127" t="n">
        <v>19.09750577875397</v>
      </c>
      <c r="K97" s="127" t="n">
        <v>0.6328970954877252</v>
      </c>
      <c r="L97" s="127" t="n">
        <v>0.5714766284208767</v>
      </c>
      <c r="M97" s="127" t="n">
        <v>6.477660170691426</v>
      </c>
      <c r="N97" s="127" t="n"/>
      <c r="O97" s="127" t="n"/>
      <c r="P97" s="127" t="n">
        <v>-10.9842210628807</v>
      </c>
      <c r="Q97" s="127" t="n">
        <v>1.763875351404387</v>
      </c>
      <c r="R97" s="127" t="n">
        <v>-0.004991004942253375</v>
      </c>
    </row>
    <row r="98">
      <c r="C98" s="112" t="n">
        <v>42217</v>
      </c>
      <c r="D98" s="112" t="n">
        <v>42247</v>
      </c>
      <c r="E98" s="126" t="inlineStr">
        <is>
          <t>grid_vtqvtw11.xlsx</t>
        </is>
      </c>
      <c r="F98" s="127" t="n">
        <v>1.001777907965279</v>
      </c>
      <c r="G98" s="127" t="n">
        <v>12.33449363120735</v>
      </c>
      <c r="H98" s="127" t="n">
        <v>3.999141974238903</v>
      </c>
      <c r="I98" s="127" t="n">
        <v>6.219173053297171</v>
      </c>
      <c r="J98" s="127" t="n">
        <v>-0.6472002380610884</v>
      </c>
      <c r="K98" s="127" t="n">
        <v>-0.2342078356714484</v>
      </c>
      <c r="L98" s="127" t="n">
        <v>-2.540194399169939</v>
      </c>
      <c r="M98" s="127" t="n">
        <v>9.066738303618191</v>
      </c>
      <c r="N98" s="127" t="n"/>
      <c r="O98" s="127" t="n">
        <v>127.5159336293533</v>
      </c>
      <c r="P98" s="127" t="n">
        <v>-4.443816445062104</v>
      </c>
      <c r="Q98" s="127" t="n">
        <v>-2.363274926583239</v>
      </c>
      <c r="R98" s="127" t="n">
        <v>-5.754210107934598</v>
      </c>
    </row>
    <row r="99">
      <c r="C99" s="112" t="n">
        <v>42248</v>
      </c>
      <c r="D99" s="112" t="n">
        <v>42277</v>
      </c>
      <c r="E99" s="126" t="inlineStr">
        <is>
          <t>grid_vtqvtw11.xlsx</t>
        </is>
      </c>
      <c r="F99" s="127" t="n">
        <v>-10.66525498817769</v>
      </c>
      <c r="G99" s="127" t="n">
        <v>13.60276526934537</v>
      </c>
      <c r="H99" s="127" t="n">
        <v>6.560906155835074</v>
      </c>
      <c r="I99" s="127" t="n">
        <v>-4.813515053890557</v>
      </c>
      <c r="J99" s="127" t="n">
        <v>-21.49374590448942</v>
      </c>
      <c r="K99" s="127" t="n">
        <v>0.8778559940157344</v>
      </c>
      <c r="L99" s="127" t="n">
        <v>0.9288806614159133</v>
      </c>
      <c r="M99" s="127" t="n">
        <v>12.62044348984678</v>
      </c>
      <c r="N99" s="127" t="n"/>
      <c r="O99" s="127" t="n">
        <v>42.40090400188942</v>
      </c>
      <c r="P99" s="127" t="n">
        <v>-4.815851845018761</v>
      </c>
      <c r="Q99" s="127" t="n">
        <v>-5.127662059552899</v>
      </c>
      <c r="R99" s="127" t="n">
        <v>-8.324796743631522</v>
      </c>
    </row>
    <row r="100">
      <c r="C100" s="112" t="n">
        <v>42278</v>
      </c>
      <c r="D100" s="112" t="n">
        <v>42307</v>
      </c>
      <c r="E100" s="126" t="inlineStr">
        <is>
          <t>grid_vtqvtw11.xlsx</t>
        </is>
      </c>
      <c r="F100" s="127" t="n">
        <v>-10.8064849220157</v>
      </c>
      <c r="G100" s="127" t="n">
        <v>5.875207410796469</v>
      </c>
      <c r="H100" s="127" t="n">
        <v>7.270705573756313</v>
      </c>
      <c r="I100" s="127" t="n">
        <v>3.804043235544813</v>
      </c>
      <c r="J100" s="127" t="n">
        <v>-23.99781099245824</v>
      </c>
      <c r="K100" s="127" t="n">
        <v>-4.602905581080021</v>
      </c>
      <c r="L100" s="127" t="n">
        <v>1.50680971828834</v>
      </c>
      <c r="M100" s="127" t="n">
        <v>11.59361523255756</v>
      </c>
      <c r="N100" s="127" t="n"/>
      <c r="O100" s="127" t="n">
        <v>70.4649304921184</v>
      </c>
      <c r="P100" s="127" t="n">
        <v>-3.91376846493256</v>
      </c>
      <c r="Q100" s="127" t="n">
        <v>-7.502757104660304</v>
      </c>
      <c r="R100" s="127" t="n">
        <v>-6.577172107466767</v>
      </c>
    </row>
    <row r="101">
      <c r="C101" s="112" t="n">
        <v>42309</v>
      </c>
      <c r="D101" s="112" t="n">
        <v>42338</v>
      </c>
      <c r="E101" s="126" t="inlineStr">
        <is>
          <t>grid_vtqvtw11.xlsx</t>
        </is>
      </c>
      <c r="F101" s="127" t="n">
        <v>-8.424899727315696</v>
      </c>
      <c r="G101" s="127" t="n">
        <v>6.714705877371305</v>
      </c>
      <c r="H101" s="127" t="n">
        <v>5.59404627451408</v>
      </c>
      <c r="I101" s="127" t="n">
        <v>3.320637476424686</v>
      </c>
      <c r="J101" s="127" t="n">
        <v>-22.32546250424916</v>
      </c>
      <c r="K101" s="127" t="n">
        <v>-5.582519061319461</v>
      </c>
      <c r="L101" s="127" t="n">
        <v>6.044172489644164</v>
      </c>
      <c r="M101" s="127" t="n">
        <v>13.49160175829754</v>
      </c>
      <c r="N101" s="127" t="n"/>
      <c r="O101" s="127" t="n">
        <v>48.22469044731408</v>
      </c>
      <c r="P101" s="127" t="n">
        <v>-3.883945088439309</v>
      </c>
      <c r="Q101" s="127" t="n">
        <v>-8.655129612984565</v>
      </c>
      <c r="R101" s="127" t="n">
        <v>-0.1312171461586848</v>
      </c>
    </row>
    <row r="102">
      <c r="C102" s="112" t="n">
        <v>42339</v>
      </c>
      <c r="D102" s="112" t="n">
        <v>42369</v>
      </c>
      <c r="E102" s="126" t="inlineStr">
        <is>
          <t>grid_vtqvtw11.xlsx</t>
        </is>
      </c>
      <c r="F102" s="127" t="n">
        <v>-3.220682122386419</v>
      </c>
      <c r="G102" s="127" t="n">
        <v>-2.087089800119776</v>
      </c>
      <c r="H102" s="127" t="n">
        <v>4.405146894371815</v>
      </c>
      <c r="I102" s="127" t="n">
        <v>0.6736474886585089</v>
      </c>
      <c r="J102" s="127" t="n">
        <v>-11.12028645270339</v>
      </c>
      <c r="K102" s="127" t="n">
        <v>-7.875085251470628</v>
      </c>
      <c r="L102" s="127" t="n">
        <v>11.93363221074881</v>
      </c>
      <c r="M102" s="127" t="n">
        <v>9.662935057638716</v>
      </c>
      <c r="N102" s="127" t="n"/>
      <c r="O102" s="127" t="n">
        <v>114.1904107219164</v>
      </c>
      <c r="P102" s="127" t="n">
        <v>8.692593700106546</v>
      </c>
      <c r="Q102" s="127" t="n">
        <v>-2.031108410183764</v>
      </c>
      <c r="R102" s="127" t="n">
        <v>1.393349929113973</v>
      </c>
    </row>
    <row r="103">
      <c r="C103" s="112" t="n">
        <v>42370</v>
      </c>
      <c r="D103" s="112" t="n">
        <v>42398</v>
      </c>
      <c r="E103" s="126" t="inlineStr">
        <is>
          <t>grid_vtqvtw11.xlsx</t>
        </is>
      </c>
      <c r="F103" s="127" t="n">
        <v>-6.68309862484023</v>
      </c>
      <c r="G103" s="127" t="n">
        <v>-3.254516781665397</v>
      </c>
      <c r="H103" s="127" t="n">
        <v>0.4949806926291793</v>
      </c>
      <c r="I103" s="127" t="n">
        <v>-3.78380634073016</v>
      </c>
      <c r="J103" s="127" t="n">
        <v>-39.4558542658663</v>
      </c>
      <c r="K103" s="127" t="n">
        <v>-3.737024974567067</v>
      </c>
      <c r="L103" s="127" t="n">
        <v>13.11466509142002</v>
      </c>
      <c r="M103" s="127" t="n">
        <v>5.479034799498578</v>
      </c>
      <c r="N103" s="127" t="n"/>
      <c r="O103" s="127" t="n">
        <v>-24.09963273500142</v>
      </c>
      <c r="P103" s="127" t="n">
        <v>12.65477010793145</v>
      </c>
      <c r="Q103" s="127" t="n">
        <v>4.570398585567476</v>
      </c>
      <c r="R103" s="127" t="n">
        <v>-6.287550012053117</v>
      </c>
    </row>
    <row r="104">
      <c r="C104" s="112" t="n">
        <v>42401</v>
      </c>
      <c r="D104" s="112" t="n">
        <v>42429</v>
      </c>
      <c r="E104" s="126" t="inlineStr">
        <is>
          <t>grid_vtqvtw11.xlsx</t>
        </is>
      </c>
      <c r="F104" s="127" t="n">
        <v>-11.55685870428641</v>
      </c>
      <c r="G104" s="127" t="n">
        <v>-0.3488277030995989</v>
      </c>
      <c r="H104" s="127" t="n">
        <v>4.087524062979015</v>
      </c>
      <c r="I104" s="127" t="n">
        <v>-10.59454000224226</v>
      </c>
      <c r="J104" s="127" t="n">
        <v>-42.37571928762362</v>
      </c>
      <c r="K104" s="127" t="n">
        <v>-3.962012293759946</v>
      </c>
      <c r="L104" s="127" t="n">
        <v>16.12329181875163</v>
      </c>
      <c r="M104" s="127" t="n">
        <v>0.2398444696831791</v>
      </c>
      <c r="N104" s="127" t="n"/>
      <c r="O104" s="127" t="n">
        <v>-105.7132673232665</v>
      </c>
      <c r="P104" s="127" t="n">
        <v>6.094242588459479</v>
      </c>
      <c r="Q104" s="127" t="n">
        <v>7.414354685344201</v>
      </c>
      <c r="R104" s="127" t="n">
        <v>-8.708737134021296</v>
      </c>
    </row>
    <row r="105">
      <c r="C105" s="112" t="n">
        <v>42430</v>
      </c>
      <c r="D105" s="112" t="n">
        <v>42460</v>
      </c>
      <c r="E105" s="126" t="inlineStr">
        <is>
          <t>grid_vtqvtw11.xlsx</t>
        </is>
      </c>
      <c r="F105" s="127" t="n">
        <v>-7.888213497879041</v>
      </c>
      <c r="G105" s="127" t="n">
        <v>4.023679790041667</v>
      </c>
      <c r="H105" s="127" t="n">
        <v>3.189208130813497</v>
      </c>
      <c r="I105" s="127" t="n">
        <v>-1.478371309733854</v>
      </c>
      <c r="J105" s="127" t="n">
        <v>-78.09866763031528</v>
      </c>
      <c r="K105" s="127" t="n">
        <v>-3.049872171166193</v>
      </c>
      <c r="L105" s="127" t="n">
        <v>12.60461580585018</v>
      </c>
      <c r="M105" s="127" t="n">
        <v>-7.956192446838243</v>
      </c>
      <c r="N105" s="127" t="n"/>
      <c r="O105" s="127" t="n">
        <v>-52.62544166475481</v>
      </c>
      <c r="P105" s="127" t="n">
        <v>-0.09279288295303253</v>
      </c>
      <c r="Q105" s="127" t="n">
        <v>8.434129386687324</v>
      </c>
      <c r="R105" s="127" t="n">
        <v>-21.48427220624785</v>
      </c>
    </row>
    <row r="106">
      <c r="C106" s="112" t="n">
        <v>42461</v>
      </c>
      <c r="D106" s="112" t="n">
        <v>42489</v>
      </c>
      <c r="E106" s="126" t="inlineStr">
        <is>
          <t>grid_vtqvtw11.xlsx</t>
        </is>
      </c>
      <c r="F106" s="127" t="n">
        <v>-4.23605161435397</v>
      </c>
      <c r="G106" s="127" t="n">
        <v>7.526214155661625</v>
      </c>
      <c r="H106" s="127" t="n">
        <v>7.35443975539567</v>
      </c>
      <c r="I106" s="127" t="n">
        <v>-4.29705501937399</v>
      </c>
      <c r="J106" s="127" t="n">
        <v>-42.41163720842474</v>
      </c>
      <c r="K106" s="127" t="n">
        <v>-3.205342964157497</v>
      </c>
      <c r="L106" s="127" t="n">
        <v>18.73492943611579</v>
      </c>
      <c r="M106" s="127" t="n">
        <v>-13.0959360207186</v>
      </c>
      <c r="N106" s="127" t="n"/>
      <c r="O106" s="127" t="n">
        <v>8.55858682067827</v>
      </c>
      <c r="P106" s="127" t="n">
        <v>6.360357257550177</v>
      </c>
      <c r="Q106" s="127" t="n">
        <v>7.877474077864472</v>
      </c>
      <c r="R106" s="127" t="n">
        <v>-17.46645331306219</v>
      </c>
    </row>
    <row r="107">
      <c r="C107" s="112" t="n">
        <v>42491</v>
      </c>
      <c r="D107" s="112" t="n">
        <v>42521</v>
      </c>
      <c r="E107" s="126" t="inlineStr">
        <is>
          <t>grid_vtqvtw11.xlsx</t>
        </is>
      </c>
      <c r="F107" s="127" t="n">
        <v>4.613158976314848</v>
      </c>
      <c r="G107" s="127" t="n">
        <v>7.560669827625174</v>
      </c>
      <c r="H107" s="127" t="n">
        <v>5.654900578853965</v>
      </c>
      <c r="I107" s="127" t="n">
        <v>5.568689417970319</v>
      </c>
      <c r="J107" s="127" t="n">
        <v>-15.24249179550904</v>
      </c>
      <c r="K107" s="127" t="n">
        <v>-4.098286813802348</v>
      </c>
      <c r="L107" s="127" t="n">
        <v>16.52521563410071</v>
      </c>
      <c r="M107" s="127" t="n">
        <v>-9.863045611771689</v>
      </c>
      <c r="N107" s="127" t="n"/>
      <c r="O107" s="127" t="n">
        <v>150.1233313036294</v>
      </c>
      <c r="P107" s="127" t="n">
        <v>8.445605557924699</v>
      </c>
      <c r="Q107" s="127" t="n">
        <v>10.09033584881674</v>
      </c>
      <c r="R107" s="127" t="n">
        <v>-22.75110209171772</v>
      </c>
    </row>
    <row r="108">
      <c r="C108" s="112" t="n">
        <v>42522</v>
      </c>
      <c r="D108" s="112" t="n">
        <v>42551</v>
      </c>
      <c r="E108" s="126" t="inlineStr">
        <is>
          <t>grid_vtqvtw11.xlsx</t>
        </is>
      </c>
      <c r="F108" s="127" t="n">
        <v>5.253961211430693</v>
      </c>
      <c r="G108" s="127" t="n">
        <v>6.22911431082905</v>
      </c>
      <c r="H108" s="127" t="n">
        <v>4.43469024896806</v>
      </c>
      <c r="I108" s="127" t="n">
        <v>4.920209524612079</v>
      </c>
      <c r="J108" s="127" t="n">
        <v>39.29587303777428</v>
      </c>
      <c r="K108" s="127" t="n">
        <v>-3.496377403398877</v>
      </c>
      <c r="L108" s="127" t="n">
        <v>9.393255137846316</v>
      </c>
      <c r="M108" s="127" t="n">
        <v>-3.029227159552703</v>
      </c>
      <c r="N108" s="127" t="n"/>
      <c r="O108" s="127" t="n">
        <v>85.08747084438575</v>
      </c>
      <c r="P108" s="127" t="n">
        <v>5.525767335510192</v>
      </c>
      <c r="Q108" s="127" t="n">
        <v>8.933225535110118</v>
      </c>
      <c r="R108" s="127" t="n">
        <v>-8.199927384018531</v>
      </c>
    </row>
    <row r="109">
      <c r="C109" s="112" t="n">
        <v>42552</v>
      </c>
      <c r="D109" s="112" t="n">
        <v>42580</v>
      </c>
      <c r="E109" s="126" t="inlineStr">
        <is>
          <t>grid_vtqvtw11.xlsx</t>
        </is>
      </c>
      <c r="F109" s="127" t="n">
        <v>6.817325329411915</v>
      </c>
      <c r="G109" s="127" t="n">
        <v>0.508618202902082</v>
      </c>
      <c r="H109" s="127" t="n">
        <v>2.259886922314854</v>
      </c>
      <c r="I109" s="127" t="n">
        <v>-3.286853869129122</v>
      </c>
      <c r="J109" s="127" t="n">
        <v>51.67793889877132</v>
      </c>
      <c r="K109" s="127" t="n">
        <v>-1.692531245926519</v>
      </c>
      <c r="L109" s="127" t="n">
        <v>4.979176874626571</v>
      </c>
      <c r="M109" s="127" t="n">
        <v>-2.957295045086942</v>
      </c>
      <c r="N109" s="127" t="n"/>
      <c r="O109" s="127" t="n">
        <v>68.65966771756706</v>
      </c>
      <c r="P109" s="127" t="n">
        <v>-2.908268576853631</v>
      </c>
      <c r="Q109" s="127" t="n">
        <v>4.040353264856436</v>
      </c>
      <c r="R109" s="127" t="n">
        <v>4.945710829295804</v>
      </c>
    </row>
    <row r="110">
      <c r="C110" s="112" t="n">
        <v>42583</v>
      </c>
      <c r="D110" s="112" t="n">
        <v>42613</v>
      </c>
      <c r="E110" s="126" t="inlineStr">
        <is>
          <t>grid_vtqvtw11.xlsx</t>
        </is>
      </c>
      <c r="F110" s="127" t="n">
        <v>8.766180862110859</v>
      </c>
      <c r="G110" s="127" t="n">
        <v>-2.811617743950248</v>
      </c>
      <c r="H110" s="127" t="n">
        <v>1.084872698674612</v>
      </c>
      <c r="I110" s="127" t="n">
        <v>-9.392500596168968</v>
      </c>
      <c r="J110" s="127" t="n">
        <v>52.26155851536824</v>
      </c>
      <c r="K110" s="127" t="n">
        <v>3.988759896821523</v>
      </c>
      <c r="L110" s="127" t="n">
        <v>-0.5729359097909332</v>
      </c>
      <c r="M110" s="127" t="n">
        <v>-7.83988978399683</v>
      </c>
      <c r="N110" s="127" t="n"/>
      <c r="O110" s="127" t="n">
        <v>2.186475789333532</v>
      </c>
      <c r="P110" s="127" t="n">
        <v>-3.408078298277661</v>
      </c>
      <c r="Q110" s="127" t="n">
        <v>5.153198235045084</v>
      </c>
      <c r="R110" s="127" t="n">
        <v>24.450087539639</v>
      </c>
    </row>
    <row r="111">
      <c r="C111" s="112" t="n">
        <v>42614</v>
      </c>
      <c r="D111" s="112" t="n">
        <v>42643</v>
      </c>
      <c r="E111" s="126" t="inlineStr">
        <is>
          <t>grid_vtqvtw11.xlsx</t>
        </is>
      </c>
      <c r="F111" s="127" t="n">
        <v>9.159860187500824</v>
      </c>
      <c r="G111" s="127" t="n">
        <v>-4.866406961789908</v>
      </c>
      <c r="H111" s="127" t="n">
        <v>2.990386733982115</v>
      </c>
      <c r="I111" s="127" t="n">
        <v>-3.187854821340462</v>
      </c>
      <c r="J111" s="127" t="n">
        <v>33.60127322609827</v>
      </c>
      <c r="K111" s="127" t="n">
        <v>4.790379362768066</v>
      </c>
      <c r="L111" s="127" t="n">
        <v>7.100568254592458</v>
      </c>
      <c r="M111" s="127" t="n">
        <v>-6.517937128365604</v>
      </c>
      <c r="N111" s="127" t="n"/>
      <c r="O111" s="127" t="n">
        <v>13.99993324834675</v>
      </c>
      <c r="P111" s="127" t="n">
        <v>-7.443357686395287</v>
      </c>
      <c r="Q111" s="127" t="n">
        <v>12.32808718702019</v>
      </c>
      <c r="R111" s="127" t="n">
        <v>24.42056492902393</v>
      </c>
    </row>
    <row r="112">
      <c r="C112" s="112" t="n">
        <v>42644</v>
      </c>
      <c r="D112" s="112" t="n">
        <v>42674</v>
      </c>
      <c r="E112" s="126" t="inlineStr">
        <is>
          <t>grid_vtqvtw11.xlsx</t>
        </is>
      </c>
      <c r="F112" s="127" t="n">
        <v>11.37577096829097</v>
      </c>
      <c r="G112" s="127" t="n">
        <v>-3.319919207996594</v>
      </c>
      <c r="H112" s="127" t="n">
        <v>4.397471265504834</v>
      </c>
      <c r="I112" s="127" t="n">
        <v>-3.849264939708662</v>
      </c>
      <c r="J112" s="127" t="n">
        <v>15.02627742340121</v>
      </c>
      <c r="K112" s="127" t="n">
        <v>8.014173842805533</v>
      </c>
      <c r="L112" s="127" t="n">
        <v>4.042671665732419</v>
      </c>
      <c r="M112" s="127" t="n">
        <v>-2.291968515276273</v>
      </c>
      <c r="N112" s="127" t="n"/>
      <c r="O112" s="127" t="n">
        <v>28.82115605818178</v>
      </c>
      <c r="P112" s="127" t="n">
        <v>-10.67825441451249</v>
      </c>
      <c r="Q112" s="127" t="n">
        <v>13.93532355550056</v>
      </c>
      <c r="R112" s="127" t="n">
        <v>18.77367241305866</v>
      </c>
    </row>
    <row r="113">
      <c r="C113" s="112" t="n">
        <v>42675</v>
      </c>
      <c r="D113" s="112" t="n">
        <v>42704</v>
      </c>
      <c r="E113" s="126" t="inlineStr">
        <is>
          <t>grid_vtqvtw11.xlsx</t>
        </is>
      </c>
      <c r="F113" s="127" t="n">
        <v>7.408414270922627</v>
      </c>
      <c r="G113" s="127" t="n">
        <v>-0.8019013684937898</v>
      </c>
      <c r="H113" s="127" t="n">
        <v>4.7745246449353</v>
      </c>
      <c r="I113" s="127" t="n">
        <v>-5.599997458811357</v>
      </c>
      <c r="J113" s="127" t="n">
        <v>-3.764180626669914</v>
      </c>
      <c r="K113" s="127" t="n">
        <v>9.333473174558948</v>
      </c>
      <c r="L113" s="127" t="n">
        <v>6.766376086883345</v>
      </c>
      <c r="M113" s="127" t="n">
        <v>-1.033193379498184</v>
      </c>
      <c r="N113" s="127" t="n"/>
      <c r="O113" s="127" t="n">
        <v>35.95478236516512</v>
      </c>
      <c r="P113" s="127" t="n">
        <v>-9.09768209546656</v>
      </c>
      <c r="Q113" s="127" t="n">
        <v>11.04734435542441</v>
      </c>
      <c r="R113" s="127" t="n">
        <v>4.825328332647255</v>
      </c>
    </row>
    <row r="114">
      <c r="C114" s="112" t="n">
        <v>42705</v>
      </c>
      <c r="D114" s="112" t="n">
        <v>42734</v>
      </c>
      <c r="E114" s="126" t="inlineStr">
        <is>
          <t>grid_vtqvtw11.xlsx</t>
        </is>
      </c>
      <c r="F114" s="127" t="n">
        <v>9.522181446995209</v>
      </c>
      <c r="G114" s="127" t="n">
        <v>4.072559232571567</v>
      </c>
      <c r="H114" s="127" t="n">
        <v>0.4509642797740144</v>
      </c>
      <c r="I114" s="127" t="n">
        <v>-10.92063441887934</v>
      </c>
      <c r="J114" s="127" t="n">
        <v>6.748020477950691</v>
      </c>
      <c r="K114" s="127" t="n">
        <v>9.208097443721586</v>
      </c>
      <c r="L114" s="127" t="n">
        <v>3.520940063224124</v>
      </c>
      <c r="M114" s="127" t="n">
        <v>-1.839595214456466</v>
      </c>
      <c r="N114" s="127" t="n"/>
      <c r="O114" s="127" t="n">
        <v>54.22942820448998</v>
      </c>
      <c r="P114" s="127" t="n">
        <v>-5.363794305163873</v>
      </c>
      <c r="Q114" s="127" t="n">
        <v>-0.6091460481985062</v>
      </c>
      <c r="R114" s="127" t="n">
        <v>2.674935797304082</v>
      </c>
    </row>
    <row r="115">
      <c r="C115" s="112" t="n">
        <v>42736</v>
      </c>
      <c r="D115" s="112" t="n">
        <v>42766</v>
      </c>
      <c r="E115" s="126" t="inlineStr">
        <is>
          <t>grid_ovzcidwu.xlsx</t>
        </is>
      </c>
      <c r="F115" s="127" t="n">
        <v>14.44466648667605</v>
      </c>
      <c r="G115" s="127" t="n">
        <v>6.704366531562314</v>
      </c>
      <c r="H115" s="127" t="n">
        <v>-1.597045043685112</v>
      </c>
      <c r="I115" s="127" t="n">
        <v>-1.371124670100336</v>
      </c>
      <c r="J115" s="127" t="n">
        <v>21.71893034937997</v>
      </c>
      <c r="K115" s="127" t="n">
        <v>7.622121708526877</v>
      </c>
      <c r="L115" s="127" t="n">
        <v>6.655407311364717</v>
      </c>
      <c r="M115" s="127" t="n">
        <v>1.080438731694207</v>
      </c>
      <c r="N115" s="127" t="n"/>
      <c r="O115" s="127" t="n">
        <v>82.71562621940016</v>
      </c>
      <c r="P115" s="127" t="n">
        <v>4.554537266060925</v>
      </c>
      <c r="Q115" s="127" t="n">
        <v>0.3455646358198114</v>
      </c>
      <c r="R115" s="127" t="n">
        <v>-4.063007088908431</v>
      </c>
    </row>
    <row r="116">
      <c r="C116" s="112" t="n">
        <v>42767</v>
      </c>
      <c r="D116" s="112" t="n">
        <v>42794</v>
      </c>
      <c r="E116" s="126" t="inlineStr">
        <is>
          <t>grid_ovzcidwu.xlsx</t>
        </is>
      </c>
      <c r="F116" s="127" t="n">
        <v>16.27081053329744</v>
      </c>
      <c r="G116" s="127" t="n">
        <v>2.622180965807734</v>
      </c>
      <c r="H116" s="127" t="n">
        <v>-3.723407226794383</v>
      </c>
      <c r="I116" s="127" t="n">
        <v>6.345772903256854</v>
      </c>
      <c r="J116" s="127" t="n">
        <v>27.33475680772287</v>
      </c>
      <c r="K116" s="127" t="n">
        <v>4.49870351809088</v>
      </c>
      <c r="L116" s="127" t="n">
        <v>4.835011038313522</v>
      </c>
      <c r="M116" s="127" t="n">
        <v>9.813606673114975</v>
      </c>
      <c r="N116" s="127" t="n"/>
      <c r="O116" s="127" t="n">
        <v>79.65360951252731</v>
      </c>
      <c r="P116" s="127" t="n">
        <v>9.276753425951856</v>
      </c>
      <c r="Q116" s="127" t="n">
        <v>8.555820522971626</v>
      </c>
      <c r="R116" s="127" t="n">
        <v>1.051449678608124</v>
      </c>
    </row>
    <row r="117">
      <c r="C117" s="112" t="n">
        <v>42795</v>
      </c>
      <c r="D117" s="112" t="n">
        <v>42825</v>
      </c>
      <c r="E117" s="126" t="inlineStr">
        <is>
          <t>grid_ovzcidwu.xlsx</t>
        </is>
      </c>
      <c r="F117" s="127" t="n">
        <v>14.03962134031432</v>
      </c>
      <c r="G117" s="127" t="n">
        <v>-0.2154305228318965</v>
      </c>
      <c r="H117" s="127" t="n">
        <v>-1.553521929901541</v>
      </c>
      <c r="I117" s="127" t="n">
        <v>6.177065996316403</v>
      </c>
      <c r="J117" s="127" t="n">
        <v>20.32434108633202</v>
      </c>
      <c r="K117" s="127" t="n">
        <v>6.159673337576598</v>
      </c>
      <c r="L117" s="127" t="n">
        <v>3.435764803236613</v>
      </c>
      <c r="M117" s="127" t="n">
        <v>3.018897302558114</v>
      </c>
      <c r="N117" s="127" t="n"/>
      <c r="O117" s="127" t="n">
        <v>56.01850765804532</v>
      </c>
      <c r="P117" s="127" t="n">
        <v>12.29191447705695</v>
      </c>
      <c r="Q117" s="127" t="n">
        <v>17.11656180610862</v>
      </c>
      <c r="R117" s="127" t="n">
        <v>4.539408915356002</v>
      </c>
    </row>
    <row r="118">
      <c r="C118" s="112" t="n">
        <v>42826</v>
      </c>
      <c r="D118" s="112" t="n">
        <v>42853</v>
      </c>
      <c r="E118" s="126" t="inlineStr">
        <is>
          <t>grid_ovzcidwu.xlsx</t>
        </is>
      </c>
      <c r="F118" s="127" t="n">
        <v>3.06989988023638</v>
      </c>
      <c r="G118" s="127" t="n">
        <v>-10.30841654565101</v>
      </c>
      <c r="H118" s="127" t="n">
        <v>-2.352372415551811</v>
      </c>
      <c r="I118" s="127" t="n">
        <v>-1.504532907329519</v>
      </c>
      <c r="J118" s="127" t="n">
        <v>-6.490300989620941</v>
      </c>
      <c r="K118" s="127" t="n">
        <v>4.167568989449638</v>
      </c>
      <c r="L118" s="127" t="n">
        <v>0.9837992844899862</v>
      </c>
      <c r="M118" s="127" t="n">
        <v>1.550793897660392</v>
      </c>
      <c r="N118" s="127" t="n"/>
      <c r="O118" s="127" t="n">
        <v>27.90479077281226</v>
      </c>
      <c r="P118" s="127" t="n">
        <v>10.47397534430147</v>
      </c>
      <c r="Q118" s="127" t="n">
        <v>13.41590937776954</v>
      </c>
      <c r="R118" s="127" t="n">
        <v>11.8251127032202</v>
      </c>
    </row>
    <row r="119">
      <c r="C119" s="112" t="n">
        <v>42856</v>
      </c>
      <c r="D119" s="112" t="n">
        <v>42886</v>
      </c>
      <c r="E119" s="126" t="inlineStr">
        <is>
          <t>grid_ovzcidwu.xlsx</t>
        </is>
      </c>
      <c r="F119" s="127" t="n">
        <v>-2.090719854853091</v>
      </c>
      <c r="G119" s="127" t="n">
        <v>-5.782387931598945</v>
      </c>
      <c r="H119" s="127" t="n">
        <v>2.530613890497914</v>
      </c>
      <c r="I119" s="127" t="n">
        <v>-10.18471432073518</v>
      </c>
      <c r="J119" s="127" t="n">
        <v>6.871230625324983</v>
      </c>
      <c r="K119" s="127" t="n">
        <v>1.157090980191602</v>
      </c>
      <c r="L119" s="127" t="n">
        <v>-1.954956230579619</v>
      </c>
      <c r="M119" s="127" t="n">
        <v>-4.168405917253355</v>
      </c>
      <c r="N119" s="127" t="n"/>
      <c r="O119" s="127" t="n">
        <v>13.79137427692927</v>
      </c>
      <c r="P119" s="127" t="n">
        <v>8.185868794582444</v>
      </c>
      <c r="Q119" s="127" t="n">
        <v>-3.338342044897609</v>
      </c>
      <c r="R119" s="127" t="n">
        <v>14.41850865022704</v>
      </c>
    </row>
    <row r="120">
      <c r="C120" s="112" t="n">
        <v>42887</v>
      </c>
      <c r="D120" s="112" t="n">
        <v>42916</v>
      </c>
      <c r="E120" s="126" t="inlineStr">
        <is>
          <t>grid_ovzcidwu.xlsx</t>
        </is>
      </c>
      <c r="F120" s="127" t="n">
        <v>-3.913955142185359</v>
      </c>
      <c r="G120" s="127" t="n">
        <v>-6.612844386477931</v>
      </c>
      <c r="H120" s="127" t="n">
        <v>2.812756482252598</v>
      </c>
      <c r="I120" s="127" t="n">
        <v>-4.59600056608511</v>
      </c>
      <c r="J120" s="127" t="n">
        <v>5.952771249855943</v>
      </c>
      <c r="K120" s="127" t="n">
        <v>-0.2224756287653564</v>
      </c>
      <c r="L120" s="127" t="n">
        <v>-2.596659865872117</v>
      </c>
      <c r="M120" s="127" t="n">
        <v>3.852153279731432</v>
      </c>
      <c r="N120" s="127" t="n"/>
      <c r="O120" s="127" t="n">
        <v>-11.87950263891435</v>
      </c>
      <c r="P120" s="127" t="n">
        <v>13.36573333989179</v>
      </c>
      <c r="Q120" s="127" t="n">
        <v>10.43176005179682</v>
      </c>
      <c r="R120" s="127" t="n">
        <v>17.64719328344746</v>
      </c>
    </row>
    <row r="121">
      <c r="C121" s="112" t="n">
        <v>42917</v>
      </c>
      <c r="D121" s="112" t="n">
        <v>42947</v>
      </c>
      <c r="E121" s="126" t="inlineStr">
        <is>
          <t>grid_ovzcidwu.xlsx</t>
        </is>
      </c>
      <c r="F121" s="127" t="n">
        <v>-1.529743357681389</v>
      </c>
      <c r="G121" s="127" t="n">
        <v>3.053108938452407</v>
      </c>
      <c r="H121" s="127" t="n">
        <v>2.341875511408022</v>
      </c>
      <c r="I121" s="127" t="n">
        <v>-0.00359989820681877</v>
      </c>
      <c r="J121" s="127" t="n">
        <v>20.38067518678618</v>
      </c>
      <c r="K121" s="127" t="n">
        <v>0.07049244322628205</v>
      </c>
      <c r="L121" s="127" t="n">
        <v>-2.979387932519724</v>
      </c>
      <c r="M121" s="127" t="n">
        <v>3.690197979010684</v>
      </c>
      <c r="N121" s="127" t="n"/>
      <c r="O121" s="127" t="n">
        <v>-17.52168531633592</v>
      </c>
      <c r="P121" s="127" t="n">
        <v>15.4448927159508</v>
      </c>
      <c r="Q121" s="127" t="n">
        <v>8.864788928567121</v>
      </c>
      <c r="R121" s="127" t="n">
        <v>10.55089526909825</v>
      </c>
    </row>
    <row r="122">
      <c r="C122" s="112" t="n">
        <v>42948</v>
      </c>
      <c r="D122" s="112" t="n">
        <v>42978</v>
      </c>
      <c r="E122" s="126" t="inlineStr">
        <is>
          <t>grid_ovzcidwu.xlsx</t>
        </is>
      </c>
      <c r="F122" s="127" t="n">
        <v>-0.1883209193688749</v>
      </c>
      <c r="G122" s="127" t="n">
        <v>0.3698219488015412</v>
      </c>
      <c r="H122" s="127" t="n">
        <v>-0.328886809340698</v>
      </c>
      <c r="I122" s="127" t="n">
        <v>3.881069585440243</v>
      </c>
      <c r="J122" s="127" t="n">
        <v>-6.482278347594772</v>
      </c>
      <c r="K122" s="127" t="n">
        <v>3.874739582153775</v>
      </c>
      <c r="L122" s="127" t="n">
        <v>1.815932546840939</v>
      </c>
      <c r="M122" s="127" t="n">
        <v>0.8299638776462148</v>
      </c>
      <c r="N122" s="127" t="n"/>
      <c r="O122" s="127" t="n">
        <v>-13.561614050979</v>
      </c>
      <c r="P122" s="127" t="n">
        <v>15.20710482491932</v>
      </c>
      <c r="Q122" s="127" t="n">
        <v>18.75449786762467</v>
      </c>
      <c r="R122" s="127" t="n">
        <v>5.561104104367834</v>
      </c>
    </row>
    <row r="123">
      <c r="C123" s="112" t="n">
        <v>42979</v>
      </c>
      <c r="D123" s="112" t="n">
        <v>43007</v>
      </c>
      <c r="E123" s="126" t="inlineStr">
        <is>
          <t>grid_ovzcidwu.xlsx</t>
        </is>
      </c>
      <c r="F123" s="127" t="n">
        <v>-2.179257895830341</v>
      </c>
      <c r="G123" s="127" t="n">
        <v>-1.779477773770655</v>
      </c>
      <c r="H123" s="127" t="n">
        <v>0.06084673878062018</v>
      </c>
      <c r="I123" s="127" t="n">
        <v>-1.370748610576643</v>
      </c>
      <c r="J123" s="127" t="n">
        <v>-7.45254662365106</v>
      </c>
      <c r="K123" s="127" t="n">
        <v>1.877975414934653</v>
      </c>
      <c r="L123" s="127" t="n">
        <v>0.1561313210019645</v>
      </c>
      <c r="M123" s="127" t="n">
        <v>-3.20082856759224</v>
      </c>
      <c r="N123" s="127" t="n"/>
      <c r="O123" s="127" t="n">
        <v>-7.949554823494302</v>
      </c>
      <c r="P123" s="127" t="n">
        <v>4.799179177543494</v>
      </c>
      <c r="Q123" s="127" t="n">
        <v>0.9797489490927985</v>
      </c>
      <c r="R123" s="127" t="n">
        <v>-0.07826997713046649</v>
      </c>
    </row>
    <row r="124">
      <c r="C124" s="112" t="n">
        <v>43009</v>
      </c>
      <c r="D124" s="112" t="n">
        <v>43039</v>
      </c>
      <c r="E124" s="126" t="inlineStr">
        <is>
          <t>grid_ovzcidwu.xlsx</t>
        </is>
      </c>
      <c r="F124" s="127" t="n">
        <v>-1.089189000672508</v>
      </c>
      <c r="G124" s="127" t="n">
        <v>-0.1617485730880945</v>
      </c>
      <c r="H124" s="127" t="n">
        <v>3.881305699751504</v>
      </c>
      <c r="I124" s="127" t="n">
        <v>0.1810593553186779</v>
      </c>
      <c r="J124" s="127" t="n">
        <v>-15.01314228984062</v>
      </c>
      <c r="K124" s="127" t="n">
        <v>3.835465742425123</v>
      </c>
      <c r="L124" s="127" t="n">
        <v>4.2856826177612</v>
      </c>
      <c r="M124" s="127" t="n">
        <v>-7.084156926921091</v>
      </c>
      <c r="N124" s="127" t="n"/>
      <c r="O124" s="127" t="n">
        <v>-6.474470480393204</v>
      </c>
      <c r="P124" s="127" t="n">
        <v>3.164279267037193</v>
      </c>
      <c r="Q124" s="127" t="n">
        <v>4.618469657276815</v>
      </c>
      <c r="R124" s="127" t="n">
        <v>9.270029402459357</v>
      </c>
    </row>
    <row r="125">
      <c r="C125" s="112" t="n">
        <v>43040</v>
      </c>
      <c r="D125" s="112" t="n">
        <v>43069</v>
      </c>
      <c r="E125" s="126" t="inlineStr">
        <is>
          <t>grid_ovzcidwu.xlsx</t>
        </is>
      </c>
      <c r="F125" s="127" t="n">
        <v>1.4906385686906</v>
      </c>
      <c r="G125" s="127" t="n">
        <v>0.5970534794918672</v>
      </c>
      <c r="H125" s="127" t="n">
        <v>3.394963367491127</v>
      </c>
      <c r="I125" s="127" t="n">
        <v>3.483996753550425</v>
      </c>
      <c r="J125" s="127" t="n">
        <v>-6.402415373706822</v>
      </c>
      <c r="K125" s="127" t="n">
        <v>1.417112770029635</v>
      </c>
      <c r="L125" s="127" t="n">
        <v>5.417103606103284</v>
      </c>
      <c r="M125" s="127" t="n">
        <v>-6.342083156399006</v>
      </c>
      <c r="N125" s="127" t="n"/>
      <c r="O125" s="127" t="n">
        <v>7.69926176769728</v>
      </c>
      <c r="P125" s="127" t="n">
        <v>4.11734066353752</v>
      </c>
      <c r="Q125" s="127" t="n">
        <v>3.171057528491666</v>
      </c>
      <c r="R125" s="127" t="n">
        <v>6.682385857927438</v>
      </c>
    </row>
    <row r="126">
      <c r="C126" s="112" t="n">
        <v>43070</v>
      </c>
      <c r="D126" s="112" t="n">
        <v>43098</v>
      </c>
      <c r="E126" s="126" t="inlineStr">
        <is>
          <t>grid_ovzcidwu.xlsx</t>
        </is>
      </c>
      <c r="F126" s="127" t="n">
        <v>7.524329714376998</v>
      </c>
      <c r="G126" s="127" t="n">
        <v>1.935393444609099</v>
      </c>
      <c r="H126" s="127" t="n">
        <v>-0.6337105809462379</v>
      </c>
      <c r="I126" s="127" t="n">
        <v>4.600953424027272</v>
      </c>
      <c r="J126" s="127" t="n">
        <v>10.14076296851775</v>
      </c>
      <c r="K126" s="127" t="n">
        <v>2.865023351667506</v>
      </c>
      <c r="L126" s="127" t="n">
        <v>-6.591975039338085</v>
      </c>
      <c r="M126" s="127" t="n">
        <v>-5.52115525892922</v>
      </c>
      <c r="N126" s="127" t="n"/>
      <c r="O126" s="127" t="n">
        <v>24.47758601273113</v>
      </c>
      <c r="P126" s="127" t="n">
        <v>-2.115054070801207</v>
      </c>
      <c r="Q126" s="127" t="n">
        <v>8.041382055201584</v>
      </c>
      <c r="R126" s="127" t="n">
        <v>17.21992771457316</v>
      </c>
    </row>
    <row r="127">
      <c r="C127" s="112" t="n">
        <v>43101</v>
      </c>
      <c r="D127" s="112" t="n">
        <v>43131</v>
      </c>
      <c r="E127" s="126" t="inlineStr">
        <is>
          <t>grid_ovzcidwu.xlsx</t>
        </is>
      </c>
      <c r="F127" s="127" t="n">
        <v>15.02712883482041</v>
      </c>
      <c r="G127" s="127" t="n">
        <v>4.330888425805498</v>
      </c>
      <c r="H127" s="127" t="n">
        <v>-3.882068804561082</v>
      </c>
      <c r="I127" s="127" t="n">
        <v>10.51677537403177</v>
      </c>
      <c r="J127" s="127" t="n">
        <v>25.10540364742012</v>
      </c>
      <c r="K127" s="127" t="n">
        <v>3.366182799271225</v>
      </c>
      <c r="L127" s="127" t="n">
        <v>-9.531578944455269</v>
      </c>
      <c r="M127" s="127" t="n">
        <v>-1.360726330980693</v>
      </c>
      <c r="N127" s="127" t="n"/>
      <c r="O127" s="127" t="n">
        <v>31.99275717040304</v>
      </c>
      <c r="P127" s="127" t="n">
        <v>-3.661200357348128</v>
      </c>
      <c r="Q127" s="127" t="n">
        <v>4.95774871168147</v>
      </c>
      <c r="R127" s="127" t="n">
        <v>-0.7593342454319467</v>
      </c>
    </row>
    <row r="128">
      <c r="C128" s="112" t="n">
        <v>43132</v>
      </c>
      <c r="D128" s="112" t="n">
        <v>43159</v>
      </c>
      <c r="E128" s="126" t="inlineStr">
        <is>
          <t>grid_ovzcidwu.xlsx</t>
        </is>
      </c>
      <c r="F128" s="127" t="n">
        <v>19.84268928826512</v>
      </c>
      <c r="G128" s="127" t="n">
        <v>1.838530442646434</v>
      </c>
      <c r="H128" s="127" t="n">
        <v>-6.926201292199281</v>
      </c>
      <c r="I128" s="127" t="n">
        <v>12.17662969208557</v>
      </c>
      <c r="J128" s="127" t="n">
        <v>40.9596303599535</v>
      </c>
      <c r="K128" s="127" t="n">
        <v>7.741698903997814</v>
      </c>
      <c r="L128" s="127" t="n">
        <v>-10.38777883278842</v>
      </c>
      <c r="M128" s="127" t="n">
        <v>-6.267382070603898</v>
      </c>
      <c r="N128" s="127" t="n"/>
      <c r="O128" s="127" t="n">
        <v>19.67793583375283</v>
      </c>
      <c r="P128" s="127" t="n">
        <v>-7.153813996146291</v>
      </c>
      <c r="Q128" s="127" t="n">
        <v>9.213349232876729</v>
      </c>
      <c r="R128" s="127" t="n">
        <v>3.659484230580747</v>
      </c>
    </row>
    <row r="129">
      <c r="C129" s="112" t="n">
        <v>43160</v>
      </c>
      <c r="D129" s="112" t="n">
        <v>43189</v>
      </c>
      <c r="E129" s="126" t="inlineStr">
        <is>
          <t>grid_ovzcidwu.xlsx</t>
        </is>
      </c>
      <c r="F129" s="127" t="n">
        <v>20.20038676456529</v>
      </c>
      <c r="G129" s="127" t="n">
        <v>4.109099543530715</v>
      </c>
      <c r="H129" s="127" t="n">
        <v>-5.184274962532048</v>
      </c>
      <c r="I129" s="127" t="n">
        <v>19.99084860046074</v>
      </c>
      <c r="J129" s="127" t="n">
        <v>33.85294719793183</v>
      </c>
      <c r="K129" s="127" t="n">
        <v>10.26650661458294</v>
      </c>
      <c r="L129" s="127" t="n">
        <v>6.075807622734924</v>
      </c>
      <c r="M129" s="127" t="n">
        <v>-2.585877359500106</v>
      </c>
      <c r="N129" s="127" t="n"/>
      <c r="O129" s="127" t="n">
        <v>7.046018366101069</v>
      </c>
      <c r="P129" s="127" t="n">
        <v>0.8606110105162873</v>
      </c>
      <c r="Q129" s="127" t="n">
        <v>-15.6138103519409</v>
      </c>
      <c r="R129" s="127" t="n">
        <v>-4.681134777197196</v>
      </c>
    </row>
    <row r="130">
      <c r="C130" s="112" t="n">
        <v>43191</v>
      </c>
      <c r="D130" s="112" t="n">
        <v>43220</v>
      </c>
      <c r="E130" s="126" t="inlineStr">
        <is>
          <t>grid_ovzcidwu.xlsx</t>
        </is>
      </c>
      <c r="F130" s="127" t="n">
        <v>15.84416320893684</v>
      </c>
      <c r="G130" s="127" t="n">
        <v>-3.997395258228891</v>
      </c>
      <c r="H130" s="127" t="n">
        <v>-6.364140553456165</v>
      </c>
      <c r="I130" s="127" t="n">
        <v>11.205795219845</v>
      </c>
      <c r="J130" s="127" t="n">
        <v>29.07966229816198</v>
      </c>
      <c r="K130" s="127" t="n">
        <v>7.749288066341076</v>
      </c>
      <c r="L130" s="127" t="n">
        <v>3.971162204347234</v>
      </c>
      <c r="M130" s="127" t="n">
        <v>-3.17994667958919</v>
      </c>
      <c r="N130" s="127" t="n"/>
      <c r="O130" s="127" t="n">
        <v>13.28939232352666</v>
      </c>
      <c r="P130" s="127" t="n">
        <v>1.27770810111854</v>
      </c>
      <c r="Q130" s="127" t="n">
        <v>-11.23274076878173</v>
      </c>
      <c r="R130" s="127" t="n">
        <v>7.544388823346305</v>
      </c>
    </row>
    <row r="131">
      <c r="C131" s="112" t="n">
        <v>43221</v>
      </c>
      <c r="D131" s="112" t="n">
        <v>43251</v>
      </c>
      <c r="E131" s="126" t="inlineStr">
        <is>
          <t>grid_ovzcidwu.xlsx</t>
        </is>
      </c>
      <c r="F131" s="127" t="n">
        <v>10.41120288755178</v>
      </c>
      <c r="G131" s="127" t="n">
        <v>0.809150946442623</v>
      </c>
      <c r="H131" s="127" t="n">
        <v>-16.63963650000695</v>
      </c>
      <c r="I131" s="127" t="n">
        <v>4.048346277371417</v>
      </c>
      <c r="J131" s="127" t="n">
        <v>23.60868705462457</v>
      </c>
      <c r="K131" s="127" t="n">
        <v>4.438200602121459</v>
      </c>
      <c r="L131" s="127" t="n">
        <v>1.92125362548752</v>
      </c>
      <c r="M131" s="127" t="n">
        <v>1.655386434886554</v>
      </c>
      <c r="N131" s="127" t="n"/>
      <c r="O131" s="127" t="n">
        <v>17.33475447698232</v>
      </c>
      <c r="P131" s="127" t="n">
        <v>5.328574939341123</v>
      </c>
      <c r="Q131" s="127" t="n">
        <v>-3.372003656363166</v>
      </c>
      <c r="R131" s="127" t="n">
        <v>16.81676176210954</v>
      </c>
    </row>
    <row r="132">
      <c r="C132" s="112" t="n">
        <v>43252</v>
      </c>
      <c r="D132" s="112" t="n">
        <v>43280</v>
      </c>
      <c r="E132" s="126" t="inlineStr">
        <is>
          <t>grid_ovzcidwu.xlsx</t>
        </is>
      </c>
      <c r="F132" s="127" t="n">
        <v>6.454121159400766</v>
      </c>
      <c r="G132" s="127" t="n">
        <v>1.223074771226758</v>
      </c>
      <c r="H132" s="127" t="n">
        <v>-18.36251632602487</v>
      </c>
      <c r="I132" s="127" t="n">
        <v>-9.331463061336374</v>
      </c>
      <c r="J132" s="127" t="n">
        <v>21.44381155418438</v>
      </c>
      <c r="K132" s="127" t="n">
        <v>1.857173673591044</v>
      </c>
      <c r="L132" s="127" t="n">
        <v>-2.116120781485814</v>
      </c>
      <c r="M132" s="127" t="n">
        <v>1.101723536878332</v>
      </c>
      <c r="N132" s="127" t="n"/>
      <c r="O132" s="127" t="n">
        <v>18.21638794544114</v>
      </c>
      <c r="P132" s="127" t="n">
        <v>7.343895357557539</v>
      </c>
      <c r="Q132" s="127" t="n">
        <v>11.3258870341294</v>
      </c>
      <c r="R132" s="127" t="n">
        <v>10.61796975971475</v>
      </c>
    </row>
    <row r="133">
      <c r="C133" s="112" t="n">
        <v>43282</v>
      </c>
      <c r="D133" s="112" t="n">
        <v>43312</v>
      </c>
      <c r="E133" s="126" t="inlineStr">
        <is>
          <t>grid_ovzcidwu.xlsx</t>
        </is>
      </c>
      <c r="F133" s="127" t="n">
        <v>8.188202187404341</v>
      </c>
      <c r="G133" s="127" t="n">
        <v>7.511425301616172</v>
      </c>
      <c r="H133" s="127" t="n">
        <v>-17.0824772864079</v>
      </c>
      <c r="I133" s="127" t="n">
        <v>-9.608252230246951</v>
      </c>
      <c r="J133" s="127" t="n">
        <v>20.38522817181186</v>
      </c>
      <c r="K133" s="127" t="n">
        <v>3.580615028988493</v>
      </c>
      <c r="L133" s="127" t="n">
        <v>-0.7619091349706011</v>
      </c>
      <c r="M133" s="127" t="n">
        <v>3.646544862116087</v>
      </c>
      <c r="N133" s="127" t="n"/>
      <c r="O133" s="127" t="n">
        <v>15.53906458091181</v>
      </c>
      <c r="P133" s="127" t="n">
        <v>5.923619636613958</v>
      </c>
      <c r="Q133" s="127" t="n">
        <v>15.75086446178142</v>
      </c>
      <c r="R133" s="127" t="n">
        <v>7.998640138583882</v>
      </c>
    </row>
    <row r="134">
      <c r="C134" s="112" t="n">
        <v>43313</v>
      </c>
      <c r="D134" s="112" t="n">
        <v>43343</v>
      </c>
      <c r="E134" s="126" t="inlineStr">
        <is>
          <t>grid_ovzcidwu.xlsx</t>
        </is>
      </c>
      <c r="F134" s="127" t="n">
        <v>9.119017681661759</v>
      </c>
      <c r="G134" s="127" t="n">
        <v>2.924426947963657</v>
      </c>
      <c r="H134" s="127" t="n">
        <v>-5.929815001955883</v>
      </c>
      <c r="I134" s="127" t="n">
        <v>-5.631074451125395</v>
      </c>
      <c r="J134" s="127" t="n">
        <v>17.36305582866371</v>
      </c>
      <c r="K134" s="127" t="n">
        <v>3.532218869696069</v>
      </c>
      <c r="L134" s="127" t="n">
        <v>2.644378156585964</v>
      </c>
      <c r="M134" s="127" t="n">
        <v>1.665448997660805</v>
      </c>
      <c r="N134" s="127" t="n"/>
      <c r="O134" s="127" t="n">
        <v>8.014312445457799</v>
      </c>
      <c r="P134" s="127" t="n">
        <v>3.123671504605991</v>
      </c>
      <c r="Q134" s="127" t="n">
        <v>5.057394348159034</v>
      </c>
      <c r="R134" s="127" t="n">
        <v>-2.110774536897837</v>
      </c>
    </row>
    <row r="135">
      <c r="C135" s="112" t="n">
        <v>43344</v>
      </c>
      <c r="D135" s="112" t="n">
        <v>43371</v>
      </c>
      <c r="E135" s="126" t="inlineStr">
        <is>
          <t>grid_ovzcidwu.xlsx</t>
        </is>
      </c>
      <c r="F135" s="127" t="n">
        <v>18.96300772835817</v>
      </c>
      <c r="G135" s="127" t="n">
        <v>2.127853518774852</v>
      </c>
      <c r="H135" s="127" t="n">
        <v>-3.899967549480702</v>
      </c>
      <c r="I135" s="127" t="n">
        <v>-1.873115194665657</v>
      </c>
      <c r="J135" s="127" t="n">
        <v>21.95305490000786</v>
      </c>
      <c r="K135" s="127" t="n">
        <v>5.312413987849971</v>
      </c>
      <c r="L135" s="127" t="n">
        <v>8.471287102863778</v>
      </c>
      <c r="M135" s="127" t="n">
        <v>1.533485854898019</v>
      </c>
      <c r="N135" s="127" t="n"/>
      <c r="O135" s="127" t="n">
        <v>19.01205202416444</v>
      </c>
      <c r="P135" s="127" t="n">
        <v>0.4385450876113963</v>
      </c>
      <c r="Q135" s="127" t="n">
        <v>13.39053892762742</v>
      </c>
      <c r="R135" s="127" t="n">
        <v>-4.71044003308742</v>
      </c>
    </row>
    <row r="136">
      <c r="C136" s="112" t="n">
        <v>43374</v>
      </c>
      <c r="D136" s="112" t="n">
        <v>43404</v>
      </c>
      <c r="E136" s="126" t="inlineStr">
        <is>
          <t>grid_ovzcidwu.xlsx</t>
        </is>
      </c>
      <c r="F136" s="127" t="n">
        <v>19.4103421137258</v>
      </c>
      <c r="G136" s="127" t="n">
        <v>4.501385414350279</v>
      </c>
      <c r="H136" s="127" t="n">
        <v>-5.699156403341847</v>
      </c>
      <c r="I136" s="127" t="n">
        <v>-8.734324818070661</v>
      </c>
      <c r="J136" s="127" t="n">
        <v>30.77024900529974</v>
      </c>
      <c r="K136" s="127" t="n">
        <v>1.772208686635326</v>
      </c>
      <c r="L136" s="127" t="n">
        <v>10.80704816399104</v>
      </c>
      <c r="M136" s="127" t="n">
        <v>-3.14021692098838</v>
      </c>
      <c r="N136" s="127" t="n"/>
      <c r="O136" s="127" t="n">
        <v>15.71809094011283</v>
      </c>
      <c r="P136" s="127" t="n">
        <v>2.022924970333386</v>
      </c>
      <c r="Q136" s="127" t="n">
        <v>-0.07121307606069847</v>
      </c>
      <c r="R136" s="127" t="n">
        <v>-8.396215876389988</v>
      </c>
    </row>
    <row r="137">
      <c r="C137" s="112" t="n">
        <v>43405</v>
      </c>
      <c r="D137" s="112" t="n">
        <v>43434</v>
      </c>
      <c r="E137" s="126" t="inlineStr">
        <is>
          <t>grid_ovzcidwu.xlsx</t>
        </is>
      </c>
      <c r="F137" s="127" t="n">
        <v>12.86780106459353</v>
      </c>
      <c r="G137" s="127" t="n">
        <v>5.228778339395899</v>
      </c>
      <c r="H137" s="127" t="n">
        <v>-5.621542078001131</v>
      </c>
      <c r="I137" s="127" t="n">
        <v>-10.09073552868438</v>
      </c>
      <c r="J137" s="127" t="n">
        <v>17.48516855093252</v>
      </c>
      <c r="K137" s="127" t="n">
        <v>3.879905307269542</v>
      </c>
      <c r="L137" s="127" t="n">
        <v>7.49314011533093</v>
      </c>
      <c r="M137" s="127" t="n">
        <v>5.495932822302879</v>
      </c>
      <c r="N137" s="127" t="n"/>
      <c r="O137" s="127" t="n">
        <v>15.25197490908947</v>
      </c>
      <c r="P137" s="127" t="n">
        <v>2.504185586766341</v>
      </c>
      <c r="Q137" s="127" t="n">
        <v>-17.30108724019054</v>
      </c>
      <c r="R137" s="127" t="n">
        <v>-9.91003961190887</v>
      </c>
    </row>
    <row r="138">
      <c r="C138" s="112" t="n">
        <v>43435</v>
      </c>
      <c r="D138" s="112" t="n">
        <v>43465</v>
      </c>
      <c r="E138" s="126" t="inlineStr">
        <is>
          <t>grid_ovzcidwu.xlsx</t>
        </is>
      </c>
      <c r="F138" s="127" t="n">
        <v>0.4846900517682247</v>
      </c>
      <c r="G138" s="127" t="n">
        <v>1.056625718739596</v>
      </c>
      <c r="H138" s="127" t="n">
        <v>-4.855932688046094</v>
      </c>
      <c r="I138" s="127" t="n">
        <v>-10.02352890955772</v>
      </c>
      <c r="J138" s="127" t="n">
        <v>1.67622779562579</v>
      </c>
      <c r="K138" s="127" t="n">
        <v>5.526132717825313</v>
      </c>
      <c r="L138" s="127" t="n">
        <v>2.670963085130353</v>
      </c>
      <c r="M138" s="127" t="n">
        <v>4.53746244411694</v>
      </c>
      <c r="N138" s="127" t="n"/>
      <c r="O138" s="127" t="n">
        <v>4.732875642939329</v>
      </c>
      <c r="P138" s="127" t="n">
        <v>0.9823979051949603</v>
      </c>
      <c r="Q138" s="127" t="n">
        <v>-19.88154495390421</v>
      </c>
      <c r="R138" s="127" t="n">
        <v>-7.70684616512223</v>
      </c>
    </row>
    <row r="139">
      <c r="C139" s="112" t="n">
        <v>43466</v>
      </c>
      <c r="D139" s="112" t="n">
        <v>43496</v>
      </c>
      <c r="E139" s="126" t="inlineStr">
        <is>
          <t>grid_ovzcidwu.xlsx</t>
        </is>
      </c>
      <c r="F139" s="127" t="n">
        <v>-10.71848223202534</v>
      </c>
      <c r="G139" s="127" t="n">
        <v>-1.251324043840097</v>
      </c>
      <c r="H139" s="127" t="n">
        <v>7.036447173508497</v>
      </c>
      <c r="I139" s="127" t="n">
        <v>-0.5863776297729677</v>
      </c>
      <c r="J139" s="127" t="n">
        <v>-18.68514593663809</v>
      </c>
      <c r="K139" s="127" t="n">
        <v>3.748836257646751</v>
      </c>
      <c r="L139" s="127" t="n">
        <v>-1.657109901422043</v>
      </c>
      <c r="M139" s="127" t="n">
        <v>-0.085953887815112</v>
      </c>
      <c r="N139" s="127" t="n"/>
      <c r="O139" s="127" t="n">
        <v>-0.1627326639051221</v>
      </c>
      <c r="P139" s="127" t="n">
        <v>0.3226846513474581</v>
      </c>
      <c r="Q139" s="127" t="n">
        <v>22.11812404635273</v>
      </c>
      <c r="R139" s="127" t="n">
        <v>-1.360769357083476</v>
      </c>
    </row>
    <row r="140">
      <c r="C140" s="112" t="n">
        <v>43497</v>
      </c>
      <c r="D140" s="112" t="n">
        <v>43524</v>
      </c>
      <c r="E140" s="126" t="inlineStr">
        <is>
          <t>grid_ovzcidwu.xlsx</t>
        </is>
      </c>
      <c r="F140" s="127" t="n">
        <v>-3.378283285881768</v>
      </c>
      <c r="G140" s="127" t="n">
        <v>-0.8075134387035811</v>
      </c>
      <c r="H140" s="127" t="n">
        <v>9.527944657223365</v>
      </c>
      <c r="I140" s="127" t="n">
        <v>-3.496474046624841</v>
      </c>
      <c r="J140" s="127" t="n">
        <v>-8.940620569591696</v>
      </c>
      <c r="K140" s="127" t="n">
        <v>3.093713376595401</v>
      </c>
      <c r="L140" s="127" t="n">
        <v>-2.457871805794949</v>
      </c>
      <c r="M140" s="127" t="n">
        <v>-2.022805837433274</v>
      </c>
      <c r="N140" s="127" t="n"/>
      <c r="O140" s="127" t="n">
        <v>2.843403754145827</v>
      </c>
      <c r="P140" s="127" t="n">
        <v>-2.731475818491844</v>
      </c>
      <c r="Q140" s="127" t="n">
        <v>37.41025869353717</v>
      </c>
      <c r="R140" s="127" t="n">
        <v>-3.127070525529689</v>
      </c>
    </row>
    <row r="141">
      <c r="C141" s="112" t="n">
        <v>43525</v>
      </c>
      <c r="D141" s="112" t="n">
        <v>43553</v>
      </c>
      <c r="E141" s="126" t="inlineStr">
        <is>
          <t>grid_ovzcidwu.xlsx</t>
        </is>
      </c>
      <c r="F141" s="127" t="n">
        <v>1.649752261879329</v>
      </c>
      <c r="G141" s="127" t="n">
        <v>0.6418905736148028</v>
      </c>
      <c r="H141" s="127" t="n">
        <v>10.78141918208041</v>
      </c>
      <c r="I141" s="127" t="n">
        <v>-5.013954980871352</v>
      </c>
      <c r="J141" s="127" t="n">
        <v>-3.193057549746371</v>
      </c>
      <c r="K141" s="127" t="n">
        <v>2.037047464338948</v>
      </c>
      <c r="L141" s="127" t="n">
        <v>-4.432261695252808</v>
      </c>
      <c r="M141" s="127" t="n">
        <v>-2.826609450228994</v>
      </c>
      <c r="N141" s="127" t="n"/>
      <c r="O141" s="127" t="n">
        <v>1.764335047755584</v>
      </c>
      <c r="P141" s="127" t="n">
        <v>0.3679060563770801</v>
      </c>
      <c r="Q141" s="127" t="n">
        <v>51.2272105548608</v>
      </c>
      <c r="R141" s="127" t="n">
        <v>-5.746277886085841</v>
      </c>
    </row>
    <row r="142">
      <c r="C142" s="112" t="n">
        <v>43556</v>
      </c>
      <c r="D142" s="112" t="n">
        <v>43585</v>
      </c>
      <c r="E142" s="126" t="inlineStr">
        <is>
          <t>grid_ovzcidwu.xlsx</t>
        </is>
      </c>
      <c r="F142" s="127" t="n">
        <v>5.729735124373524</v>
      </c>
      <c r="G142" s="127" t="n">
        <v>-0.5058578535978673</v>
      </c>
      <c r="H142" s="127" t="n">
        <v>0.9885133703296795</v>
      </c>
      <c r="I142" s="127" t="n">
        <v>-4.935042055519396</v>
      </c>
      <c r="J142" s="127" t="n">
        <v>3.210658480414168</v>
      </c>
      <c r="K142" s="127" t="n">
        <v>6.068163489321692</v>
      </c>
      <c r="L142" s="127" t="n">
        <v>-1.256279386392971</v>
      </c>
      <c r="M142" s="127" t="n">
        <v>4.307752790539474</v>
      </c>
      <c r="N142" s="127" t="n"/>
      <c r="O142" s="127" t="n">
        <v>7.001343119853312</v>
      </c>
      <c r="P142" s="127" t="n">
        <v>-0.1201265358173921</v>
      </c>
      <c r="Q142" s="127" t="n">
        <v>8.920862017877187</v>
      </c>
      <c r="R142" s="127" t="n">
        <v>-8.854540352869581</v>
      </c>
    </row>
    <row r="143">
      <c r="C143" s="112" t="n">
        <v>43586</v>
      </c>
      <c r="D143" s="112" t="n">
        <v>43616</v>
      </c>
      <c r="E143" s="126" t="inlineStr">
        <is>
          <t>grid_ovzcidwu.xlsx</t>
        </is>
      </c>
      <c r="F143" s="127" t="n">
        <v>-1.368260382500517</v>
      </c>
      <c r="G143" s="127" t="n">
        <v>-0.001648069992472605</v>
      </c>
      <c r="H143" s="127" t="n">
        <v>2.910028567272039</v>
      </c>
      <c r="I143" s="127" t="n">
        <v>-2.559409244115236</v>
      </c>
      <c r="J143" s="127" t="n">
        <v>-0.7367552494132196</v>
      </c>
      <c r="K143" s="127" t="n">
        <v>0.7587006848176405</v>
      </c>
      <c r="L143" s="127" t="n">
        <v>1.786496324135553</v>
      </c>
      <c r="M143" s="127" t="n">
        <v>0.5623829811144598</v>
      </c>
      <c r="N143" s="127" t="n"/>
      <c r="O143" s="127" t="n">
        <v>-1.523315848070061</v>
      </c>
      <c r="P143" s="127" t="n">
        <v>1.934722803803182</v>
      </c>
      <c r="Q143" s="127" t="n">
        <v>9.341156348617179</v>
      </c>
      <c r="R143" s="127" t="n">
        <v>-4.668257599774284</v>
      </c>
    </row>
    <row r="144">
      <c r="C144" s="112" t="n">
        <v>43617</v>
      </c>
      <c r="D144" s="112" t="n">
        <v>43644</v>
      </c>
      <c r="E144" s="126" t="inlineStr">
        <is>
          <t>grid_ovzcidwu.xlsx</t>
        </is>
      </c>
      <c r="F144" s="127" t="n">
        <v>-3.423698140583844</v>
      </c>
      <c r="G144" s="127" t="n">
        <v>0.7354474841211904</v>
      </c>
      <c r="H144" s="127" t="n">
        <v>-0.6460183279495271</v>
      </c>
      <c r="I144" s="127" t="n">
        <v>0.4179948350924316</v>
      </c>
      <c r="J144" s="127" t="n">
        <v>3.633229338936261</v>
      </c>
      <c r="K144" s="127" t="n">
        <v>-1.693109995716241</v>
      </c>
      <c r="L144" s="127" t="n">
        <v>0.552169513202373</v>
      </c>
      <c r="M144" s="127" t="n">
        <v>5.577499017307766</v>
      </c>
      <c r="N144" s="127" t="n"/>
      <c r="O144" s="127" t="n">
        <v>-5.497941489941481</v>
      </c>
      <c r="P144" s="127" t="n">
        <v>1.426148150880047</v>
      </c>
      <c r="Q144" s="127" t="n">
        <v>-4.090373281753412</v>
      </c>
      <c r="R144" s="127" t="n">
        <v>-0.9777404408854322</v>
      </c>
    </row>
    <row r="145">
      <c r="C145" s="112" t="n">
        <v>43647</v>
      </c>
      <c r="D145" s="112" t="n">
        <v>43677</v>
      </c>
      <c r="E145" s="126" t="inlineStr">
        <is>
          <t>grid_ovzcidwu.xlsx</t>
        </is>
      </c>
      <c r="F145" s="127" t="n">
        <v>-6.053410166267148</v>
      </c>
      <c r="G145" s="127" t="n">
        <v>3.718448409883346</v>
      </c>
      <c r="H145" s="127" t="n">
        <v>-2.446907141697959</v>
      </c>
      <c r="I145" s="127" t="n">
        <v>2.156772970948421</v>
      </c>
      <c r="J145" s="127" t="n">
        <v>3.54453801268825</v>
      </c>
      <c r="K145" s="127" t="n">
        <v>-5.930261513812376</v>
      </c>
      <c r="L145" s="127" t="n">
        <v>-0.841313170478851</v>
      </c>
      <c r="M145" s="127" t="n">
        <v>9.954547010445816</v>
      </c>
      <c r="N145" s="127" t="n"/>
      <c r="O145" s="127" t="n">
        <v>-1.404608801038168</v>
      </c>
      <c r="P145" s="127" t="n">
        <v>2.255934181361948</v>
      </c>
      <c r="Q145" s="127" t="n">
        <v>-6.606667037197036</v>
      </c>
      <c r="R145" s="127" t="n">
        <v>3.954752854024107</v>
      </c>
    </row>
    <row r="146">
      <c r="C146" s="112" t="n">
        <v>43678</v>
      </c>
      <c r="D146" s="112" t="n">
        <v>43707</v>
      </c>
      <c r="E146" s="126" t="inlineStr">
        <is>
          <t>grid_ovzcidwu.xlsx</t>
        </is>
      </c>
      <c r="F146" s="127" t="n">
        <v>-8.273938110393775</v>
      </c>
      <c r="G146" s="127" t="n">
        <v>4.838997947888264</v>
      </c>
      <c r="H146" s="127" t="n">
        <v>0.2940338478117693</v>
      </c>
      <c r="I146" s="127" t="n">
        <v>0.7489235972152011</v>
      </c>
      <c r="J146" s="127" t="n">
        <v>-8.427925535878044</v>
      </c>
      <c r="K146" s="127" t="n">
        <v>-3.65497516409153</v>
      </c>
      <c r="L146" s="127" t="n">
        <v>-4.278194031243232</v>
      </c>
      <c r="M146" s="127" t="n">
        <v>15.69641246429682</v>
      </c>
      <c r="N146" s="127" t="n"/>
      <c r="O146" s="127" t="n">
        <v>3.41517297229149</v>
      </c>
      <c r="P146" s="127" t="n">
        <v>2.875981649917006</v>
      </c>
      <c r="Q146" s="127" t="n">
        <v>8.912875580087812</v>
      </c>
      <c r="R146" s="127" t="n">
        <v>4.954593656509275</v>
      </c>
    </row>
    <row r="147">
      <c r="C147" s="112" t="n">
        <v>43709</v>
      </c>
      <c r="D147" s="112" t="n">
        <v>43738</v>
      </c>
      <c r="E147" s="126" t="inlineStr">
        <is>
          <t>grid_ovzcidwu.xlsx</t>
        </is>
      </c>
      <c r="F147" s="127" t="n">
        <v>-8.614221584870023</v>
      </c>
      <c r="G147" s="127" t="n">
        <v>4.750586539670089</v>
      </c>
      <c r="H147" s="127" t="n">
        <v>-1.421489447277394</v>
      </c>
      <c r="I147" s="127" t="n">
        <v>3.950193179705351</v>
      </c>
      <c r="J147" s="127" t="n">
        <v>-10.29244884372259</v>
      </c>
      <c r="K147" s="127" t="n">
        <v>-4.963335785041139</v>
      </c>
      <c r="L147" s="127" t="n">
        <v>-4.771350802150324</v>
      </c>
      <c r="M147" s="127" t="n">
        <v>12.66862568222319</v>
      </c>
      <c r="N147" s="127" t="n"/>
      <c r="O147" s="127" t="n">
        <v>4.845199276987821</v>
      </c>
      <c r="P147" s="127" t="n">
        <v>2.825829730958392</v>
      </c>
      <c r="Q147" s="127" t="n">
        <v>-1.783715000562405</v>
      </c>
      <c r="R147" s="127" t="n">
        <v>6.699561451498692</v>
      </c>
    </row>
    <row r="148">
      <c r="C148" s="112" t="n">
        <v>43739</v>
      </c>
      <c r="D148" s="112" t="n">
        <v>43769</v>
      </c>
      <c r="E148" s="126" t="inlineStr">
        <is>
          <t>grid_ovzcidwu.xlsx</t>
        </is>
      </c>
      <c r="F148" s="127" t="n">
        <v>-5.486537199495355</v>
      </c>
      <c r="G148" s="127" t="n">
        <v>2.589477046288906</v>
      </c>
      <c r="H148" s="127" t="n">
        <v>-2.616704513148862</v>
      </c>
      <c r="I148" s="127" t="n">
        <v>-0.360983946629116</v>
      </c>
      <c r="J148" s="127" t="n">
        <v>-16.75512401211667</v>
      </c>
      <c r="K148" s="127" t="n">
        <v>-1.432930867550928</v>
      </c>
      <c r="L148" s="127" t="n">
        <v>-4.164990368445592</v>
      </c>
      <c r="M148" s="127" t="n">
        <v>7.59684319092786</v>
      </c>
      <c r="N148" s="127" t="n"/>
      <c r="O148" s="127" t="n">
        <v>-4.509606946852828</v>
      </c>
      <c r="P148" s="127" t="n">
        <v>4.586186673152887</v>
      </c>
      <c r="Q148" s="127" t="n">
        <v>6.839641396134693</v>
      </c>
      <c r="R148" s="127" t="n">
        <v>1.752262299153154</v>
      </c>
    </row>
    <row r="149">
      <c r="C149" s="112" t="n">
        <v>43770</v>
      </c>
      <c r="D149" s="112" t="n">
        <v>43798</v>
      </c>
      <c r="E149" s="126" t="inlineStr">
        <is>
          <t>grid_ovzcidwu.xlsx</t>
        </is>
      </c>
      <c r="F149" s="127" t="n">
        <v>-2.156414111074612</v>
      </c>
      <c r="G149" s="127" t="n">
        <v>-0.9039959859376964</v>
      </c>
      <c r="H149" s="127" t="n">
        <v>-9.867898532155877</v>
      </c>
      <c r="I149" s="127" t="n">
        <v>4.2765799433436</v>
      </c>
      <c r="J149" s="127" t="n">
        <v>-3.041452289512233</v>
      </c>
      <c r="K149" s="127" t="n">
        <v>-2.290577181744465</v>
      </c>
      <c r="L149" s="127" t="n">
        <v>-3.900513139170535</v>
      </c>
      <c r="M149" s="127" t="n">
        <v>5.010230008624659</v>
      </c>
      <c r="N149" s="127" t="n"/>
      <c r="O149" s="127" t="n">
        <v>-5.62786425413735</v>
      </c>
      <c r="P149" s="127" t="n">
        <v>5.127918198550574</v>
      </c>
      <c r="Q149" s="127" t="n">
        <v>-18.77434837433353</v>
      </c>
      <c r="R149" s="127" t="n">
        <v>0.6902565246358162</v>
      </c>
    </row>
    <row r="150">
      <c r="C150" s="112" t="n">
        <v>43800</v>
      </c>
      <c r="D150" s="112" t="n">
        <v>43830</v>
      </c>
      <c r="E150" s="126" t="inlineStr">
        <is>
          <t>grid_ovzcidwu.xlsx</t>
        </is>
      </c>
      <c r="F150" s="127" t="n">
        <v>-2.182988910252603</v>
      </c>
      <c r="G150" s="127" t="n">
        <v>-2.682122964261858</v>
      </c>
      <c r="H150" s="127" t="n">
        <v>-6.639264612648531</v>
      </c>
      <c r="I150" s="127" t="n">
        <v>-3.381802655216089</v>
      </c>
      <c r="J150" s="127" t="n">
        <v>-2.63370213930992</v>
      </c>
      <c r="K150" s="127" t="n">
        <v>1.629124827675995</v>
      </c>
      <c r="L150" s="127" t="n">
        <v>1.221594422321424</v>
      </c>
      <c r="M150" s="127" t="n">
        <v>5.983730174244187</v>
      </c>
      <c r="N150" s="127" t="n"/>
      <c r="O150" s="127" t="n">
        <v>-1.875112442566061</v>
      </c>
      <c r="P150" s="127" t="n">
        <v>2.598911492943142</v>
      </c>
      <c r="Q150" s="127" t="n">
        <v>-10.08711420958582</v>
      </c>
      <c r="R150" s="127" t="n">
        <v>2.611663551988179</v>
      </c>
    </row>
    <row r="151">
      <c r="C151" s="112" t="n">
        <v>43831</v>
      </c>
      <c r="D151" s="112" t="n">
        <v>43861</v>
      </c>
      <c r="E151" s="126" t="inlineStr">
        <is>
          <t>grid_1mk3z2wn.xlsx</t>
        </is>
      </c>
      <c r="F151" s="127" t="n">
        <v>-9.236160362673196</v>
      </c>
      <c r="G151" s="127" t="n">
        <v>-4.073939225075627</v>
      </c>
      <c r="H151" s="127" t="n">
        <v>-3.969991828788917</v>
      </c>
      <c r="I151" s="127" t="n">
        <v>-10.08569990446233</v>
      </c>
      <c r="J151" s="127" t="n">
        <v>5.810712546209148</v>
      </c>
      <c r="K151" s="127" t="n">
        <v>-5.316582093698714</v>
      </c>
      <c r="L151" s="127" t="n">
        <v>5.516638962194924</v>
      </c>
      <c r="M151" s="127" t="n">
        <v>6.167449531681666</v>
      </c>
      <c r="N151" s="127" t="n"/>
      <c r="O151" s="127" t="n">
        <v>1.128045284465994</v>
      </c>
      <c r="P151" s="127" t="n">
        <v>3.844264583460917</v>
      </c>
      <c r="Q151" s="127" t="n">
        <v>-6.525896632549911</v>
      </c>
      <c r="R151" s="127" t="n">
        <v>6.052506900490117</v>
      </c>
    </row>
    <row r="152">
      <c r="C152" s="112" t="n">
        <v>43862</v>
      </c>
      <c r="D152" s="112" t="n">
        <v>43889</v>
      </c>
      <c r="E152" s="126" t="inlineStr">
        <is>
          <t>grid_1mk3z2wn.xlsx</t>
        </is>
      </c>
      <c r="F152" s="127" t="n">
        <v>-7.917957098831925</v>
      </c>
      <c r="G152" s="127" t="n">
        <v>-4.795018528064966</v>
      </c>
      <c r="H152" s="127" t="n">
        <v>-3.451796431669421</v>
      </c>
      <c r="I152" s="127" t="n">
        <v>-19.96796061961482</v>
      </c>
      <c r="J152" s="127" t="n">
        <v>1.710082322946184</v>
      </c>
      <c r="K152" s="127" t="n">
        <v>-3.121905663664044</v>
      </c>
      <c r="L152" s="127" t="n">
        <v>10.2418454915873</v>
      </c>
      <c r="M152" s="127" t="n">
        <v>7.609570918648205</v>
      </c>
      <c r="N152" s="127" t="n"/>
      <c r="O152" s="127" t="n">
        <v>3.07095725560435</v>
      </c>
      <c r="P152" s="127" t="n">
        <v>6.684177528152543</v>
      </c>
      <c r="Q152" s="127" t="n">
        <v>6.326488819771203</v>
      </c>
      <c r="R152" s="127" t="n">
        <v>7.555267684196326</v>
      </c>
    </row>
    <row r="153">
      <c r="C153" s="112" t="n">
        <v>43891</v>
      </c>
      <c r="D153" s="112" t="n">
        <v>43921</v>
      </c>
      <c r="E153" s="126" t="inlineStr">
        <is>
          <t>grid_1mk3z2wn.xlsx</t>
        </is>
      </c>
      <c r="F153" s="127" t="n">
        <v>-22.55603350474197</v>
      </c>
      <c r="G153" s="127" t="n">
        <v>1.372093439774546</v>
      </c>
      <c r="H153" s="127" t="n">
        <v>-19.70249316599338</v>
      </c>
      <c r="I153" s="127" t="n">
        <v>-25.55126637374148</v>
      </c>
      <c r="J153" s="127" t="n">
        <v>-96.00206183517982</v>
      </c>
      <c r="K153" s="127" t="n">
        <v>-6.797824969340943</v>
      </c>
      <c r="L153" s="127" t="n">
        <v>11.34410368652735</v>
      </c>
      <c r="M153" s="127" t="n">
        <v>0.2224466095199845</v>
      </c>
      <c r="N153" s="127" t="n"/>
      <c r="O153" s="127" t="n">
        <v>6.166908710359349</v>
      </c>
      <c r="P153" s="127" t="n">
        <v>-26.01888602957577</v>
      </c>
      <c r="Q153" s="127" t="n">
        <v>8.314362320727152</v>
      </c>
      <c r="R153" s="127" t="n">
        <v>5.017585841775369</v>
      </c>
    </row>
    <row r="154">
      <c r="C154" s="112" t="n">
        <v>43922</v>
      </c>
      <c r="D154" s="112" t="n">
        <v>43951</v>
      </c>
      <c r="E154" s="126" t="inlineStr">
        <is>
          <t>grid_1mk3z2wn.xlsx</t>
        </is>
      </c>
      <c r="F154" s="127" t="n">
        <v>-31.82414515325306</v>
      </c>
      <c r="G154" s="127" t="n">
        <v>-1.472191243175917</v>
      </c>
      <c r="H154" s="127" t="n">
        <v>-32.96940113562098</v>
      </c>
      <c r="I154" s="127" t="n">
        <v>-30.99525925817987</v>
      </c>
      <c r="J154" s="127" t="n">
        <v>-169.9885289106782</v>
      </c>
      <c r="K154" s="127" t="n">
        <v>-9.111072360670263</v>
      </c>
      <c r="L154" s="127" t="n">
        <v>3.307631350682057</v>
      </c>
      <c r="M154" s="127" t="n">
        <v>-23.11960952577285</v>
      </c>
      <c r="N154" s="127" t="n">
        <v>1.347445166958035</v>
      </c>
      <c r="O154" s="127" t="n">
        <v>-3.073810570149614</v>
      </c>
      <c r="P154" s="127" t="n">
        <v>-54.22530291743794</v>
      </c>
      <c r="Q154" s="127" t="n">
        <v>0.4273001868757398</v>
      </c>
      <c r="R154" s="127" t="n">
        <v>-4.117873531641267</v>
      </c>
    </row>
    <row r="155">
      <c r="C155" s="112" t="n">
        <v>43952</v>
      </c>
      <c r="D155" s="112" t="n">
        <v>43980</v>
      </c>
      <c r="E155" s="126" t="inlineStr">
        <is>
          <t>grid_1mk3z2wn.xlsx</t>
        </is>
      </c>
      <c r="F155" s="127" t="n">
        <v>-37.96702944112238</v>
      </c>
      <c r="G155" s="127" t="n">
        <v>-0.7365278818740918</v>
      </c>
      <c r="H155" s="127" t="n">
        <v>-34.82035182296482</v>
      </c>
      <c r="I155" s="127" t="n">
        <v>-29.72832531809863</v>
      </c>
      <c r="J155" s="127" t="n">
        <v>-286.5218052690151</v>
      </c>
      <c r="K155" s="127" t="n">
        <v>-19.3209279393182</v>
      </c>
      <c r="L155" s="127" t="n">
        <v>-4.097737834919542</v>
      </c>
      <c r="M155" s="127" t="n">
        <v>-44.23757091108512</v>
      </c>
      <c r="N155" s="127" t="n">
        <v>3.00433674149432</v>
      </c>
      <c r="O155" s="127" t="n">
        <v>7.174404097601456</v>
      </c>
      <c r="P155" s="127" t="n">
        <v>-54.91548062141818</v>
      </c>
      <c r="Q155" s="127" t="n">
        <v>-16.15144887166206</v>
      </c>
      <c r="R155" s="127" t="n">
        <v>-0.9685822243033382</v>
      </c>
    </row>
    <row r="156">
      <c r="C156" s="112" t="n">
        <v>43983</v>
      </c>
      <c r="D156" s="112" t="n">
        <v>44012</v>
      </c>
      <c r="E156" s="126" t="inlineStr">
        <is>
          <t>grid_1mk3z2wn.xlsx</t>
        </is>
      </c>
      <c r="F156" s="127" t="n">
        <v>-30.89311473421748</v>
      </c>
      <c r="G156" s="127" t="n">
        <v>-7.312934242241667</v>
      </c>
      <c r="H156" s="127" t="n">
        <v>-21.5287805638718</v>
      </c>
      <c r="I156" s="127" t="n">
        <v>-19.74836513406113</v>
      </c>
      <c r="J156" s="127" t="n"/>
      <c r="K156" s="127" t="n">
        <v>-30.91446387650762</v>
      </c>
      <c r="L156" s="127" t="n">
        <v>-4.736391249656554</v>
      </c>
      <c r="M156" s="127" t="n">
        <v>-48.51130087427066</v>
      </c>
      <c r="N156" s="127" t="n">
        <v>4.240306338510239</v>
      </c>
      <c r="O156" s="127" t="n">
        <v>5.525092007077502</v>
      </c>
      <c r="P156" s="127" t="n">
        <v>-9.817750718528423</v>
      </c>
      <c r="Q156" s="127" t="n">
        <v>-7.618712137447041</v>
      </c>
      <c r="R156" s="127" t="n">
        <v>-1.534913932120396</v>
      </c>
    </row>
    <row r="157">
      <c r="C157" s="112" t="n">
        <v>44013</v>
      </c>
      <c r="D157" s="112" t="n">
        <v>44043</v>
      </c>
      <c r="E157" s="126" t="inlineStr">
        <is>
          <t>grid_1mk3z2wn.xlsx</t>
        </is>
      </c>
      <c r="F157" s="127" t="n">
        <v>-8.233005890301445</v>
      </c>
      <c r="G157" s="127" t="n">
        <v>-9.839913888282577</v>
      </c>
      <c r="H157" s="127" t="n">
        <v>-1.763928989248396</v>
      </c>
      <c r="I157" s="127" t="n">
        <v>-10.49650784195249</v>
      </c>
      <c r="J157" s="127" t="n">
        <v>-118.2536461460154</v>
      </c>
      <c r="K157" s="127" t="n">
        <v>-25.3202834729186</v>
      </c>
      <c r="L157" s="127" t="n">
        <v>-2.106799966029956</v>
      </c>
      <c r="M157" s="127" t="n">
        <v>-6.32819183641065</v>
      </c>
      <c r="N157" s="127" t="n">
        <v>4.645212207870579</v>
      </c>
      <c r="O157" s="127" t="n">
        <v>23.15597418299087</v>
      </c>
      <c r="P157" s="127" t="n">
        <v>16.85237218100988</v>
      </c>
      <c r="Q157" s="127" t="n">
        <v>0.6091607880717</v>
      </c>
      <c r="R157" s="127" t="n">
        <v>13.80806152246273</v>
      </c>
    </row>
    <row r="158">
      <c r="C158" s="112" t="n">
        <v>44044</v>
      </c>
      <c r="D158" s="112" t="n">
        <v>44074</v>
      </c>
      <c r="E158" s="126" t="inlineStr">
        <is>
          <t>grid_1mk3z2wn.xlsx</t>
        </is>
      </c>
      <c r="F158" s="127" t="n">
        <v>8.368671527005468</v>
      </c>
      <c r="G158" s="127" t="n">
        <v>-3.486919441365709</v>
      </c>
      <c r="H158" s="127" t="n">
        <v>2.233586567339699</v>
      </c>
      <c r="I158" s="127" t="n">
        <v>-2.576579987107402</v>
      </c>
      <c r="J158" s="127" t="n">
        <v>120.9036769149317</v>
      </c>
      <c r="K158" s="127" t="n">
        <v>-14.67505166165613</v>
      </c>
      <c r="L158" s="127" t="n">
        <v>-0.06455646775069959</v>
      </c>
      <c r="M158" s="127" t="n">
        <v>12.453289139353</v>
      </c>
      <c r="N158" s="127" t="n">
        <v>-1.568210069146488</v>
      </c>
      <c r="O158" s="127" t="n">
        <v>20.28746036371006</v>
      </c>
      <c r="P158" s="127" t="n">
        <v>14.09093933749553</v>
      </c>
      <c r="Q158" s="127" t="n">
        <v>24.46226464420517</v>
      </c>
      <c r="R158" s="127" t="n">
        <v>9.120620266568933</v>
      </c>
    </row>
    <row r="159">
      <c r="C159" s="112" t="n">
        <v>44075</v>
      </c>
      <c r="D159" s="112" t="n">
        <v>44104</v>
      </c>
      <c r="E159" s="126" t="inlineStr">
        <is>
          <t>grid_1mk3z2wn.xlsx</t>
        </is>
      </c>
      <c r="F159" s="127" t="n">
        <v>26.94757740854578</v>
      </c>
      <c r="G159" s="127" t="n">
        <v>-0.2791513286744809</v>
      </c>
      <c r="H159" s="127" t="n">
        <v>13.67264355932465</v>
      </c>
      <c r="I159" s="127" t="n">
        <v>-1.117953177705551</v>
      </c>
      <c r="J159" s="127" t="n"/>
      <c r="K159" s="127" t="n">
        <v>3.954484298528734</v>
      </c>
      <c r="L159" s="127" t="n">
        <v>-1.985456161149717</v>
      </c>
      <c r="M159" s="127" t="n">
        <v>34.05777776462989</v>
      </c>
      <c r="N159" s="127" t="n">
        <v>-2.36379990250759</v>
      </c>
      <c r="O159" s="127" t="n">
        <v>29.29775623372251</v>
      </c>
      <c r="P159" s="127" t="n">
        <v>-5.001395726571844</v>
      </c>
      <c r="Q159" s="127" t="n">
        <v>9.282932592808649</v>
      </c>
      <c r="R159" s="127" t="n">
        <v>10.68381963324667</v>
      </c>
    </row>
    <row r="160">
      <c r="C160" s="112" t="n">
        <v>44105</v>
      </c>
      <c r="D160" s="112" t="n">
        <v>44134</v>
      </c>
      <c r="E160" s="126" t="inlineStr">
        <is>
          <t>grid_1mk3z2wn.xlsx</t>
        </is>
      </c>
      <c r="F160" s="127" t="n">
        <v>40.0247164566229</v>
      </c>
      <c r="G160" s="127" t="n">
        <v>9.20657129114125</v>
      </c>
      <c r="H160" s="127" t="n">
        <v>9.147759889903542</v>
      </c>
      <c r="I160" s="127" t="n">
        <v>6.323352473804311</v>
      </c>
      <c r="J160" s="127" t="n">
        <v>223.0696644909713</v>
      </c>
      <c r="K160" s="127" t="n">
        <v>13.24207825208662</v>
      </c>
      <c r="L160" s="127" t="n">
        <v>4.348766847826495</v>
      </c>
      <c r="M160" s="127" t="n">
        <v>30.44230101951944</v>
      </c>
      <c r="N160" s="127" t="n">
        <v>4.916846249990351</v>
      </c>
      <c r="O160" s="127" t="n">
        <v>39.85780415963026</v>
      </c>
      <c r="P160" s="127" t="n">
        <v>8.767518643148209</v>
      </c>
      <c r="Q160" s="127" t="n">
        <v>5.264733616829646</v>
      </c>
      <c r="R160" s="127" t="n">
        <v>15.09988466651529</v>
      </c>
    </row>
    <row r="161">
      <c r="C161" s="112" t="n">
        <v>44136</v>
      </c>
      <c r="D161" s="112" t="n">
        <v>44165</v>
      </c>
      <c r="E161" s="126" t="inlineStr">
        <is>
          <t>grid_1mk3z2wn.xlsx</t>
        </is>
      </c>
      <c r="F161" s="127" t="n">
        <v>47.02070495533713</v>
      </c>
      <c r="G161" s="127" t="n">
        <v>2.268828835731714</v>
      </c>
      <c r="H161" s="127" t="n">
        <v>18.56750316880391</v>
      </c>
      <c r="I161" s="127" t="n">
        <v>8.640404295885878</v>
      </c>
      <c r="J161" s="127" t="n">
        <v>132.5383731755736</v>
      </c>
      <c r="K161" s="127" t="n">
        <v>19.4898013266446</v>
      </c>
      <c r="L161" s="127" t="n">
        <v>8.349614647429288</v>
      </c>
      <c r="M161" s="127" t="n">
        <v>24.08890870150234</v>
      </c>
      <c r="N161" s="127" t="n">
        <v>10.71295121261837</v>
      </c>
      <c r="O161" s="127" t="n">
        <v>43.35533165115741</v>
      </c>
      <c r="P161" s="127" t="n">
        <v>12.67365470334209</v>
      </c>
      <c r="Q161" s="127" t="n">
        <v>-8.592201744725319</v>
      </c>
      <c r="R161" s="127" t="n">
        <v>11.29036441192139</v>
      </c>
    </row>
    <row r="162">
      <c r="C162" s="112" t="n">
        <v>44166</v>
      </c>
      <c r="D162" s="112" t="n">
        <v>44196</v>
      </c>
      <c r="E162" s="126" t="inlineStr">
        <is>
          <t>grid_1mk3z2wn.xlsx</t>
        </is>
      </c>
      <c r="F162" s="127" t="n">
        <v>38.49224788377128</v>
      </c>
      <c r="G162" s="127" t="n">
        <v>10.09850622620993</v>
      </c>
      <c r="H162" s="127" t="n">
        <v>14.43303516575312</v>
      </c>
      <c r="I162" s="127" t="n">
        <v>12.7461952638722</v>
      </c>
      <c r="J162" s="127" t="n">
        <v>110.8220813808839</v>
      </c>
      <c r="K162" s="127" t="n">
        <v>13.89012530705497</v>
      </c>
      <c r="L162" s="127" t="n">
        <v>14.92217008075499</v>
      </c>
      <c r="M162" s="127" t="n">
        <v>18.27326224455618</v>
      </c>
      <c r="N162" s="127" t="n">
        <v>14.30433340727958</v>
      </c>
      <c r="O162" s="127" t="n">
        <v>29.00730523607152</v>
      </c>
      <c r="P162" s="127" t="n">
        <v>16.18651103113847</v>
      </c>
      <c r="Q162" s="127" t="n">
        <v>2.116777408268956</v>
      </c>
      <c r="R162" s="127" t="n">
        <v>0.1938996632785383</v>
      </c>
    </row>
    <row r="163">
      <c r="C163" s="112" t="n">
        <v>44197</v>
      </c>
      <c r="D163" s="112" t="n">
        <v>44225</v>
      </c>
      <c r="E163" s="126" t="inlineStr">
        <is>
          <t>grid_1mk3z2wn.xlsx</t>
        </is>
      </c>
      <c r="F163" s="127" t="n">
        <v>32.48120518438486</v>
      </c>
      <c r="G163" s="127" t="n">
        <v>6.629345392869247</v>
      </c>
      <c r="H163" s="127" t="n">
        <v>13.08679396236439</v>
      </c>
      <c r="I163" s="127" t="n">
        <v>11.52153957942583</v>
      </c>
      <c r="J163" s="127" t="n">
        <v>58.70205555358362</v>
      </c>
      <c r="K163" s="127" t="n">
        <v>8.975757698000578</v>
      </c>
      <c r="L163" s="127" t="n">
        <v>14.47138104198861</v>
      </c>
      <c r="M163" s="127" t="n">
        <v>11.46415835760685</v>
      </c>
      <c r="N163" s="127" t="n">
        <v>3.453572546196552</v>
      </c>
      <c r="O163" s="127" t="n">
        <v>28.54281687295858</v>
      </c>
      <c r="P163" s="127" t="n">
        <v>-1.442837732004008</v>
      </c>
      <c r="Q163" s="127" t="n">
        <v>-2.465961469553401</v>
      </c>
      <c r="R163" s="127" t="n">
        <v>-17.2808830159674</v>
      </c>
    </row>
    <row r="164">
      <c r="C164" s="112" t="n">
        <v>44228</v>
      </c>
      <c r="D164" s="112" t="n">
        <v>44253</v>
      </c>
      <c r="E164" s="126" t="inlineStr">
        <is>
          <t>grid_1mk3z2wn.xlsx</t>
        </is>
      </c>
      <c r="F164" s="127" t="n">
        <v>24.83541391897568</v>
      </c>
      <c r="G164" s="127" t="n">
        <v>7.841237249911319</v>
      </c>
      <c r="H164" s="127" t="n">
        <v>3.993600531603706</v>
      </c>
      <c r="I164" s="127" t="n">
        <v>7.165259611908646</v>
      </c>
      <c r="J164" s="127" t="n">
        <v>36.83764922175639</v>
      </c>
      <c r="K164" s="127" t="n">
        <v>3.005954334840316</v>
      </c>
      <c r="L164" s="127" t="n">
        <v>9.536493169412795</v>
      </c>
      <c r="M164" s="127" t="n">
        <v>13.69018207745634</v>
      </c>
      <c r="N164" s="127" t="n">
        <v>4.772688320438526</v>
      </c>
      <c r="O164" s="127" t="n">
        <v>22.90205511208407</v>
      </c>
      <c r="P164" s="127" t="n">
        <v>-9.718765451773614</v>
      </c>
      <c r="Q164" s="127" t="n">
        <v>5.647774856037133</v>
      </c>
      <c r="R164" s="127" t="n">
        <v>-15.46470307066344</v>
      </c>
    </row>
    <row r="165">
      <c r="C165" s="112" t="n">
        <v>44256</v>
      </c>
      <c r="D165" s="112" t="n">
        <v>44286</v>
      </c>
      <c r="E165" s="126" t="inlineStr">
        <is>
          <t>grid_1mk3z2wn.xlsx</t>
        </is>
      </c>
      <c r="F165" s="127" t="n">
        <v>34.12888399386084</v>
      </c>
      <c r="G165" s="127" t="n">
        <v>0.9774934760994632</v>
      </c>
      <c r="H165" s="127" t="n">
        <v>10.38818434792362</v>
      </c>
      <c r="I165" s="127" t="n">
        <v>4.143872287975617</v>
      </c>
      <c r="J165" s="127" t="n">
        <v>28.04868814384828</v>
      </c>
      <c r="K165" s="127" t="n">
        <v>6.236031195301722</v>
      </c>
      <c r="L165" s="127" t="n">
        <v>9.092018098049303</v>
      </c>
      <c r="M165" s="127" t="n">
        <v>2.190946594727973</v>
      </c>
      <c r="N165" s="127" t="n">
        <v>5.467754632057368</v>
      </c>
      <c r="O165" s="127" t="n">
        <v>37.21983324216767</v>
      </c>
      <c r="P165" s="127" t="n">
        <v>-6.862771670949226</v>
      </c>
      <c r="Q165" s="127" t="n">
        <v>2.535939293503282</v>
      </c>
      <c r="R165" s="127" t="n">
        <v>-13.72422723921314</v>
      </c>
    </row>
    <row r="166">
      <c r="C166" s="112" t="n">
        <v>44287</v>
      </c>
      <c r="D166" s="112" t="n">
        <v>44316</v>
      </c>
      <c r="E166" s="126" t="inlineStr">
        <is>
          <t>grid_1mk3z2wn.xlsx</t>
        </is>
      </c>
      <c r="F166" s="127" t="n">
        <v>35.88754152297508</v>
      </c>
      <c r="G166" s="127" t="n">
        <v>3.491733163574115</v>
      </c>
      <c r="H166" s="127" t="n">
        <v>8.841599192575616</v>
      </c>
      <c r="I166" s="127" t="n">
        <v>5.604176094766384</v>
      </c>
      <c r="J166" s="127" t="n">
        <v>47.78736185220254</v>
      </c>
      <c r="K166" s="127" t="n">
        <v>5.93076842059658</v>
      </c>
      <c r="L166" s="127" t="n">
        <v>1.049425169479499</v>
      </c>
      <c r="M166" s="127" t="n">
        <v>-2.716094141268815</v>
      </c>
      <c r="N166" s="127" t="n">
        <v>7.752769687311521</v>
      </c>
      <c r="O166" s="127" t="n">
        <v>30.2662929092376</v>
      </c>
      <c r="P166" s="127" t="n">
        <v>-12.27634932865254</v>
      </c>
      <c r="Q166" s="127" t="n">
        <v>9.132028858006619</v>
      </c>
      <c r="R166" s="127" t="n">
        <v>-4.869511652332928</v>
      </c>
    </row>
    <row r="167">
      <c r="C167" s="112" t="n">
        <v>44317</v>
      </c>
      <c r="D167" s="112" t="n">
        <v>44347</v>
      </c>
      <c r="E167" s="126" t="inlineStr">
        <is>
          <t>grid_1mk3z2wn.xlsx</t>
        </is>
      </c>
      <c r="F167" s="127" t="n">
        <v>21.06083184174514</v>
      </c>
      <c r="G167" s="127" t="n">
        <v>0.5501096534798187</v>
      </c>
      <c r="H167" s="127" t="n">
        <v>18.18544977798695</v>
      </c>
      <c r="I167" s="127" t="n">
        <v>10.86775588922598</v>
      </c>
      <c r="J167" s="127" t="n">
        <v>38.59580161334842</v>
      </c>
      <c r="K167" s="127" t="n">
        <v>3.327927994777538</v>
      </c>
      <c r="L167" s="127" t="n">
        <v>2.745197860363315</v>
      </c>
      <c r="M167" s="127" t="n">
        <v>-2.779065137822459</v>
      </c>
      <c r="N167" s="127" t="n">
        <v>-33.38005260992183</v>
      </c>
      <c r="O167" s="127" t="n">
        <v>24.79950126759916</v>
      </c>
      <c r="P167" s="127" t="n">
        <v>-3.863352836002556</v>
      </c>
      <c r="Q167" s="127" t="n">
        <v>11.69054807656091</v>
      </c>
      <c r="R167" s="127" t="n">
        <v>-16.73338754155818</v>
      </c>
    </row>
    <row r="168">
      <c r="C168" s="112" t="n">
        <v>44348</v>
      </c>
      <c r="D168" s="112" t="n">
        <v>44377</v>
      </c>
      <c r="E168" s="126" t="inlineStr">
        <is>
          <t>grid_1mk3z2wn.xlsx</t>
        </is>
      </c>
      <c r="F168" s="127" t="n">
        <v>13.74279398222745</v>
      </c>
      <c r="G168" s="127" t="n">
        <v>1.192563130510008</v>
      </c>
      <c r="H168" s="127" t="n">
        <v>13.54715581374247</v>
      </c>
      <c r="I168" s="127" t="n">
        <v>5.529080251293525</v>
      </c>
      <c r="J168" s="127" t="n">
        <v>35.85101510247177</v>
      </c>
      <c r="K168" s="127" t="n">
        <v>0.3443466957094842</v>
      </c>
      <c r="L168" s="127" t="n">
        <v>-3.100529023552624</v>
      </c>
      <c r="M168" s="127" t="n">
        <v>3.323096292241443</v>
      </c>
      <c r="N168" s="127" t="n">
        <v>-32.66119592092159</v>
      </c>
      <c r="O168" s="127" t="n">
        <v>13.6106706768149</v>
      </c>
      <c r="P168" s="127" t="n">
        <v>4.888058439820164</v>
      </c>
      <c r="Q168" s="127" t="n">
        <v>13.35982403192515</v>
      </c>
      <c r="R168" s="127" t="n">
        <v>-26.21337020647778</v>
      </c>
    </row>
    <row r="169">
      <c r="C169" s="112" t="n">
        <v>44378</v>
      </c>
      <c r="D169" s="112" t="n">
        <v>44407</v>
      </c>
      <c r="E169" s="126" t="inlineStr">
        <is>
          <t>grid_1mk3z2wn.xlsx</t>
        </is>
      </c>
      <c r="F169" s="127" t="n">
        <v>4.390157518096733</v>
      </c>
      <c r="G169" s="127" t="n">
        <v>0.1062269671807964</v>
      </c>
      <c r="H169" s="127" t="n">
        <v>25.94773662780627</v>
      </c>
      <c r="I169" s="127" t="n">
        <v>8.368142483122353</v>
      </c>
      <c r="J169" s="127" t="n">
        <v>13.26273303032794</v>
      </c>
      <c r="K169" s="127" t="n">
        <v>2.53712219424072</v>
      </c>
      <c r="L169" s="127" t="n">
        <v>10.03512192166388</v>
      </c>
      <c r="M169" s="127" t="n">
        <v>8.116348889642417</v>
      </c>
      <c r="N169" s="127" t="n">
        <v>2.277918194064489</v>
      </c>
      <c r="O169" s="127" t="n">
        <v>10.47150868875988</v>
      </c>
      <c r="P169" s="127" t="n">
        <v>12.25737942208069</v>
      </c>
      <c r="Q169" s="127" t="n">
        <v>13.69011376690066</v>
      </c>
      <c r="R169" s="127" t="n">
        <v>-26.51316424898297</v>
      </c>
    </row>
    <row r="170">
      <c r="C170" s="112" t="n">
        <v>44409</v>
      </c>
      <c r="D170" s="112" t="n">
        <v>44439</v>
      </c>
      <c r="E170" s="126" t="inlineStr">
        <is>
          <t>grid_1mk3z2wn.xlsx</t>
        </is>
      </c>
      <c r="F170" s="127" t="n">
        <v>7.370423433940281</v>
      </c>
      <c r="G170" s="127" t="n">
        <v>6.550353946358952</v>
      </c>
      <c r="H170" s="127" t="n">
        <v>16.11955278686385</v>
      </c>
      <c r="I170" s="127" t="n">
        <v>2.62766351424454</v>
      </c>
      <c r="J170" s="127" t="n">
        <v>18.73046145074478</v>
      </c>
      <c r="K170" s="127" t="n">
        <v>7.121471373185365</v>
      </c>
      <c r="L170" s="127" t="n">
        <v>14.92755286149136</v>
      </c>
      <c r="M170" s="127" t="n">
        <v>12.70169511889547</v>
      </c>
      <c r="N170" s="127" t="n">
        <v>33.02229213835928</v>
      </c>
      <c r="O170" s="127" t="n">
        <v>3.886454043107037</v>
      </c>
      <c r="P170" s="127" t="n">
        <v>7.625499545371079</v>
      </c>
      <c r="Q170" s="127" t="n">
        <v>2.512157460623258</v>
      </c>
      <c r="R170" s="127" t="n">
        <v>-7.30149912995413</v>
      </c>
    </row>
    <row r="171">
      <c r="C171" s="112" t="n">
        <v>44440</v>
      </c>
      <c r="D171" s="112" t="n">
        <v>44469</v>
      </c>
      <c r="E171" s="126" t="inlineStr">
        <is>
          <t>grid_1mk3z2wn.xlsx</t>
        </is>
      </c>
      <c r="F171" s="127" t="n">
        <v>-3.915659415082027</v>
      </c>
      <c r="G171" s="127" t="n">
        <v>-5.076725875437191</v>
      </c>
      <c r="H171" s="127" t="n">
        <v>14.93351318814215</v>
      </c>
      <c r="I171" s="127" t="n">
        <v>12.79545550652909</v>
      </c>
      <c r="J171" s="127" t="n">
        <v>7.916763125046662</v>
      </c>
      <c r="K171" s="127" t="n">
        <v>5.455443106292137</v>
      </c>
      <c r="L171" s="127" t="n">
        <v>36.14908232066262</v>
      </c>
      <c r="M171" s="127" t="n">
        <v>17.88257468613</v>
      </c>
      <c r="N171" s="127" t="n">
        <v>15.17798875476075</v>
      </c>
      <c r="O171" s="127" t="n">
        <v>-14.99494275724041</v>
      </c>
      <c r="P171" s="127" t="n">
        <v>1.729674570456751</v>
      </c>
      <c r="Q171" s="127" t="n">
        <v>-1.494079207086842</v>
      </c>
      <c r="R171" s="127" t="n">
        <v>-0.6600895197021583</v>
      </c>
    </row>
    <row r="172">
      <c r="C172" s="112" t="n">
        <v>44470</v>
      </c>
      <c r="D172" s="112" t="n">
        <v>44498</v>
      </c>
      <c r="E172" s="126" t="inlineStr">
        <is>
          <t>grid_1mk3z2wn.xlsx</t>
        </is>
      </c>
      <c r="F172" s="127" t="n">
        <v>-7.545108249732611</v>
      </c>
      <c r="G172" s="127" t="n">
        <v>5.493779283820918</v>
      </c>
      <c r="H172" s="127" t="n">
        <v>4.82285588998233</v>
      </c>
      <c r="I172" s="127" t="n">
        <v>16.82305764345801</v>
      </c>
      <c r="J172" s="127" t="n">
        <v>18.60441513218088</v>
      </c>
      <c r="K172" s="127" t="n">
        <v>6.462371259441478</v>
      </c>
      <c r="L172" s="127" t="n">
        <v>25.52130219090347</v>
      </c>
      <c r="M172" s="127" t="n">
        <v>12.79331849605489</v>
      </c>
      <c r="N172" s="127" t="n">
        <v>-16.41627931795435</v>
      </c>
      <c r="O172" s="127" t="n">
        <v>-34.57646543852367</v>
      </c>
      <c r="P172" s="127" t="n">
        <v>3.324593070261623</v>
      </c>
      <c r="Q172" s="127" t="n">
        <v>-4.739121811651344</v>
      </c>
      <c r="R172" s="127" t="n">
        <v>-2.278118233075077</v>
      </c>
    </row>
    <row r="173">
      <c r="C173" s="112" t="n">
        <v>44501</v>
      </c>
      <c r="D173" s="112" t="n">
        <v>44530</v>
      </c>
      <c r="E173" s="126" t="inlineStr">
        <is>
          <t>grid_1mk3z2wn.xlsx</t>
        </is>
      </c>
      <c r="F173" s="127" t="n">
        <v>-3.678376626985816</v>
      </c>
      <c r="G173" s="127" t="n">
        <v>-3.626290253823705</v>
      </c>
      <c r="H173" s="127" t="n">
        <v>-6.202991738783456</v>
      </c>
      <c r="I173" s="127" t="n">
        <v>28.98055583199727</v>
      </c>
      <c r="J173" s="127" t="n">
        <v>27.04863568644923</v>
      </c>
      <c r="K173" s="127" t="n">
        <v>0.8971342006544579</v>
      </c>
      <c r="L173" s="127" t="n">
        <v>9.587071503130502</v>
      </c>
      <c r="M173" s="127" t="n">
        <v>9.381530362454185</v>
      </c>
      <c r="N173" s="127" t="n">
        <v>4.459560358932293</v>
      </c>
      <c r="O173" s="127" t="n">
        <v>-44.19748215155926</v>
      </c>
      <c r="P173" s="127" t="n">
        <v>19.91984861999564</v>
      </c>
      <c r="Q173" s="127" t="n">
        <v>0.5807261443383945</v>
      </c>
      <c r="R173" s="127" t="n">
        <v>-12.55378447523662</v>
      </c>
    </row>
    <row r="174">
      <c r="C174" s="112" t="n">
        <v>44531</v>
      </c>
      <c r="D174" s="112" t="n">
        <v>44561</v>
      </c>
      <c r="E174" s="126" t="inlineStr">
        <is>
          <t>grid_1mk3z2wn.xlsx</t>
        </is>
      </c>
      <c r="F174" s="127" t="n">
        <v>1.609905463692503</v>
      </c>
      <c r="G174" s="127" t="n">
        <v>3.21387256131338</v>
      </c>
      <c r="H174" s="127" t="n">
        <v>-16.48457317141823</v>
      </c>
      <c r="I174" s="127" t="n">
        <v>16.42776182603928</v>
      </c>
      <c r="J174" s="127" t="n">
        <v>25.53829237194972</v>
      </c>
      <c r="K174" s="127" t="n">
        <v>2.193830055031436</v>
      </c>
      <c r="L174" s="127" t="n">
        <v>-9.648282522576695</v>
      </c>
      <c r="M174" s="127" t="n">
        <v>3.621380805778185</v>
      </c>
      <c r="N174" s="127" t="n">
        <v>11.54887946253467</v>
      </c>
      <c r="O174" s="127" t="n">
        <v>-34.10611387651363</v>
      </c>
      <c r="P174" s="127" t="n">
        <v>11.80095760688599</v>
      </c>
      <c r="Q174" s="127" t="n">
        <v>-3.36241983962133</v>
      </c>
      <c r="R174" s="127" t="n">
        <v>-0.9720437769975473</v>
      </c>
    </row>
    <row r="175">
      <c r="C175" s="112" t="n">
        <v>44562</v>
      </c>
      <c r="D175" s="112" t="n">
        <v>44592</v>
      </c>
      <c r="E175" s="126" t="inlineStr">
        <is>
          <t>grid_1mk3z2wn.xlsx</t>
        </is>
      </c>
      <c r="F175" s="127" t="n">
        <v>4.13650118281958</v>
      </c>
      <c r="G175" s="127" t="n">
        <v>-11.47134440993727</v>
      </c>
      <c r="H175" s="127" t="n">
        <v>-10.25822313804207</v>
      </c>
      <c r="I175" s="127" t="n">
        <v>4.681973010877768</v>
      </c>
      <c r="J175" s="127" t="n">
        <v>11.9877205357433</v>
      </c>
      <c r="K175" s="127" t="n">
        <v>0.7686304541592891</v>
      </c>
      <c r="L175" s="127" t="n">
        <v>-10.66017773686561</v>
      </c>
      <c r="M175" s="127" t="n">
        <v>3.331801436742238</v>
      </c>
      <c r="N175" s="127" t="n">
        <v>12.82514879693014</v>
      </c>
      <c r="O175" s="127" t="n">
        <v>-16.17949999371546</v>
      </c>
      <c r="P175" s="127" t="n">
        <v>9.597821036664588</v>
      </c>
      <c r="Q175" s="127" t="n">
        <v>-2.941873561278238</v>
      </c>
      <c r="R175" s="127" t="n">
        <v>45.60173160205391</v>
      </c>
    </row>
    <row r="176">
      <c r="C176" s="112" t="n">
        <v>44593</v>
      </c>
      <c r="D176" s="112" t="n">
        <v>44620</v>
      </c>
      <c r="E176" s="126" t="inlineStr">
        <is>
          <t>grid_1mk3z2wn.xlsx</t>
        </is>
      </c>
      <c r="F176" s="127" t="n">
        <v>9.300015521321352</v>
      </c>
      <c r="G176" s="127" t="n">
        <v>0.9380808238950066</v>
      </c>
      <c r="H176" s="127" t="n">
        <v>-2.592714727662514</v>
      </c>
      <c r="I176" s="127" t="n">
        <v>-3.369368359155531</v>
      </c>
      <c r="J176" s="127" t="n">
        <v>-3.027964090873259</v>
      </c>
      <c r="K176" s="127" t="n">
        <v>3.614753741572366</v>
      </c>
      <c r="L176" s="127" t="n">
        <v>20.07710286500359</v>
      </c>
      <c r="M176" s="127" t="n">
        <v>1.540088866479749</v>
      </c>
      <c r="N176" s="127" t="n">
        <v>6.204074097921074</v>
      </c>
      <c r="O176" s="127" t="n">
        <v>8.636748526145874</v>
      </c>
      <c r="P176" s="127" t="n">
        <v>-6.08546171192655</v>
      </c>
      <c r="Q176" s="127" t="n">
        <v>-9.626756909545277</v>
      </c>
      <c r="R176" s="127" t="n">
        <v>47.82518758986203</v>
      </c>
    </row>
    <row r="177">
      <c r="C177" s="112" t="n">
        <v>44621</v>
      </c>
      <c r="D177" s="112" t="n">
        <v>44651</v>
      </c>
      <c r="E177" s="126" t="inlineStr">
        <is>
          <t>grid_1mk3z2wn.xlsx</t>
        </is>
      </c>
      <c r="F177" s="127" t="n">
        <v>17.1561481723714</v>
      </c>
      <c r="G177" s="127" t="n">
        <v>4.939516355715885</v>
      </c>
      <c r="H177" s="127" t="n">
        <v>5.167637502049578</v>
      </c>
      <c r="I177" s="127" t="n">
        <v>-1.237230202426559</v>
      </c>
      <c r="J177" s="127" t="n">
        <v>13.41764264353938</v>
      </c>
      <c r="K177" s="127" t="n">
        <v>5.090741160484328</v>
      </c>
      <c r="L177" s="127" t="n">
        <v>28.7719777447135</v>
      </c>
      <c r="M177" s="127" t="n">
        <v>5.670328513560262</v>
      </c>
      <c r="N177" s="127" t="n">
        <v>17.70453079432423</v>
      </c>
      <c r="O177" s="127" t="n">
        <v>21.73739704159364</v>
      </c>
      <c r="P177" s="127" t="n">
        <v>3.063555975034334</v>
      </c>
      <c r="Q177" s="127" t="n">
        <v>-0.3442531380395515</v>
      </c>
      <c r="R177" s="127" t="n">
        <v>53.31304013469652</v>
      </c>
    </row>
    <row r="178">
      <c r="C178" s="112" t="n">
        <v>44652</v>
      </c>
      <c r="D178" s="112" t="n">
        <v>44680</v>
      </c>
      <c r="E178" s="126" t="inlineStr">
        <is>
          <t>grid_1mk3z2wn.xlsx</t>
        </is>
      </c>
      <c r="F178" s="127" t="n">
        <v>19.77735433045729</v>
      </c>
      <c r="G178" s="127" t="n">
        <v>2.439196595698863</v>
      </c>
      <c r="H178" s="127" t="n">
        <v>7.267506340557989</v>
      </c>
      <c r="I178" s="127" t="n">
        <v>8.860684295379302</v>
      </c>
      <c r="J178" s="127" t="n">
        <v>17.75345172615589</v>
      </c>
      <c r="K178" s="127" t="n">
        <v>3.910763003593461</v>
      </c>
      <c r="L178" s="127" t="n">
        <v>28.93532632701386</v>
      </c>
      <c r="M178" s="127" t="n">
        <v>3.371870044983524</v>
      </c>
      <c r="N178" s="127" t="n">
        <v>20.39206133708144</v>
      </c>
      <c r="O178" s="127" t="n">
        <v>24.36933342723704</v>
      </c>
      <c r="P178" s="127" t="n">
        <v>6.927612391858985</v>
      </c>
      <c r="Q178" s="127" t="n">
        <v>-3.34492105669261</v>
      </c>
      <c r="R178" s="127" t="n">
        <v>0.9935557938495585</v>
      </c>
    </row>
    <row r="179">
      <c r="C179" s="112" t="n">
        <v>44682</v>
      </c>
      <c r="D179" s="112" t="n">
        <v>44712</v>
      </c>
      <c r="E179" s="126" t="inlineStr">
        <is>
          <t>grid_1mk3z2wn.xlsx</t>
        </is>
      </c>
      <c r="F179" s="127" t="n">
        <v>15.34233297081661</v>
      </c>
      <c r="G179" s="127" t="n">
        <v>-4.306346476581461</v>
      </c>
      <c r="H179" s="127" t="n">
        <v>18.18783242069023</v>
      </c>
      <c r="I179" s="127" t="n">
        <v>-3.364851951520685</v>
      </c>
      <c r="J179" s="127" t="n">
        <v>23.84767706964024</v>
      </c>
      <c r="K179" s="127" t="n">
        <v>8.875428869419032</v>
      </c>
      <c r="L179" s="127" t="n">
        <v>11.16282144317681</v>
      </c>
      <c r="M179" s="127" t="n">
        <v>6.918596862200606</v>
      </c>
      <c r="N179" s="127" t="n">
        <v>14.41889285875386</v>
      </c>
      <c r="O179" s="127" t="n">
        <v>13.80498930844048</v>
      </c>
      <c r="P179" s="127" t="n">
        <v>10.53905957030142</v>
      </c>
      <c r="Q179" s="127" t="n">
        <v>9.902382261229228</v>
      </c>
      <c r="R179" s="127" t="n">
        <v>7.659676292091704</v>
      </c>
    </row>
    <row r="180">
      <c r="C180" s="112" t="n">
        <v>44713</v>
      </c>
      <c r="D180" s="112" t="n">
        <v>44742</v>
      </c>
      <c r="E180" s="126" t="inlineStr">
        <is>
          <t>grid_1mk3z2wn.xlsx</t>
        </is>
      </c>
      <c r="F180" s="127" t="n">
        <v>12.58616723723462</v>
      </c>
      <c r="G180" s="127" t="n">
        <v>-8.87442369390615</v>
      </c>
      <c r="H180" s="127" t="n">
        <v>13.56267075683528</v>
      </c>
      <c r="I180" s="127" t="n">
        <v>0.2773886910699622</v>
      </c>
      <c r="J180" s="127" t="n">
        <v>16.75279112232014</v>
      </c>
      <c r="K180" s="127" t="n">
        <v>11.28356759284899</v>
      </c>
      <c r="L180" s="127" t="n">
        <v>-7.217491690906544</v>
      </c>
      <c r="M180" s="127" t="n">
        <v>15.33686559686729</v>
      </c>
      <c r="N180" s="127" t="n">
        <v>12.92554062009967</v>
      </c>
      <c r="O180" s="127" t="n">
        <v>6.962853313881126</v>
      </c>
      <c r="P180" s="127" t="n">
        <v>9.47272058685814</v>
      </c>
      <c r="Q180" s="127" t="n">
        <v>31.46199143352814</v>
      </c>
      <c r="R180" s="127" t="n">
        <v>2.062750037961881</v>
      </c>
    </row>
    <row r="181">
      <c r="C181" s="112" t="n">
        <v>44743</v>
      </c>
      <c r="D181" s="112" t="n">
        <v>44771</v>
      </c>
      <c r="E181" s="126" t="inlineStr">
        <is>
          <t>grid_1mk3z2wn.xlsx</t>
        </is>
      </c>
      <c r="F181" s="127" t="n">
        <v>4.964174208887847</v>
      </c>
      <c r="G181" s="127" t="n">
        <v>-8.093512202079685</v>
      </c>
      <c r="H181" s="127" t="n">
        <v>6.033847511991678</v>
      </c>
      <c r="I181" s="127" t="n">
        <v>-9.589489613129921</v>
      </c>
      <c r="J181" s="127" t="n">
        <v>16.53101509406405</v>
      </c>
      <c r="K181" s="127" t="n">
        <v>10.59227780413787</v>
      </c>
      <c r="L181" s="127" t="n">
        <v>-3.17196814390128</v>
      </c>
      <c r="M181" s="127" t="n">
        <v>21.62237825890077</v>
      </c>
      <c r="N181" s="127" t="n">
        <v>4.822259191677333</v>
      </c>
      <c r="O181" s="127" t="n">
        <v>-13.7850038332027</v>
      </c>
      <c r="P181" s="127" t="n">
        <v>8.855992358642574</v>
      </c>
      <c r="Q181" s="127" t="n">
        <v>30.96640140773605</v>
      </c>
      <c r="R181" s="127" t="n"/>
    </row>
    <row r="182">
      <c r="C182" s="112" t="n">
        <v>44774</v>
      </c>
      <c r="D182" s="112" t="n">
        <v>44804</v>
      </c>
      <c r="E182" s="126" t="inlineStr">
        <is>
          <t>grid_1mk3z2wn.xlsx</t>
        </is>
      </c>
      <c r="F182" s="127" t="n">
        <v>-0.6043280119688063</v>
      </c>
      <c r="G182" s="127" t="n">
        <v>-15.45999701002224</v>
      </c>
      <c r="H182" s="127" t="n">
        <v>-3.663025704625603</v>
      </c>
      <c r="I182" s="127" t="n">
        <v>0.4324543107914676</v>
      </c>
      <c r="J182" s="127" t="n">
        <v>13.57768509502392</v>
      </c>
      <c r="K182" s="127" t="n">
        <v>5.931581002851692</v>
      </c>
      <c r="L182" s="127" t="n">
        <v>-6.305979089526607</v>
      </c>
      <c r="M182" s="127" t="n">
        <v>18.44345717585558</v>
      </c>
      <c r="N182" s="127" t="n">
        <v>-0.4457379357229911</v>
      </c>
      <c r="O182" s="127" t="n">
        <v>-15.30169316170243</v>
      </c>
      <c r="P182" s="127" t="n">
        <v>5.789674914816355</v>
      </c>
      <c r="Q182" s="127" t="n">
        <v>10.72633007449993</v>
      </c>
      <c r="R182" s="127" t="n"/>
    </row>
    <row r="183">
      <c r="C183" s="112" t="n">
        <v>44805</v>
      </c>
      <c r="D183" s="112" t="n">
        <v>44834</v>
      </c>
      <c r="E183" s="126" t="inlineStr">
        <is>
          <t>grid_1mk3z2wn.xlsx</t>
        </is>
      </c>
      <c r="F183" s="127" t="n">
        <v>-9.281474382221431</v>
      </c>
      <c r="G183" s="127" t="n">
        <v>-16.06720392249785</v>
      </c>
      <c r="H183" s="127" t="n">
        <v>-2.19831495721983</v>
      </c>
      <c r="I183" s="127" t="n">
        <v>-3.864885176766179</v>
      </c>
      <c r="J183" s="127" t="n">
        <v>-0.6415746549817035</v>
      </c>
      <c r="K183" s="127" t="n">
        <v>4.006208419696465</v>
      </c>
      <c r="L183" s="127" t="n">
        <v>2.307701473942272</v>
      </c>
      <c r="M183" s="127" t="n">
        <v>15.60504119409399</v>
      </c>
      <c r="N183" s="127" t="n">
        <v>0.4081582890114953</v>
      </c>
      <c r="O183" s="127" t="n">
        <v>-15.62330349252736</v>
      </c>
      <c r="P183" s="127" t="n">
        <v>5.754379136678332</v>
      </c>
      <c r="Q183" s="127" t="n">
        <v>-8.892899283630848</v>
      </c>
      <c r="R183" s="127" t="n"/>
    </row>
    <row r="184">
      <c r="C184" s="112" t="n">
        <v>44835</v>
      </c>
      <c r="D184" s="112" t="n">
        <v>44865</v>
      </c>
      <c r="E184" s="126" t="inlineStr">
        <is>
          <t>grid_1mk3z2wn.xlsx</t>
        </is>
      </c>
      <c r="F184" s="127" t="n">
        <v>-17.27110153012689</v>
      </c>
      <c r="G184" s="127" t="n">
        <v>-12.58594199551032</v>
      </c>
      <c r="H184" s="127" t="n">
        <v>2.04609740490491</v>
      </c>
      <c r="I184" s="127" t="n">
        <v>-4.190953555914277</v>
      </c>
      <c r="J184" s="127" t="n">
        <v>-5.043202950725927</v>
      </c>
      <c r="K184" s="127" t="n">
        <v>2.140694948062641</v>
      </c>
      <c r="L184" s="127" t="n">
        <v>1.90966935920735</v>
      </c>
      <c r="M184" s="127" t="n">
        <v>12.75687989640358</v>
      </c>
      <c r="N184" s="127" t="n">
        <v>3.084214704112413</v>
      </c>
      <c r="O184" s="127" t="n">
        <v>-19.66258925068118</v>
      </c>
      <c r="P184" s="127" t="n">
        <v>2.926629678145109</v>
      </c>
      <c r="Q184" s="127" t="n">
        <v>2.596528861574129</v>
      </c>
      <c r="R184" s="127" t="n"/>
    </row>
    <row r="185">
      <c r="C185" s="112" t="n">
        <v>44866</v>
      </c>
      <c r="D185" s="112" t="n">
        <v>44895</v>
      </c>
      <c r="E185" s="126" t="inlineStr">
        <is>
          <t>grid_1mk3z2wn.xlsx</t>
        </is>
      </c>
      <c r="F185" s="127" t="n">
        <v>-11.49804503043437</v>
      </c>
      <c r="G185" s="127" t="n">
        <v>-2.657008332971229</v>
      </c>
      <c r="H185" s="127" t="n">
        <v>11.11144491592011</v>
      </c>
      <c r="I185" s="127" t="n">
        <v>-1.896604089881179</v>
      </c>
      <c r="J185" s="127" t="n">
        <v>-13.93106491270185</v>
      </c>
      <c r="K185" s="127" t="n">
        <v>-1.168004660124738</v>
      </c>
      <c r="L185" s="127" t="n">
        <v>7.780239835328236</v>
      </c>
      <c r="M185" s="127" t="n">
        <v>20.92335324475334</v>
      </c>
      <c r="N185" s="127" t="n">
        <v>12.31873605715563</v>
      </c>
      <c r="O185" s="127" t="n">
        <v>-13.28202374885162</v>
      </c>
      <c r="P185" s="127" t="n">
        <v>2.60058410519747</v>
      </c>
      <c r="Q185" s="127" t="n">
        <v>18.86070372051153</v>
      </c>
      <c r="R185" s="127" t="n"/>
    </row>
    <row r="186">
      <c r="C186" s="112" t="n">
        <v>44896</v>
      </c>
      <c r="D186" s="112" t="n">
        <v>44925</v>
      </c>
      <c r="E186" s="126" t="inlineStr">
        <is>
          <t>grid_1mk3z2wn.xlsx</t>
        </is>
      </c>
      <c r="F186" s="127" t="n">
        <v>-14.09254056779523</v>
      </c>
      <c r="G186" s="127" t="n">
        <v>1.388307381164063</v>
      </c>
      <c r="H186" s="127" t="n">
        <v>-14.85207729346304</v>
      </c>
      <c r="I186" s="127" t="n">
        <v>-5.757347119112612</v>
      </c>
      <c r="J186" s="127" t="n">
        <v>-23.41665951638008</v>
      </c>
      <c r="K186" s="127" t="n">
        <v>-3.086504222099594</v>
      </c>
      <c r="L186" s="127" t="n">
        <v>8.899260782146781</v>
      </c>
      <c r="M186" s="127" t="n">
        <v>13.92980289220347</v>
      </c>
      <c r="N186" s="127" t="n">
        <v>13.84773566976965</v>
      </c>
      <c r="O186" s="127" t="n">
        <v>-17.98841863578614</v>
      </c>
      <c r="P186" s="127" t="n">
        <v>4.7766957545533</v>
      </c>
      <c r="Q186" s="127" t="n">
        <v>2.65262261895348</v>
      </c>
      <c r="R186" s="127" t="n"/>
    </row>
    <row r="187">
      <c r="C187" s="112" t="n">
        <v>44927</v>
      </c>
      <c r="D187" s="112" t="n">
        <v>44957</v>
      </c>
      <c r="E187" s="126" t="inlineStr">
        <is>
          <t>grid_22fp35k1.xlsx</t>
        </is>
      </c>
      <c r="F187" s="127" t="n">
        <v>-8.584029188979267</v>
      </c>
      <c r="G187" s="127" t="n">
        <v>2.014605295551222</v>
      </c>
      <c r="H187" s="127" t="n">
        <v>-18.72229076624917</v>
      </c>
      <c r="I187" s="127" t="n">
        <v>-16.87532179388406</v>
      </c>
      <c r="J187" s="127" t="n">
        <v>-35.9306332255662</v>
      </c>
      <c r="K187" s="127" t="n">
        <v>-0.7475341148486595</v>
      </c>
      <c r="L187" s="127" t="n">
        <v>-2.379421826759919</v>
      </c>
      <c r="M187" s="127" t="n">
        <v>6.471818504950605</v>
      </c>
      <c r="N187" s="127" t="n">
        <v>15.84981636147847</v>
      </c>
      <c r="O187" s="127" t="n">
        <v>-1.193844600933017</v>
      </c>
      <c r="P187" s="127" t="n">
        <v>8.077948262525592</v>
      </c>
      <c r="Q187" s="127" t="n">
        <v>-0.01132783879175916</v>
      </c>
      <c r="R187" s="127" t="n"/>
    </row>
    <row r="188">
      <c r="C188" s="112" t="n">
        <v>44958</v>
      </c>
      <c r="D188" s="112" t="n">
        <v>44985</v>
      </c>
      <c r="E188" s="126" t="inlineStr">
        <is>
          <t>grid_22fp35k1.xlsx</t>
        </is>
      </c>
      <c r="F188" s="127" t="n">
        <v>-3.397083449313322</v>
      </c>
      <c r="G188" s="127" t="n">
        <v>0.1517554349025482</v>
      </c>
      <c r="H188" s="127" t="n">
        <v>-30.18545985422525</v>
      </c>
      <c r="I188" s="127" t="n">
        <v>-16.05338459533138</v>
      </c>
      <c r="J188" s="127" t="n">
        <v>-12.87808482382192</v>
      </c>
      <c r="K188" s="127" t="n">
        <v>3.779329329082275</v>
      </c>
      <c r="L188" s="127" t="n">
        <v>-7.326370389542084</v>
      </c>
      <c r="M188" s="127" t="n">
        <v>4.414634613538676</v>
      </c>
      <c r="N188" s="127" t="n">
        <v>13.4775458820543</v>
      </c>
      <c r="O188" s="127" t="n">
        <v>-5.28534368730962</v>
      </c>
      <c r="P188" s="127" t="n">
        <v>11.34718060712398</v>
      </c>
      <c r="Q188" s="127" t="n">
        <v>-4.055469029313335</v>
      </c>
      <c r="R188" s="127" t="n"/>
    </row>
    <row r="189">
      <c r="C189" s="112" t="n">
        <v>44986</v>
      </c>
      <c r="D189" s="112" t="n">
        <v>45016</v>
      </c>
      <c r="E189" s="126" t="inlineStr">
        <is>
          <t>grid_22fp35k1.xlsx</t>
        </is>
      </c>
      <c r="F189" s="127" t="n">
        <v>1.005976584702891</v>
      </c>
      <c r="G189" s="127" t="n">
        <v>-0.6791539872506406</v>
      </c>
      <c r="H189" s="127" t="n">
        <v>2.287710699800747</v>
      </c>
      <c r="I189" s="127" t="n">
        <v>-5.571883620851247</v>
      </c>
      <c r="J189" s="127" t="n">
        <v>-2.687386652175208</v>
      </c>
      <c r="K189" s="127" t="n">
        <v>3.149451718105165</v>
      </c>
      <c r="L189" s="127" t="n">
        <v>-7.553366208037379</v>
      </c>
      <c r="M189" s="127" t="n">
        <v>-0.9547724512798718</v>
      </c>
      <c r="N189" s="127" t="n">
        <v>11.68675861634281</v>
      </c>
      <c r="O189" s="127" t="n">
        <v>3.239527583984635</v>
      </c>
      <c r="P189" s="127" t="n">
        <v>14.48580079671344</v>
      </c>
      <c r="Q189" s="127" t="n">
        <v>6.320067247077371</v>
      </c>
      <c r="R189" s="127" t="n"/>
    </row>
    <row r="190">
      <c r="C190" s="112" t="n">
        <v>45017</v>
      </c>
      <c r="D190" s="112" t="n">
        <v>45044</v>
      </c>
      <c r="E190" s="126" t="inlineStr">
        <is>
          <t>grid_22fp35k1.xlsx</t>
        </is>
      </c>
      <c r="F190" s="127" t="n">
        <v>-2.622666846101607</v>
      </c>
      <c r="G190" s="127" t="n">
        <v>1.714327527631663</v>
      </c>
      <c r="H190" s="127" t="n">
        <v>1.516647184998288</v>
      </c>
      <c r="I190" s="127" t="n">
        <v>10.32081272961465</v>
      </c>
      <c r="J190" s="127" t="n">
        <v>10.55205906174194</v>
      </c>
      <c r="K190" s="127" t="n">
        <v>1.683484024539486</v>
      </c>
      <c r="L190" s="127" t="n">
        <v>1.552333112977033</v>
      </c>
      <c r="M190" s="127" t="n">
        <v>3.484416733753898</v>
      </c>
      <c r="N190" s="127" t="n">
        <v>3.758747237312277</v>
      </c>
      <c r="O190" s="127" t="n">
        <v>-14.58864157307095</v>
      </c>
      <c r="P190" s="127" t="n">
        <v>7.475616118095171</v>
      </c>
      <c r="Q190" s="127" t="n">
        <v>-0.372643381779841</v>
      </c>
      <c r="R190" s="127" t="n"/>
    </row>
    <row r="191">
      <c r="C191" s="112" t="n">
        <v>45047</v>
      </c>
      <c r="D191" s="112" t="n">
        <v>45077</v>
      </c>
      <c r="E191" s="126" t="inlineStr">
        <is>
          <t>grid_22fp35k1.xlsx</t>
        </is>
      </c>
      <c r="F191" s="127" t="n">
        <v>-12.97714507785985</v>
      </c>
      <c r="G191" s="127" t="n">
        <v>4.388751785483495</v>
      </c>
      <c r="H191" s="127" t="n">
        <v>1.127644797988346</v>
      </c>
      <c r="I191" s="127" t="n">
        <v>8.306144638598914</v>
      </c>
      <c r="J191" s="127" t="n">
        <v>-5.532396011790876</v>
      </c>
      <c r="K191" s="127" t="n">
        <v>-0.4979378261945432</v>
      </c>
      <c r="L191" s="127" t="n">
        <v>1.777851483881629</v>
      </c>
      <c r="M191" s="127" t="n">
        <v>-2.263150284168469</v>
      </c>
      <c r="N191" s="127" t="n">
        <v>-7.454344970189079</v>
      </c>
      <c r="O191" s="127" t="n">
        <v>-17.98663705065641</v>
      </c>
      <c r="P191" s="127" t="n">
        <v>31.90891839807565</v>
      </c>
      <c r="Q191" s="127" t="n">
        <v>10.8308857604828</v>
      </c>
      <c r="R191" s="127" t="n"/>
    </row>
    <row r="192">
      <c r="C192" s="112" t="n">
        <v>45078</v>
      </c>
      <c r="D192" s="112" t="n">
        <v>45107</v>
      </c>
      <c r="E192" s="126" t="inlineStr">
        <is>
          <t>grid_22fp35k1.xlsx</t>
        </is>
      </c>
      <c r="F192" s="127" t="n">
        <v>-12.84721188023933</v>
      </c>
      <c r="G192" s="127" t="n">
        <v>8.143273014401995</v>
      </c>
      <c r="H192" s="127" t="n">
        <v>-21.5041788014164</v>
      </c>
      <c r="I192" s="127" t="n">
        <v>4.226849047976557</v>
      </c>
      <c r="J192" s="127" t="n">
        <v>-3.176466023165978</v>
      </c>
      <c r="K192" s="127" t="n">
        <v>1.121503559120403</v>
      </c>
      <c r="L192" s="127" t="n">
        <v>2.156543012309351</v>
      </c>
      <c r="M192" s="127" t="n">
        <v>1.517101330435732</v>
      </c>
      <c r="N192" s="127" t="n">
        <v>-10.57028777854174</v>
      </c>
      <c r="O192" s="127" t="n">
        <v>-30.16666129923765</v>
      </c>
      <c r="P192" s="127" t="n">
        <v>26.54242115732949</v>
      </c>
      <c r="Q192" s="127" t="n">
        <v>-3.431749405572206</v>
      </c>
      <c r="R192" s="127" t="n"/>
    </row>
    <row r="193">
      <c r="C193" s="112" t="n">
        <v>45108</v>
      </c>
      <c r="D193" s="112" t="n">
        <v>45138</v>
      </c>
      <c r="E193" s="126" t="inlineStr">
        <is>
          <t>grid_22fp35k1.xlsx</t>
        </is>
      </c>
      <c r="F193" s="127" t="n">
        <v>-6.255156175779129</v>
      </c>
      <c r="G193" s="127" t="n">
        <v>7.05776228057497</v>
      </c>
      <c r="H193" s="127" t="n">
        <v>-17.96211086590512</v>
      </c>
      <c r="I193" s="127" t="n">
        <v>-4.64872063676957</v>
      </c>
      <c r="J193" s="127" t="n">
        <v>-4.07840886115028</v>
      </c>
      <c r="K193" s="127" t="n">
        <v>1.930100576426906</v>
      </c>
      <c r="L193" s="127" t="n">
        <v>8.658889286824595</v>
      </c>
      <c r="M193" s="127" t="n">
        <v>2.817961067829919</v>
      </c>
      <c r="N193" s="127" t="n">
        <v>-3.27416327672799</v>
      </c>
      <c r="O193" s="127" t="n">
        <v>-20.66443954414647</v>
      </c>
      <c r="P193" s="127" t="n">
        <v>34.48123354849858</v>
      </c>
      <c r="Q193" s="127" t="n">
        <v>1.480091014867447</v>
      </c>
      <c r="R193" s="127" t="n"/>
    </row>
    <row r="194">
      <c r="C194" s="112" t="n">
        <v>45139</v>
      </c>
      <c r="D194" s="112" t="n">
        <v>45169</v>
      </c>
      <c r="E194" s="126" t="inlineStr">
        <is>
          <t>grid_22fp35k1.xlsx</t>
        </is>
      </c>
      <c r="F194" s="127" t="n">
        <v>1.176239678724927</v>
      </c>
      <c r="G194" s="127" t="n">
        <v>9.853862366998994</v>
      </c>
      <c r="H194" s="127" t="n">
        <v>2.400000436538399</v>
      </c>
      <c r="I194" s="127" t="n">
        <v>-3.566926789548214</v>
      </c>
      <c r="J194" s="127" t="n">
        <v>-0.7044479570231658</v>
      </c>
      <c r="K194" s="127" t="n">
        <v>3.114968673741856</v>
      </c>
      <c r="L194" s="127" t="n">
        <v>12.56746661365178</v>
      </c>
      <c r="M194" s="127" t="n">
        <v>4.432998272794083</v>
      </c>
      <c r="N194" s="127" t="n">
        <v>3.451199503480095</v>
      </c>
      <c r="O194" s="127" t="n">
        <v>-20.68979483066597</v>
      </c>
      <c r="P194" s="127" t="n">
        <v>1.713912765834748</v>
      </c>
      <c r="Q194" s="127" t="n">
        <v>-6.227897476629047</v>
      </c>
      <c r="R194" s="127" t="n"/>
    </row>
    <row r="195">
      <c r="C195" s="112" t="n">
        <v>45170</v>
      </c>
      <c r="D195" s="112" t="n">
        <v>45198</v>
      </c>
      <c r="E195" s="126" t="inlineStr">
        <is>
          <t>grid_22fp35k1.xlsx</t>
        </is>
      </c>
      <c r="F195" s="127" t="n">
        <v>6.974561854593789</v>
      </c>
      <c r="G195" s="127" t="n">
        <v>12.68491213134766</v>
      </c>
      <c r="H195" s="127" t="n">
        <v>31.36575905085676</v>
      </c>
      <c r="I195" s="127" t="n">
        <v>-7.602382319652989</v>
      </c>
      <c r="J195" s="127" t="n">
        <v>0.1031070141115821</v>
      </c>
      <c r="K195" s="127" t="n">
        <v>3.499846184925913</v>
      </c>
      <c r="L195" s="127" t="n">
        <v>12.21564656895673</v>
      </c>
      <c r="M195" s="127" t="n">
        <v>5.675018993005294</v>
      </c>
      <c r="N195" s="127" t="n">
        <v>2.517619929126689</v>
      </c>
      <c r="O195" s="127" t="n">
        <v>-5.955231568165464</v>
      </c>
      <c r="P195" s="127" t="n">
        <v>-3.927851878778536</v>
      </c>
      <c r="Q195" s="127" t="n">
        <v>18.71764341999862</v>
      </c>
      <c r="R195" s="127" t="n"/>
    </row>
    <row r="196">
      <c r="C196" s="112" t="n">
        <v>45200</v>
      </c>
      <c r="D196" s="112" t="n">
        <v>45230</v>
      </c>
      <c r="E196" s="126" t="inlineStr">
        <is>
          <t>grid_22fp35k1.xlsx</t>
        </is>
      </c>
      <c r="F196" s="127" t="n">
        <v>15.61973775105585</v>
      </c>
      <c r="G196" s="127" t="n">
        <v>13.77750013301972</v>
      </c>
      <c r="H196" s="127" t="n">
        <v>39.23108358266862</v>
      </c>
      <c r="I196" s="127" t="n">
        <v>0.18261262278553</v>
      </c>
      <c r="J196" s="127" t="n">
        <v>9.352564026107032</v>
      </c>
      <c r="K196" s="127" t="n">
        <v>5.75433507712136</v>
      </c>
      <c r="L196" s="127" t="n">
        <v>7.81383214979434</v>
      </c>
      <c r="M196" s="127" t="n">
        <v>2.35319472851144</v>
      </c>
      <c r="N196" s="127" t="n">
        <v>2.062393077300826</v>
      </c>
      <c r="O196" s="127" t="n">
        <v>8.184294536306092</v>
      </c>
      <c r="P196" s="127" t="n">
        <v>-5.937356150197782</v>
      </c>
      <c r="Q196" s="127" t="n">
        <v>19.4912414512509</v>
      </c>
      <c r="R196" s="127" t="n"/>
    </row>
    <row r="197">
      <c r="C197" s="112" t="n">
        <v>45231</v>
      </c>
      <c r="D197" s="112" t="n">
        <v>45260</v>
      </c>
      <c r="E197" s="126" t="inlineStr">
        <is>
          <t>grid_22fp35k1.xlsx</t>
        </is>
      </c>
      <c r="F197" s="127" t="n">
        <v>7.40271154752063</v>
      </c>
      <c r="G197" s="127" t="n">
        <v>11.35562413740021</v>
      </c>
      <c r="H197" s="127" t="n">
        <v>30.61081786128064</v>
      </c>
      <c r="I197" s="127" t="n">
        <v>-8.041814292796934</v>
      </c>
      <c r="J197" s="127" t="n">
        <v>6.666806795752728</v>
      </c>
      <c r="K197" s="127" t="n">
        <v>4.49967255257169</v>
      </c>
      <c r="L197" s="127" t="n">
        <v>7.801665401469688</v>
      </c>
      <c r="M197" s="127" t="n">
        <v>3.768205099279583</v>
      </c>
      <c r="N197" s="127" t="n">
        <v>8.276539245270834</v>
      </c>
      <c r="O197" s="127" t="n">
        <v>15.3184239132327</v>
      </c>
      <c r="P197" s="127" t="n">
        <v>-7.234645116436453</v>
      </c>
      <c r="Q197" s="127" t="n">
        <v>14.68690520439878</v>
      </c>
      <c r="R197" s="127" t="n"/>
    </row>
    <row r="198">
      <c r="C198" s="112" t="n">
        <v>45261</v>
      </c>
      <c r="D198" s="112" t="n">
        <v>45289</v>
      </c>
      <c r="E198" s="126" t="inlineStr">
        <is>
          <t>grid_22fp35k1.xlsx</t>
        </is>
      </c>
      <c r="F198" s="127" t="n">
        <v>7.404840339182714</v>
      </c>
      <c r="G198" s="127" t="n">
        <v>5.024976733557743</v>
      </c>
      <c r="H198" s="127" t="n">
        <v>19.55829230730707</v>
      </c>
      <c r="I198" s="127" t="n">
        <v>-3.935982764945953</v>
      </c>
      <c r="J198" s="127" t="n">
        <v>12.84322164840384</v>
      </c>
      <c r="K198" s="127" t="n">
        <v>3.437911554785268</v>
      </c>
      <c r="L198" s="127" t="n">
        <v>9.83371498976345</v>
      </c>
      <c r="M198" s="127" t="n">
        <v>4.260131178097629</v>
      </c>
      <c r="N198" s="127" t="n">
        <v>11.7794878419782</v>
      </c>
      <c r="O198" s="127" t="n">
        <v>12.53661150991042</v>
      </c>
      <c r="P198" s="127" t="n">
        <v>-10.2184457928772</v>
      </c>
      <c r="Q198" s="127" t="n">
        <v>1.413478107649442</v>
      </c>
      <c r="R198" s="127" t="n"/>
    </row>
    <row r="199">
      <c r="C199" s="112" t="n">
        <v>45292</v>
      </c>
      <c r="D199" s="112" t="n">
        <v>45322</v>
      </c>
      <c r="E199" s="126" t="inlineStr">
        <is>
          <t>grid_22fp35k1.xlsx</t>
        </is>
      </c>
      <c r="F199" s="127" t="n">
        <v>0.1075461174126681</v>
      </c>
      <c r="G199" s="127" t="n">
        <v>5.91717366624108</v>
      </c>
      <c r="H199" s="127" t="n">
        <v>15.1157735912029</v>
      </c>
      <c r="I199" s="127" t="n">
        <v>3.666448069061978</v>
      </c>
      <c r="J199" s="127" t="n">
        <v>1.797746568298239</v>
      </c>
      <c r="K199" s="127" t="n">
        <v>2.786573267249098</v>
      </c>
      <c r="L199" s="127" t="n">
        <v>9.27220585010571</v>
      </c>
      <c r="M199" s="127" t="n">
        <v>5.101473801774762</v>
      </c>
      <c r="N199" s="127" t="n">
        <v>8.935964396377344</v>
      </c>
      <c r="O199" s="127" t="n">
        <v>9.861393209240838</v>
      </c>
      <c r="P199" s="127" t="n">
        <v>-15.49504766667914</v>
      </c>
      <c r="Q199" s="127" t="n">
        <v>-10.73592210155197</v>
      </c>
      <c r="R199" s="127" t="n"/>
    </row>
    <row r="200">
      <c r="C200" s="112" t="n">
        <v>45323</v>
      </c>
      <c r="D200" s="112" t="n">
        <v>45351</v>
      </c>
      <c r="E200" s="126" t="inlineStr">
        <is>
          <t>grid_22fp35k1.xlsx</t>
        </is>
      </c>
      <c r="F200" s="127" t="n">
        <v>1.722923032047459</v>
      </c>
      <c r="G200" s="127" t="n">
        <v>5.013480742964333</v>
      </c>
      <c r="H200" s="127" t="n">
        <v>12.42670849959833</v>
      </c>
      <c r="I200" s="127" t="n">
        <v>2.779266983945357</v>
      </c>
      <c r="J200" s="127" t="n">
        <v>-0.350482051638097</v>
      </c>
      <c r="K200" s="127" t="n">
        <v>3.45316845672237</v>
      </c>
      <c r="L200" s="127" t="n">
        <v>6.105153439130351</v>
      </c>
      <c r="M200" s="127" t="n">
        <v>6.606345589648889</v>
      </c>
      <c r="N200" s="127" t="n">
        <v>3.402537174754658</v>
      </c>
      <c r="O200" s="127" t="n">
        <v>4.970284161243841</v>
      </c>
      <c r="P200" s="127" t="n">
        <v>-10.56732543547027</v>
      </c>
      <c r="Q200" s="127" t="n">
        <v>-6.401154460780008</v>
      </c>
      <c r="R200" s="127" t="n"/>
    </row>
    <row r="201">
      <c r="C201" s="112" t="n">
        <v>45352</v>
      </c>
      <c r="D201" s="112" t="n">
        <v>45380</v>
      </c>
      <c r="E201" s="126" t="inlineStr">
        <is>
          <t>grid_22fp35k1.xlsx</t>
        </is>
      </c>
      <c r="F201" s="127" t="n">
        <v>-5.914045543725869</v>
      </c>
      <c r="G201" s="127" t="n">
        <v>6.222638684702621</v>
      </c>
      <c r="H201" s="127" t="n">
        <v>14.55288352011203</v>
      </c>
      <c r="I201" s="127" t="n">
        <v>-1.093958834341675</v>
      </c>
      <c r="J201" s="127" t="n">
        <v>-8.86940969150589</v>
      </c>
      <c r="K201" s="127" t="n">
        <v>4.203311159099079</v>
      </c>
      <c r="L201" s="127" t="n">
        <v>5.88810917653015</v>
      </c>
      <c r="M201" s="127" t="n">
        <v>1.835537000042603</v>
      </c>
      <c r="N201" s="127" t="n">
        <v>-1.918377143478437</v>
      </c>
      <c r="O201" s="127" t="n">
        <v>-4.851005569701539</v>
      </c>
      <c r="P201" s="127" t="n">
        <v>0.7630552956761506</v>
      </c>
      <c r="Q201" s="127" t="n">
        <v>-3.544116946976315</v>
      </c>
      <c r="R201" s="127" t="n"/>
    </row>
    <row r="202">
      <c r="C202" s="112" t="n">
        <v>45383</v>
      </c>
      <c r="D202" s="112" t="n">
        <v>45412</v>
      </c>
      <c r="E202" s="126" t="inlineStr">
        <is>
          <t>grid_22fp35k1.xlsx</t>
        </is>
      </c>
      <c r="F202" s="127" t="n">
        <v>2.429640821217905</v>
      </c>
      <c r="G202" s="127" t="n">
        <v>3.871208579814025</v>
      </c>
      <c r="H202" s="127" t="n">
        <v>8.941466451672582</v>
      </c>
      <c r="I202" s="127" t="n">
        <v>-4.586552066038014</v>
      </c>
      <c r="J202" s="127" t="n">
        <v>4.579913848468986</v>
      </c>
      <c r="K202" s="127" t="n">
        <v>2.404191902633506</v>
      </c>
      <c r="L202" s="127" t="n">
        <v>4.838697653153069</v>
      </c>
      <c r="M202" s="127" t="n">
        <v>3.36841706907803</v>
      </c>
      <c r="N202" s="127" t="n">
        <v>0.5882360544792964</v>
      </c>
      <c r="O202" s="127" t="n">
        <v>-17.34818824628192</v>
      </c>
      <c r="P202" s="127" t="n">
        <v>1.506628458199321</v>
      </c>
      <c r="Q202" s="127" t="n">
        <v>2.991076128688515</v>
      </c>
      <c r="R202" s="127" t="n"/>
    </row>
    <row r="203">
      <c r="C203" s="112" t="n">
        <v>45413</v>
      </c>
      <c r="D203" s="112" t="n">
        <v>45443</v>
      </c>
      <c r="E203" s="126" t="inlineStr">
        <is>
          <t>grid_22fp35k1.xlsx</t>
        </is>
      </c>
      <c r="F203" s="127" t="n">
        <v>1.477247394092276</v>
      </c>
      <c r="G203" s="127" t="n">
        <v>0.7521479494141794</v>
      </c>
      <c r="H203" s="127" t="n">
        <v>2.256839050886344</v>
      </c>
      <c r="I203" s="127" t="n">
        <v>10.49413933060801</v>
      </c>
      <c r="J203" s="127" t="n">
        <v>1.585430414462889</v>
      </c>
      <c r="K203" s="127" t="n">
        <v>3.091024221485291</v>
      </c>
      <c r="L203" s="127" t="n">
        <v>7.036097192209775</v>
      </c>
      <c r="M203" s="127" t="n">
        <v>0.5985957995090466</v>
      </c>
      <c r="N203" s="127" t="n">
        <v>1.342792757941301</v>
      </c>
      <c r="O203" s="127" t="n">
        <v>-8.636455742878134</v>
      </c>
      <c r="P203" s="127" t="n">
        <v>-2.16320224926228</v>
      </c>
      <c r="Q203" s="127" t="n">
        <v>-0.7429083412938183</v>
      </c>
      <c r="R203" s="127" t="n"/>
    </row>
    <row r="204">
      <c r="C204" s="112" t="n">
        <v>45444</v>
      </c>
      <c r="D204" s="112" t="n">
        <v>45471</v>
      </c>
      <c r="E204" s="126" t="inlineStr">
        <is>
          <t>grid_22fp35k1.xlsx</t>
        </is>
      </c>
      <c r="F204" s="127" t="n">
        <v>4.249133493725276</v>
      </c>
      <c r="G204" s="127" t="n">
        <v>1.429616374982056</v>
      </c>
      <c r="H204" s="127" t="n">
        <v>1.231343361364294</v>
      </c>
      <c r="I204" s="127" t="n">
        <v>15.78391754261253</v>
      </c>
      <c r="J204" s="127" t="n">
        <v>-0.7031964983791106</v>
      </c>
      <c r="K204" s="127" t="n">
        <v>3.907475317863861</v>
      </c>
      <c r="L204" s="127" t="n">
        <v>12.67056057010568</v>
      </c>
      <c r="M204" s="127" t="n">
        <v>5.127963640867687</v>
      </c>
      <c r="N204" s="127" t="n">
        <v>2.846036123292061</v>
      </c>
      <c r="O204" s="127" t="n">
        <v>3.234059104566998</v>
      </c>
      <c r="P204" s="127" t="n">
        <v>-4.878776083237309</v>
      </c>
      <c r="Q204" s="127" t="n">
        <v>-3.296968685406561</v>
      </c>
      <c r="R204" s="127" t="n"/>
    </row>
    <row r="205">
      <c r="C205" s="112" t="n">
        <v>45474</v>
      </c>
      <c r="D205" s="112" t="n">
        <v>45504</v>
      </c>
      <c r="E205" s="126" t="inlineStr">
        <is>
          <t>grid_22fp35k1.xlsx</t>
        </is>
      </c>
      <c r="F205" s="127" t="n">
        <v>-1.289605124453117</v>
      </c>
      <c r="G205" s="127" t="n">
        <v>1.529206090190499</v>
      </c>
      <c r="H205" s="127" t="n">
        <v>1.893567094161087</v>
      </c>
      <c r="I205" s="127" t="n">
        <v>11.81787094439459</v>
      </c>
      <c r="J205" s="127" t="n">
        <v>1.55446761699152</v>
      </c>
      <c r="K205" s="127" t="n">
        <v>4.506988231372618</v>
      </c>
      <c r="L205" s="127" t="n">
        <v>12.59514179929144</v>
      </c>
      <c r="M205" s="127" t="n">
        <v>7.759746425665695</v>
      </c>
      <c r="N205" s="127" t="n">
        <v>-1.928594352004076</v>
      </c>
      <c r="O205" s="127" t="n">
        <v>14.00520312512513</v>
      </c>
      <c r="P205" s="127" t="n">
        <v>-0.9739121400237057</v>
      </c>
      <c r="Q205" s="127" t="n">
        <v>-5.648555281893562</v>
      </c>
      <c r="R205" s="127" t="n"/>
    </row>
    <row r="206">
      <c r="C206" s="112" t="n">
        <v>45505</v>
      </c>
      <c r="D206" s="112" t="n">
        <v>45534</v>
      </c>
      <c r="E206" s="126" t="inlineStr">
        <is>
          <t>grid_22fp35k1.xlsx</t>
        </is>
      </c>
      <c r="F206" s="127" t="n">
        <v>-3.720994761311675</v>
      </c>
      <c r="G206" s="127" t="n">
        <v>4.402947027106976</v>
      </c>
      <c r="H206" s="127" t="n">
        <v>1.066088416700539</v>
      </c>
      <c r="I206" s="127" t="n">
        <v>6.863864571109452</v>
      </c>
      <c r="J206" s="127" t="n">
        <v>-2.600715625529873</v>
      </c>
      <c r="K206" s="127" t="n">
        <v>4.585987750257945</v>
      </c>
      <c r="L206" s="127" t="n">
        <v>19.25953151139176</v>
      </c>
      <c r="M206" s="127" t="n">
        <v>8.453376449312419</v>
      </c>
      <c r="N206" s="127" t="n">
        <v>-2.113351282278533</v>
      </c>
      <c r="O206" s="127" t="n">
        <v>3.598253277325945</v>
      </c>
      <c r="P206" s="127" t="n">
        <v>2.835639840315425</v>
      </c>
      <c r="Q206" s="127" t="n">
        <v>-4.438923959309848</v>
      </c>
      <c r="R206" s="127" t="n"/>
    </row>
    <row r="207">
      <c r="C207" s="112" t="n">
        <v>45536</v>
      </c>
      <c r="D207" s="112" t="n">
        <v>45565</v>
      </c>
      <c r="E207" s="126" t="inlineStr">
        <is>
          <t>grid_22fp35k1.xlsx</t>
        </is>
      </c>
      <c r="F207" s="127" t="n">
        <v>-7.311725871092268</v>
      </c>
      <c r="G207" s="127" t="n">
        <v>5.61737796670272</v>
      </c>
      <c r="H207" s="127" t="n">
        <v>1.637963317555573</v>
      </c>
      <c r="I207" s="127" t="n">
        <v>9.208189263446135</v>
      </c>
      <c r="J207" s="127" t="n">
        <v>-6.448256675197091</v>
      </c>
      <c r="K207" s="127" t="n">
        <v>2.519282144691015</v>
      </c>
      <c r="L207" s="127" t="n">
        <v>7.284647208129782</v>
      </c>
      <c r="M207" s="127" t="n">
        <v>0.1390165330935017</v>
      </c>
      <c r="N207" s="127" t="n">
        <v>1.271124929548754</v>
      </c>
      <c r="O207" s="127" t="n">
        <v>-1.505249962645177</v>
      </c>
      <c r="P207" s="127" t="n">
        <v>7.442313449528243</v>
      </c>
      <c r="Q207" s="127" t="n">
        <v>-6.095485065972362</v>
      </c>
      <c r="R207" s="127" t="n"/>
    </row>
    <row r="208">
      <c r="C208" s="112" t="n">
        <v>45566</v>
      </c>
      <c r="D208" s="112" t="n">
        <v>45596</v>
      </c>
      <c r="E208" s="126" t="inlineStr">
        <is>
          <t>grid_22fp35k1.xlsx</t>
        </is>
      </c>
      <c r="F208" s="127" t="n">
        <v>-8.744951418999063</v>
      </c>
      <c r="G208" s="127" t="n">
        <v>6.956336089089543</v>
      </c>
      <c r="H208" s="127" t="n">
        <v>-5.413469813650281</v>
      </c>
      <c r="I208" s="127" t="n">
        <v>9.154989553204867</v>
      </c>
      <c r="J208" s="127" t="n">
        <v>-12.74937367905334</v>
      </c>
      <c r="K208" s="127" t="n">
        <v>2.53652463110527</v>
      </c>
      <c r="L208" s="127" t="n">
        <v>6.596871913040086</v>
      </c>
      <c r="M208" s="127" t="n">
        <v>2.34080682317011</v>
      </c>
      <c r="N208" s="127" t="n">
        <v>4.13612619186265</v>
      </c>
      <c r="O208" s="127" t="n">
        <v>-6.341473477993318</v>
      </c>
      <c r="P208" s="127" t="n">
        <v>5.296110134035337</v>
      </c>
      <c r="Q208" s="127" t="n">
        <v>2.00417546007054</v>
      </c>
      <c r="R208" s="127" t="n"/>
    </row>
    <row r="209">
      <c r="C209" s="112" t="n">
        <v>45597</v>
      </c>
      <c r="D209" s="112" t="n">
        <v>45625</v>
      </c>
      <c r="E209" s="126" t="inlineStr">
        <is>
          <t>grid_22fp35k1.xlsx</t>
        </is>
      </c>
      <c r="F209" s="127" t="n">
        <v>3.648852239620459</v>
      </c>
      <c r="G209" s="127" t="n">
        <v>5.035582495087391</v>
      </c>
      <c r="H209" s="127" t="n">
        <v>-1.063619936483713</v>
      </c>
      <c r="I209" s="127" t="n">
        <v>6.306455789315963</v>
      </c>
      <c r="J209" s="127" t="n">
        <v>0.4752783951921059</v>
      </c>
      <c r="K209" s="127" t="n">
        <v>2.56891765572997</v>
      </c>
      <c r="L209" s="127" t="n">
        <v>0.3286626405811359</v>
      </c>
      <c r="M209" s="127" t="n">
        <v>4.182693451499483</v>
      </c>
      <c r="N209" s="127" t="n">
        <v>5.813214013007089</v>
      </c>
      <c r="O209" s="127" t="n">
        <v>-2.273610842867423</v>
      </c>
      <c r="P209" s="127" t="n">
        <v>2.55564707199555</v>
      </c>
      <c r="Q209" s="127" t="n">
        <v>7.591687214579188</v>
      </c>
      <c r="R209" s="127" t="n"/>
    </row>
    <row r="210">
      <c r="C210" s="112" t="n">
        <v>45627</v>
      </c>
      <c r="D210" s="112" t="n">
        <v>45657</v>
      </c>
      <c r="E210" s="126" t="inlineStr">
        <is>
          <t>grid_22fp35k1.xlsx</t>
        </is>
      </c>
      <c r="F210" s="127" t="n">
        <v>10.04790492787274</v>
      </c>
      <c r="G210" s="127" t="n">
        <v>0.6746757079118604</v>
      </c>
      <c r="H210" s="127" t="n">
        <v>1.30056635527484</v>
      </c>
      <c r="I210" s="127" t="n">
        <v>-10.67911311042113</v>
      </c>
      <c r="J210" s="127" t="n">
        <v>11.78847284638088</v>
      </c>
      <c r="K210" s="127" t="n">
        <v>0.5351344237251431</v>
      </c>
      <c r="L210" s="127" t="n">
        <v>3.934311885812297</v>
      </c>
      <c r="M210" s="127" t="n">
        <v>12.87121714614282</v>
      </c>
      <c r="N210" s="127" t="n">
        <v>5.577599378396741</v>
      </c>
      <c r="O210" s="127" t="n">
        <v>-0.8277014248348684</v>
      </c>
      <c r="P210" s="127" t="n">
        <v>-3.316089220356302</v>
      </c>
      <c r="Q210" s="127" t="n">
        <v>8.172915946141092</v>
      </c>
      <c r="R210" s="127" t="n"/>
    </row>
    <row r="211">
      <c r="C211" s="112" t="n">
        <v>45658</v>
      </c>
      <c r="D211" s="112" t="n">
        <v>45688</v>
      </c>
      <c r="E211" s="126" t="inlineStr">
        <is>
          <t>grid_22fp35k1.xlsx</t>
        </is>
      </c>
      <c r="F211" s="127" t="n">
        <v>5.794838675040509</v>
      </c>
      <c r="G211" s="127" t="n">
        <v>-0.824888286358187</v>
      </c>
      <c r="H211" s="127" t="n">
        <v>-3.066352363296167</v>
      </c>
      <c r="I211" s="127" t="n">
        <v>-13.74103031918996</v>
      </c>
      <c r="J211" s="127" t="n">
        <v>8.106463707263021</v>
      </c>
      <c r="K211" s="127" t="n">
        <v>1.556358549687566</v>
      </c>
      <c r="L211" s="127" t="n">
        <v>2.180053354102905</v>
      </c>
      <c r="M211" s="127" t="n">
        <v>4.891594258892856</v>
      </c>
      <c r="N211" s="127" t="n">
        <v>10.29706094248962</v>
      </c>
      <c r="O211" s="127" t="n">
        <v>-5.673536011605659</v>
      </c>
      <c r="P211" s="127" t="n">
        <v>-5.007998335604072</v>
      </c>
      <c r="Q211" s="127" t="n">
        <v>1.575589930269276</v>
      </c>
      <c r="R211" s="127" t="n"/>
    </row>
    <row r="212">
      <c r="C212" s="112" t="n">
        <v>45689</v>
      </c>
      <c r="D212" s="112" t="n">
        <v>45716</v>
      </c>
      <c r="E212" s="126" t="inlineStr">
        <is>
          <t>grid_22fp35k1.xlsx</t>
        </is>
      </c>
      <c r="F212" s="127" t="n">
        <v>-0.5556162392011187</v>
      </c>
      <c r="G212" s="127" t="n">
        <v>-0.9885083208844085</v>
      </c>
      <c r="H212" s="127" t="n">
        <v>-7.048814609102148</v>
      </c>
      <c r="I212" s="127" t="n">
        <v>-2.427837839188486</v>
      </c>
      <c r="J212" s="127" t="n">
        <v>5.077109742271975</v>
      </c>
      <c r="K212" s="127" t="n">
        <v>-0.1719321965750756</v>
      </c>
      <c r="L212" s="127" t="n">
        <v>6.193463090191418</v>
      </c>
      <c r="M212" s="127" t="n">
        <v>-1.408922831772143</v>
      </c>
      <c r="N212" s="127" t="n">
        <v>11.64213065093218</v>
      </c>
      <c r="O212" s="127" t="n">
        <v>-2.007654277590012</v>
      </c>
      <c r="P212" s="127" t="n">
        <v>-5.477188161593529</v>
      </c>
      <c r="Q212" s="127" t="n">
        <v>-3.739785400376362</v>
      </c>
      <c r="R212" s="127" t="n"/>
    </row>
    <row r="213">
      <c r="C213" s="112" t="n">
        <v>45717</v>
      </c>
      <c r="D213" s="112" t="n">
        <v>45747</v>
      </c>
      <c r="E213" s="126" t="inlineStr">
        <is>
          <t>grid_22fp35k1.xlsx</t>
        </is>
      </c>
      <c r="F213" s="127" t="n">
        <v>-1.982500994530378</v>
      </c>
      <c r="G213" s="127" t="n">
        <v>-0.1541874591896386</v>
      </c>
      <c r="H213" s="127" t="n">
        <v>-12.69499627364264</v>
      </c>
      <c r="I213" s="127" t="n">
        <v>15.83300615497272</v>
      </c>
      <c r="J213" s="127" t="n">
        <v>1.610557244486143</v>
      </c>
      <c r="K213" s="127" t="n">
        <v>1.359846671930695</v>
      </c>
      <c r="L213" s="127" t="n">
        <v>5.832482189802674</v>
      </c>
      <c r="M213" s="127" t="n">
        <v>-5.029534419957984</v>
      </c>
      <c r="N213" s="127" t="n">
        <v>12.31936874537664</v>
      </c>
      <c r="O213" s="127" t="n">
        <v>-1.70064259589462</v>
      </c>
      <c r="P213" s="127" t="n">
        <v>-3.316339614097161</v>
      </c>
      <c r="Q213" s="127" t="n">
        <v>2.651760624389071</v>
      </c>
      <c r="R213" s="127" t="n"/>
    </row>
    <row r="214">
      <c r="C214" s="112" t="n">
        <v>45748</v>
      </c>
      <c r="D214" s="112" t="n">
        <v>45777</v>
      </c>
      <c r="E214" s="126" t="inlineStr">
        <is>
          <t>grid_22fp35k1.xlsx</t>
        </is>
      </c>
      <c r="F214" s="127" t="n">
        <v>-18.36980893718634</v>
      </c>
      <c r="G214" s="127" t="n">
        <v>0.7981781117835398</v>
      </c>
      <c r="H214" s="127" t="n">
        <v>-9.006483708456535</v>
      </c>
      <c r="I214" s="127" t="n">
        <v>19.9448665376351</v>
      </c>
      <c r="J214" s="127" t="n">
        <v>-15.53997018935942</v>
      </c>
      <c r="K214" s="127" t="n">
        <v>0.2432747941559721</v>
      </c>
      <c r="L214" s="127" t="n">
        <v>8.698762574346581</v>
      </c>
      <c r="M214" s="127" t="n">
        <v>-4.616179550360246</v>
      </c>
      <c r="N214" s="127" t="n">
        <v>7.556120759334794</v>
      </c>
      <c r="O214" s="127" t="n">
        <v>-3.399773215114175</v>
      </c>
      <c r="P214" s="127" t="n">
        <v>-2.163669710516363</v>
      </c>
      <c r="Q214" s="127" t="n">
        <v>6.991381165320938</v>
      </c>
      <c r="R214" s="127" t="n"/>
    </row>
    <row r="215">
      <c r="C215" s="112" t="n">
        <v>45778</v>
      </c>
      <c r="D215" s="112" t="n">
        <v>45807</v>
      </c>
      <c r="E215" s="126" t="inlineStr">
        <is>
          <t>grid_22fp35k1.xlsx</t>
        </is>
      </c>
      <c r="F215" s="127" t="n">
        <v>-19.41132058431739</v>
      </c>
      <c r="G215" s="127" t="n">
        <v>2.95630540195465</v>
      </c>
      <c r="H215" s="127" t="n">
        <v>-15.26370106935305</v>
      </c>
      <c r="I215" s="127" t="n">
        <v>9.314091637493311</v>
      </c>
      <c r="J215" s="127" t="n">
        <v>-22.2736819957356</v>
      </c>
      <c r="K215" s="127" t="n">
        <v>-2.006031920155185</v>
      </c>
      <c r="L215" s="127" t="n">
        <v>6.827554281808758</v>
      </c>
      <c r="M215" s="127" t="n">
        <v>3.900792459553455</v>
      </c>
      <c r="N215" s="127" t="n">
        <v>13.72531447544738</v>
      </c>
      <c r="O215" s="127" t="n">
        <v>-7.126526076753367</v>
      </c>
      <c r="P215" s="127" t="n">
        <v>5.219378772549978</v>
      </c>
      <c r="Q215" s="127" t="n">
        <v>-1.597292206803785</v>
      </c>
      <c r="R215" s="127" t="n"/>
    </row>
    <row r="216">
      <c r="C216" s="112" t="n">
        <v>45809</v>
      </c>
      <c r="D216" s="112" t="n">
        <v>45838</v>
      </c>
      <c r="E216" s="126" t="inlineStr">
        <is>
          <t>grid_22fp35k1.xlsx</t>
        </is>
      </c>
      <c r="F216" s="127" t="n">
        <v>-18.34233278442019</v>
      </c>
      <c r="G216" s="127" t="n">
        <v>6.725563275950318</v>
      </c>
      <c r="H216" s="127" t="n">
        <v>-16.96121094635989</v>
      </c>
      <c r="I216" s="127" t="n">
        <v>-4.88878555989661</v>
      </c>
      <c r="J216" s="127" t="n">
        <v>-21.22030014632339</v>
      </c>
      <c r="K216" s="127" t="n">
        <v>-3.693361210136735</v>
      </c>
      <c r="L216" s="127" t="n">
        <v>9.240446290638207</v>
      </c>
      <c r="M216" s="127" t="n">
        <v>2.840326498329734</v>
      </c>
      <c r="N216" s="127" t="n">
        <v>12.26407036508054</v>
      </c>
      <c r="O216" s="127" t="n">
        <v>-11.02644592849227</v>
      </c>
      <c r="P216" s="127" t="n">
        <v>6.228487544034421</v>
      </c>
      <c r="Q216" s="127" t="n">
        <v>-6.38742786004353</v>
      </c>
      <c r="R216" s="127" t="n"/>
    </row>
    <row r="217">
      <c r="C217" s="112" t="n">
        <v>45839</v>
      </c>
      <c r="D217" s="112" t="n">
        <v>45869</v>
      </c>
      <c r="E217" s="126" t="inlineStr">
        <is>
          <t>grid_22fp35k1.xlsx</t>
        </is>
      </c>
      <c r="F217" s="127" t="n">
        <v>1.073868879833857</v>
      </c>
      <c r="G217" s="127" t="n">
        <v>9.298028124283112</v>
      </c>
      <c r="H217" s="127" t="n">
        <v>-10.73431133582695</v>
      </c>
      <c r="I217" s="127" t="n">
        <v>-8.240791641028419</v>
      </c>
      <c r="J217" s="127" t="n">
        <v>-10.35645508611326</v>
      </c>
      <c r="K217" s="127" t="n">
        <v>-3.197200502209193</v>
      </c>
      <c r="L217" s="127" t="n">
        <v>8.088068337654573</v>
      </c>
      <c r="M217" s="127" t="n">
        <v>-1.197662777135545</v>
      </c>
      <c r="N217" s="127" t="n">
        <v>12.84148373111374</v>
      </c>
      <c r="O217" s="127" t="n">
        <v>-5.698845872840084</v>
      </c>
      <c r="P217" s="127" t="n">
        <v>4.69946749671714</v>
      </c>
      <c r="Q217" s="127" t="n">
        <v>-10.05771202682817</v>
      </c>
      <c r="R217" s="127" t="n"/>
    </row>
    <row r="218">
      <c r="C218" s="112" t="n">
        <v>45870</v>
      </c>
      <c r="D218" s="112" t="n">
        <v>45898</v>
      </c>
      <c r="E218" s="126" t="inlineStr">
        <is>
          <t>grid_22fp35k1.xlsx</t>
        </is>
      </c>
      <c r="F218" s="127" t="n">
        <v>-5.313728913904018</v>
      </c>
      <c r="G218" s="127" t="n">
        <v>8.530122626326859</v>
      </c>
      <c r="H218" s="127" t="n">
        <v>1.910356719697055</v>
      </c>
      <c r="I218" s="127" t="n">
        <v>-16.9104052054615</v>
      </c>
      <c r="J218" s="127" t="n">
        <v>-15.68445258023019</v>
      </c>
      <c r="K218" s="127" t="n">
        <v>2.302586625122647</v>
      </c>
      <c r="L218" s="127" t="n">
        <v>9.085701375019685</v>
      </c>
      <c r="M218" s="127" t="n">
        <v>-5.604661263473516</v>
      </c>
      <c r="N218" s="127" t="n">
        <v>5.049648480812144</v>
      </c>
      <c r="O218" s="127" t="n">
        <v>-4.98683277336935</v>
      </c>
      <c r="P218" s="127" t="n">
        <v>2.036914081007928</v>
      </c>
      <c r="Q218" s="127" t="n">
        <v>-1.298206545177076</v>
      </c>
      <c r="R218" s="127" t="n"/>
    </row>
    <row r="219">
      <c r="C219" s="112" t="n">
        <v>45901</v>
      </c>
      <c r="D219" s="112" t="n">
        <v>45930</v>
      </c>
      <c r="E219" s="126" t="inlineStr">
        <is>
          <t>grid_22fp35k1.xlsx</t>
        </is>
      </c>
      <c r="F219" s="127" t="n">
        <v>-7.164455679435895</v>
      </c>
      <c r="G219" s="127" t="n">
        <v>5.270731855533408</v>
      </c>
      <c r="H219" s="127" t="n">
        <v>6.955052797488295</v>
      </c>
      <c r="I219" s="127" t="n">
        <v>-3.478882017521791</v>
      </c>
      <c r="J219" s="127" t="n">
        <v>-14.07617392870418</v>
      </c>
      <c r="K219" s="127" t="n">
        <v>2.884980540291869</v>
      </c>
      <c r="L219" s="127" t="n">
        <v>11.03734231113378</v>
      </c>
      <c r="M219" s="127" t="n">
        <v>-3.153374512019096</v>
      </c>
      <c r="N219" s="127" t="n">
        <v>4.748721330543607</v>
      </c>
      <c r="O219" s="127" t="n">
        <v>-5.725929007349103</v>
      </c>
      <c r="P219" s="127" t="n">
        <v>-0.02606178680181081</v>
      </c>
      <c r="Q219" s="127" t="n">
        <v>5.672561692602229</v>
      </c>
      <c r="R219" s="127" t="n"/>
    </row>
    <row r="220">
      <c r="C220" s="112" t="n">
        <v>45931</v>
      </c>
      <c r="D220" s="112" t="n">
        <v>45961</v>
      </c>
      <c r="E220" s="126" t="inlineStr">
        <is>
          <t>grid_22fp35k1.xlsx</t>
        </is>
      </c>
      <c r="F220" s="127" t="n">
        <v>-6.303622964981219</v>
      </c>
      <c r="G220" s="127" t="n">
        <v>2.038316068127219</v>
      </c>
      <c r="H220" s="127" t="n">
        <v>8.530773390725326</v>
      </c>
      <c r="I220" s="127" t="n">
        <v>-1.808198932266598</v>
      </c>
      <c r="J220" s="127" t="n">
        <v>-6.320074456871937</v>
      </c>
      <c r="K220" s="127" t="n">
        <v>3.533437865398837</v>
      </c>
      <c r="L220" s="127" t="n">
        <v>15.32773473731257</v>
      </c>
      <c r="M220" s="127" t="n">
        <v>2.639333750860258</v>
      </c>
      <c r="N220" s="127" t="n">
        <v>5.17682879628002</v>
      </c>
      <c r="O220" s="127" t="n">
        <v>4.660720767214992</v>
      </c>
      <c r="P220" s="127" t="n">
        <v>5.168278031997482</v>
      </c>
      <c r="Q220" s="127" t="n">
        <v>15.60575843444361</v>
      </c>
      <c r="R220" s="127" t="n"/>
    </row>
    <row r="221">
      <c r="C221" s="112" t="n">
        <v>45962</v>
      </c>
      <c r="D221" s="112" t="n">
        <v>45989</v>
      </c>
      <c r="E221" s="126" t="inlineStr">
        <is>
          <t>grid_22fp35k1.xlsx</t>
        </is>
      </c>
      <c r="F221" s="127" t="n">
        <v>-0.9798770412456186</v>
      </c>
      <c r="G221" s="127" t="n">
        <v>5.153236558195672</v>
      </c>
      <c r="H221" s="127" t="n">
        <v>15.91940394196163</v>
      </c>
      <c r="I221" s="127" t="n">
        <v>3.844427492123196</v>
      </c>
      <c r="J221" s="127" t="n">
        <v>-4.691490175971895</v>
      </c>
      <c r="K221" s="127" t="n">
        <v>1.128359684405254</v>
      </c>
      <c r="L221" s="127" t="n">
        <v>17.66069214063453</v>
      </c>
      <c r="M221" s="127" t="n">
        <v>5.351355997916885</v>
      </c>
      <c r="N221" s="127" t="n">
        <v>5.618663936628736</v>
      </c>
      <c r="O221" s="127" t="n">
        <v>8.722617554338388</v>
      </c>
      <c r="P221" s="127" t="n">
        <v>3.243193969669794</v>
      </c>
      <c r="Q221" s="127" t="n">
        <v>17.35616901108924</v>
      </c>
      <c r="R221" s="127" t="n"/>
    </row>
    <row r="222">
      <c r="C222" s="112" t="n">
        <v>45992</v>
      </c>
      <c r="D222" s="112" t="n">
        <v>46022</v>
      </c>
      <c r="E222" s="126" t="inlineStr">
        <is>
          <t>grid_22fp35k1.xlsx</t>
        </is>
      </c>
      <c r="F222" s="127" t="n">
        <v>0.7576131607081157</v>
      </c>
      <c r="G222" s="127" t="n">
        <v>7.650149989626298</v>
      </c>
      <c r="H222" s="127" t="n">
        <v>21.94702082964855</v>
      </c>
      <c r="I222" s="127" t="n">
        <v>5.097829713558983</v>
      </c>
      <c r="J222" s="127" t="n">
        <v>-11.82758047965887</v>
      </c>
      <c r="K222" s="127" t="n">
        <v>3.656758960396495</v>
      </c>
      <c r="L222" s="127" t="n">
        <v>12.12108647302248</v>
      </c>
      <c r="M222" s="127" t="n">
        <v>7.712128662951129</v>
      </c>
      <c r="N222" s="127" t="n">
        <v>4.54189445024718</v>
      </c>
      <c r="O222" s="127" t="n">
        <v>13.37992034538634</v>
      </c>
      <c r="P222" s="127" t="n">
        <v>10.20014494921127</v>
      </c>
      <c r="Q222" s="127" t="n">
        <v>10.63820828255315</v>
      </c>
      <c r="R222" s="127" t="n"/>
    </row>
    <row r="223">
      <c r="C223" s="112" t="n">
        <v>46023</v>
      </c>
      <c r="D223" s="112" t="n">
        <v>46052</v>
      </c>
      <c r="E223" s="126" t="inlineStr">
        <is>
          <t>grid_22fp35k1.xlsx</t>
        </is>
      </c>
      <c r="F223" s="127" t="n">
        <v>3.298523522256235</v>
      </c>
      <c r="G223" s="127" t="n">
        <v>8.439469928964842</v>
      </c>
      <c r="H223" s="127" t="n">
        <v>15.57437908500904</v>
      </c>
      <c r="I223" s="127" t="n">
        <v>4.548993571035263</v>
      </c>
      <c r="J223" s="127" t="n">
        <v>-16.91560273711161</v>
      </c>
      <c r="K223" s="127" t="n">
        <v>3.781157955048513</v>
      </c>
      <c r="L223" s="127" t="n">
        <v>8.35108189541641</v>
      </c>
      <c r="M223" s="127" t="n">
        <v>8.239430867786973</v>
      </c>
      <c r="N223" s="127" t="n">
        <v>1.662560968462521</v>
      </c>
      <c r="O223" s="127" t="n">
        <v>10.43579514880445</v>
      </c>
      <c r="P223" s="127" t="n">
        <v>7.116952843825573</v>
      </c>
      <c r="Q223" s="127" t="n">
        <v>10.0667836594267</v>
      </c>
      <c r="R223" s="127" t="n"/>
    </row>
    <row r="224">
      <c r="C224" s="112" t="n">
        <v>46054</v>
      </c>
      <c r="D224" s="112" t="n">
        <v>46080</v>
      </c>
      <c r="E224" s="126" t="inlineStr">
        <is>
          <t>grid_22fp35k1.xlsx</t>
        </is>
      </c>
      <c r="F224" s="127" t="n">
        <v>9.627895051317028</v>
      </c>
      <c r="G224" s="127" t="n">
        <v>6.425338766809746</v>
      </c>
      <c r="H224" s="127" t="n">
        <v>2.21177643998164</v>
      </c>
      <c r="I224" s="127" t="n">
        <v>7.951411778885569</v>
      </c>
      <c r="J224" s="127" t="n">
        <v>3.436655178097476</v>
      </c>
      <c r="K224" s="127" t="n">
        <v>4.338962816828577</v>
      </c>
      <c r="L224" s="127" t="n">
        <v>-2.641353271903533</v>
      </c>
      <c r="M224" s="127" t="n">
        <v>5.85305912436143</v>
      </c>
      <c r="N224" s="127" t="n">
        <v>-0.3382906436211219</v>
      </c>
      <c r="O224" s="127" t="n">
        <v>5.835349622995914</v>
      </c>
      <c r="P224" s="127" t="n">
        <v>2.453779116349515</v>
      </c>
      <c r="Q224" s="127" t="n">
        <v>10.36752435893185</v>
      </c>
      <c r="R224" s="127" t="n"/>
    </row>
    <row r="225">
      <c r="C225" s="112" t="n">
        <v>46082</v>
      </c>
      <c r="D225" s="112" t="n">
        <v>46112</v>
      </c>
      <c r="E225" s="126" t="inlineStr">
        <is>
          <t>grid_22fp35k1.xlsx</t>
        </is>
      </c>
      <c r="F225" s="127" t="n">
        <v>32.10595552280639</v>
      </c>
      <c r="G225" s="127" t="n">
        <v>6.148894860684609</v>
      </c>
      <c r="H225" s="127" t="n">
        <v>1.733920560813732</v>
      </c>
      <c r="I225" s="127" t="n">
        <v>1.087089909700422</v>
      </c>
      <c r="J225" s="127" t="n">
        <v>46.6030477396629</v>
      </c>
      <c r="K225" s="127" t="n">
        <v>2.448949655872797</v>
      </c>
      <c r="L225" s="127" t="n">
        <v>-4.814179940057863</v>
      </c>
      <c r="M225" s="127" t="n">
        <v>6.908670636678384</v>
      </c>
      <c r="N225" s="127" t="n">
        <v>4.140523397504206</v>
      </c>
      <c r="O225" s="127" t="n">
        <v>8.155282038899605</v>
      </c>
      <c r="P225" s="127" t="n">
        <v>-2.94786458642275</v>
      </c>
      <c r="Q225" s="127" t="n">
        <v>11.68270867738809</v>
      </c>
      <c r="R225" s="127" t="n"/>
    </row>
    <row r="226">
      <c r="C226" s="112" t="n">
        <v>46113</v>
      </c>
      <c r="D226" s="112" t="n">
        <v>46142</v>
      </c>
      <c r="E226" s="126" t="inlineStr">
        <is>
          <t>grid_22fp35k1.xlsx</t>
        </is>
      </c>
      <c r="F226" s="127" t="n">
        <v>32.71493364953184</v>
      </c>
      <c r="G226" s="127" t="n">
        <v>6.970040246520402</v>
      </c>
      <c r="H226" s="127" t="n">
        <v>20.45217814528705</v>
      </c>
      <c r="I226" s="127" t="n">
        <v>-0.2224777237493034</v>
      </c>
      <c r="J226" s="127" t="n">
        <v>59.4697734317907</v>
      </c>
      <c r="K226" s="127" t="n">
        <v>1.663703370404916</v>
      </c>
      <c r="L226" s="127" t="n">
        <v>-3.508121638120383</v>
      </c>
      <c r="M226" s="127" t="n">
        <v>3.047932006072597</v>
      </c>
      <c r="N226" s="127" t="n">
        <v>8.560283763300658</v>
      </c>
      <c r="O226" s="127" t="n">
        <v>-6.265223129872596</v>
      </c>
      <c r="P226" s="127" t="n">
        <v>-1.605695094376034</v>
      </c>
      <c r="Q226" s="127" t="n">
        <v>11.99568800651753</v>
      </c>
      <c r="R226" s="127" t="n"/>
    </row>
    <row r="227">
      <c r="C227" s="112" t="n">
        <v>46143</v>
      </c>
      <c r="D227" s="112" t="n">
        <v>46171</v>
      </c>
      <c r="E227" s="126" t="inlineStr">
        <is>
          <t>grid_22fp35k1.xlsx</t>
        </is>
      </c>
      <c r="F227" s="127" t="n">
        <v>21.93250802688237</v>
      </c>
      <c r="G227" s="127" t="n">
        <v>2.935502429814747</v>
      </c>
      <c r="H227" s="127" t="n">
        <v>20.28714110384613</v>
      </c>
      <c r="I227" s="127" t="n">
        <v>12.77023283087551</v>
      </c>
      <c r="J227" s="127" t="n">
        <v>46.0349706641752</v>
      </c>
      <c r="K227" s="127" t="n">
        <v>1.904272325996515</v>
      </c>
      <c r="L227" s="127" t="n">
        <v>-4.835478429345939</v>
      </c>
      <c r="M227" s="127" t="n">
        <v>1.367573989645073</v>
      </c>
      <c r="N227" s="127" t="n">
        <v>8.768547828820546</v>
      </c>
      <c r="O227" s="127" t="n">
        <v>-6.699503603778102</v>
      </c>
      <c r="P227" s="127" t="n">
        <v>8.35847209258044</v>
      </c>
      <c r="Q227" s="127" t="n">
        <v>1.978367325782416</v>
      </c>
      <c r="R227" s="127" t="n"/>
    </row>
    <row r="228">
      <c r="C228" s="112" t="n">
        <v>46174</v>
      </c>
      <c r="D228" s="112" t="n">
        <v>46203</v>
      </c>
      <c r="E228" s="126" t="inlineStr">
        <is>
          <t>grid_22fp35k1.xlsx</t>
        </is>
      </c>
      <c r="F228" s="127" t="n">
        <v>-6.178410866666355</v>
      </c>
      <c r="G228" s="127" t="n">
        <v>1.865706179605577</v>
      </c>
      <c r="H228" s="127" t="n">
        <v>13.71815931474722</v>
      </c>
      <c r="I228" s="127" t="n">
        <v>16.65341643351819</v>
      </c>
      <c r="J228" s="127" t="n">
        <v>6.982228565636547</v>
      </c>
      <c r="K228" s="127" t="n">
        <v>5.509685040604408</v>
      </c>
      <c r="L228" s="127" t="n">
        <v>1.661807153719299</v>
      </c>
      <c r="M228" s="127" t="n">
        <v>-1.723559679415111</v>
      </c>
      <c r="N228" s="127" t="n">
        <v>-3.644323897152869</v>
      </c>
      <c r="O228" s="127" t="n">
        <v>-11.26384027553448</v>
      </c>
      <c r="P228" s="127" t="n">
        <v>9.454117347230499</v>
      </c>
      <c r="Q228" s="127" t="n">
        <v>0.3666172572711453</v>
      </c>
      <c r="R228" s="127" t="n"/>
    </row>
    <row r="229">
      <c r="C229" s="112" t="n">
        <v>46204</v>
      </c>
      <c r="D229" s="112" t="n">
        <v>46234</v>
      </c>
      <c r="E229" s="126" t="inlineStr">
        <is>
          <t>grid_22fp35k1.xlsx</t>
        </is>
      </c>
      <c r="F229" s="127" t="n">
        <v>-6.874742605419599</v>
      </c>
      <c r="G229" s="127" t="n">
        <v>0.3745970501075184</v>
      </c>
      <c r="H229" s="127" t="n">
        <v>15.02639362767039</v>
      </c>
      <c r="I229" s="127" t="n">
        <v>17.69602623901626</v>
      </c>
      <c r="J229" s="127" t="n">
        <v>-1.907922430536199</v>
      </c>
      <c r="K229" s="127" t="n">
        <v>3.9016742269712</v>
      </c>
      <c r="L229" s="127" t="n">
        <v>0.763452975691795</v>
      </c>
      <c r="M229" s="127" t="n">
        <v>1.606655963620319</v>
      </c>
      <c r="N229" s="127" t="n">
        <v>-7.637454388618941</v>
      </c>
      <c r="O229" s="127" t="n">
        <v>-8.118172284823117</v>
      </c>
      <c r="P229" s="127" t="n">
        <v>9.50322619242422</v>
      </c>
      <c r="Q229" s="127" t="n">
        <v>-8.187989353751354</v>
      </c>
      <c r="R229" s="127" t="n"/>
    </row>
    <row r="230">
      <c r="C230" s="112" t="n">
        <v>46235</v>
      </c>
      <c r="D230" s="112" t="n">
        <v>46265</v>
      </c>
      <c r="E230" s="126" t="inlineStr">
        <is>
          <t>grid_22fp35k1.xlsx</t>
        </is>
      </c>
      <c r="F230" s="127" t="n">
        <v>0.8386904673096452</v>
      </c>
      <c r="G230" s="127" t="n">
        <v>0.503531036548502</v>
      </c>
      <c r="H230" s="127" t="n">
        <v>20.980359436742</v>
      </c>
      <c r="I230" s="127" t="n">
        <v>-2.678555091953794</v>
      </c>
      <c r="J230" s="127" t="n">
        <v>2.442634147892913</v>
      </c>
      <c r="K230" s="127" t="n">
        <v>0.2382376285161211</v>
      </c>
      <c r="L230" s="127" t="n">
        <v>5.156547105815259</v>
      </c>
      <c r="M230" s="127" t="n">
        <v>5.994934021309605</v>
      </c>
      <c r="N230" s="127" t="n">
        <v>-5.914130057446776</v>
      </c>
      <c r="O230" s="127" t="n">
        <v>-8.14041519654576</v>
      </c>
      <c r="P230" s="127" t="n">
        <v>0.1416658343570708</v>
      </c>
      <c r="Q230" s="127" t="n">
        <v>-5.396075423492682</v>
      </c>
      <c r="R230" s="127" t="n"/>
    </row>
    <row r="231">
      <c r="C231" s="115" t="n">
        <v>46266</v>
      </c>
      <c r="D231" s="115" t="n">
        <v>46268</v>
      </c>
      <c r="E231" s="128" t="inlineStr">
        <is>
          <t>grid_22fp35k1.xlsx</t>
        </is>
      </c>
      <c r="F231" s="129" t="n">
        <v>6.428873002399012</v>
      </c>
      <c r="G231" s="129" t="n">
        <v>-0.5813950066962021</v>
      </c>
      <c r="H231" s="129" t="n">
        <v>21.02399612970548</v>
      </c>
      <c r="I231" s="129" t="n">
        <v>-3.756404629417735</v>
      </c>
      <c r="J231" s="129" t="n">
        <v>5.548857074130289</v>
      </c>
      <c r="K231" s="129" t="n">
        <v>-2.586513243572298</v>
      </c>
      <c r="L231" s="129" t="n">
        <v>1.976551119845032</v>
      </c>
      <c r="M231" s="129" t="n">
        <v>5.106706395621212</v>
      </c>
      <c r="N231" s="129" t="n">
        <v>1.76753671538752</v>
      </c>
      <c r="O231" s="129" t="n">
        <v>-9.159868008219529</v>
      </c>
      <c r="P231" s="129" t="n">
        <v>-2.732947172208998</v>
      </c>
      <c r="Q231" s="129" t="n">
        <v>-4.7958883074062</v>
      </c>
      <c r="R231" s="12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2:M460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7" customWidth="1" min="12" max="12"/>
  </cols>
  <sheetData>
    <row r="2">
      <c r="C2" s="2" t="inlineStr">
        <is>
          <t>Earnings de Energia e companhias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</row>
    <row r="3">
      <c r="C3" s="4" t="inlineStr">
        <is>
          <t>Séries 12 meses forward do setor de Energia, Petrobras e demais companhias identificadas.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</row>
    <row r="6" ht="36" customHeight="1">
      <c r="C6" s="11" t="inlineStr">
        <is>
          <t>month</t>
        </is>
      </c>
      <c r="D6" s="11" t="inlineStr">
        <is>
          <t>Energy reported</t>
        </is>
      </c>
      <c r="E6" s="11" t="inlineStr">
        <is>
          <t>IBOV</t>
        </is>
      </c>
      <c r="F6" s="11" t="inlineStr">
        <is>
          <t>Brava Energia</t>
        </is>
      </c>
      <c r="G6" s="11" t="inlineStr">
        <is>
          <t>Oleo e Gas Participacoes</t>
        </is>
      </c>
      <c r="H6" s="11" t="inlineStr">
        <is>
          <t>PRIO</t>
        </is>
      </c>
      <c r="I6" s="11" t="inlineStr">
        <is>
          <t>PetroReconcavo</t>
        </is>
      </c>
      <c r="J6" s="11" t="inlineStr">
        <is>
          <t>Petrobras</t>
        </is>
      </c>
      <c r="K6" s="11" t="inlineStr">
        <is>
          <t>Ex-Petrobras dynamic</t>
        </is>
      </c>
      <c r="L6" s="11" t="inlineStr">
        <is>
          <t>Ex-Petrobras core (PRIO + Brava)</t>
        </is>
      </c>
      <c r="M6" s="99" t="n"/>
    </row>
    <row r="7">
      <c r="C7" s="109" t="n">
        <v>39448</v>
      </c>
      <c r="D7" s="111" t="n">
        <v>29432.8344127123</v>
      </c>
      <c r="E7" s="111" t="n">
        <v>9959.8780653506</v>
      </c>
      <c r="F7" s="111" t="n"/>
      <c r="G7" s="111" t="n"/>
      <c r="H7" s="111" t="n"/>
      <c r="I7" s="111" t="n"/>
      <c r="J7" s="111" t="n">
        <v>29432.8344127123</v>
      </c>
      <c r="K7" s="111" t="n"/>
      <c r="L7" s="111" t="n"/>
      <c r="M7" s="99" t="n"/>
    </row>
    <row r="8">
      <c r="C8" s="112" t="n">
        <v>39479</v>
      </c>
      <c r="D8" s="114" t="n">
        <v>29645.2019747068</v>
      </c>
      <c r="E8" s="114" t="n">
        <v>10289.6073694319</v>
      </c>
      <c r="F8" s="114" t="n"/>
      <c r="G8" s="114" t="n"/>
      <c r="H8" s="114" t="n"/>
      <c r="I8" s="114" t="n"/>
      <c r="J8" s="114" t="n">
        <v>29645.2019747068</v>
      </c>
      <c r="K8" s="114" t="n"/>
      <c r="L8" s="114" t="n"/>
      <c r="M8" s="99" t="n"/>
    </row>
    <row r="9">
      <c r="C9" s="112" t="n">
        <v>39508</v>
      </c>
      <c r="D9" s="114" t="n">
        <v>30769.5536604932</v>
      </c>
      <c r="E9" s="114" t="n">
        <v>10303.8674847883</v>
      </c>
      <c r="F9" s="114" t="n"/>
      <c r="G9" s="114" t="n"/>
      <c r="H9" s="114" t="n"/>
      <c r="I9" s="114" t="n"/>
      <c r="J9" s="114" t="n">
        <v>30769.5536604932</v>
      </c>
      <c r="K9" s="114" t="n"/>
      <c r="L9" s="114" t="n"/>
      <c r="M9" s="99" t="n"/>
    </row>
    <row r="10">
      <c r="C10" s="112" t="n">
        <v>39539</v>
      </c>
      <c r="D10" s="114" t="n">
        <v>30957.4695837808</v>
      </c>
      <c r="E10" s="114" t="n">
        <v>10682.5227605994</v>
      </c>
      <c r="F10" s="114" t="n"/>
      <c r="G10" s="114" t="n"/>
      <c r="H10" s="114" t="n"/>
      <c r="I10" s="114" t="n"/>
      <c r="J10" s="114" t="n">
        <v>30957.4695837808</v>
      </c>
      <c r="K10" s="114" t="n"/>
      <c r="L10" s="114" t="n"/>
      <c r="M10" s="99" t="n"/>
    </row>
    <row r="11">
      <c r="C11" s="112" t="n">
        <v>39569</v>
      </c>
      <c r="D11" s="114" t="n">
        <v>32324.6684019726</v>
      </c>
      <c r="E11" s="114" t="n">
        <v>12096.372419705</v>
      </c>
      <c r="F11" s="114" t="n"/>
      <c r="G11" s="114" t="n"/>
      <c r="H11" s="114" t="n"/>
      <c r="I11" s="114" t="n"/>
      <c r="J11" s="114" t="n">
        <v>32324.6684019726</v>
      </c>
      <c r="K11" s="114" t="n"/>
      <c r="L11" s="114" t="n"/>
      <c r="M11" s="99" t="n"/>
    </row>
    <row r="12">
      <c r="C12" s="112" t="n">
        <v>39600</v>
      </c>
      <c r="D12" s="114" t="n">
        <v>32989.7392997699</v>
      </c>
      <c r="E12" s="114" t="n">
        <v>12518.4253993854</v>
      </c>
      <c r="F12" s="114" t="n"/>
      <c r="G12" s="114" t="n"/>
      <c r="H12" s="114" t="n"/>
      <c r="I12" s="114" t="n"/>
      <c r="J12" s="114" t="n">
        <v>32989.7392997699</v>
      </c>
      <c r="K12" s="114" t="n"/>
      <c r="L12" s="114" t="n"/>
      <c r="M12" s="99" t="n"/>
    </row>
    <row r="13">
      <c r="C13" s="112" t="n">
        <v>39630</v>
      </c>
      <c r="D13" s="114" t="n">
        <v>34314.9850455671</v>
      </c>
      <c r="E13" s="114" t="n">
        <v>11614.2108805641</v>
      </c>
      <c r="F13" s="114" t="n"/>
      <c r="G13" s="114" t="n"/>
      <c r="H13" s="114" t="n"/>
      <c r="I13" s="114" t="n"/>
      <c r="J13" s="114" t="n">
        <v>34314.9850455671</v>
      </c>
      <c r="K13" s="114" t="n"/>
      <c r="L13" s="114" t="n"/>
      <c r="M13" s="99" t="n"/>
    </row>
    <row r="14">
      <c r="C14" s="112" t="n">
        <v>39661</v>
      </c>
      <c r="D14" s="114" t="n">
        <v>34896.3779850521</v>
      </c>
      <c r="E14" s="114" t="n">
        <v>12104.0246422624</v>
      </c>
      <c r="F14" s="114" t="n"/>
      <c r="G14" s="114" t="n"/>
      <c r="H14" s="114" t="n"/>
      <c r="I14" s="114" t="n"/>
      <c r="J14" s="114" t="n">
        <v>34896.3779850521</v>
      </c>
      <c r="K14" s="114" t="n"/>
      <c r="L14" s="114" t="n"/>
      <c r="M14" s="99" t="n"/>
    </row>
    <row r="15">
      <c r="C15" s="112" t="n">
        <v>39692</v>
      </c>
      <c r="D15" s="114" t="n">
        <v>36268.298789874</v>
      </c>
      <c r="E15" s="114" t="n">
        <v>14266.9874911289</v>
      </c>
      <c r="F15" s="114" t="n"/>
      <c r="G15" s="114" t="n"/>
      <c r="H15" s="114" t="n"/>
      <c r="I15" s="114" t="n"/>
      <c r="J15" s="114" t="n">
        <v>36268.298789874</v>
      </c>
      <c r="K15" s="114" t="n"/>
      <c r="L15" s="114" t="n"/>
      <c r="M15" s="99" t="n"/>
    </row>
    <row r="16">
      <c r="C16" s="112" t="n">
        <v>39722</v>
      </c>
      <c r="D16" s="114" t="n">
        <v>34382.2515326247</v>
      </c>
      <c r="E16" s="114" t="n">
        <v>13115.5788441607</v>
      </c>
      <c r="F16" s="114" t="n"/>
      <c r="G16" s="114" t="n"/>
      <c r="H16" s="114" t="n"/>
      <c r="I16" s="114" t="n"/>
      <c r="J16" s="114" t="n">
        <v>34382.2515326247</v>
      </c>
      <c r="K16" s="114" t="n"/>
      <c r="L16" s="114" t="n"/>
      <c r="M16" s="99" t="n"/>
    </row>
    <row r="17">
      <c r="C17" s="112" t="n">
        <v>39753</v>
      </c>
      <c r="D17" s="114" t="n">
        <v>33491.210374663</v>
      </c>
      <c r="E17" s="114" t="n">
        <v>11850.1015847353</v>
      </c>
      <c r="F17" s="114" t="n"/>
      <c r="G17" s="114" t="n"/>
      <c r="H17" s="114" t="n"/>
      <c r="I17" s="114" t="n"/>
      <c r="J17" s="114" t="n">
        <v>33491.210374663</v>
      </c>
      <c r="K17" s="114" t="n"/>
      <c r="L17" s="114" t="n"/>
      <c r="M17" s="99" t="n"/>
    </row>
    <row r="18">
      <c r="C18" s="112" t="n">
        <v>39783</v>
      </c>
      <c r="D18" s="114" t="n">
        <v>29096.400896</v>
      </c>
      <c r="E18" s="114" t="n">
        <v>11084.4648793578</v>
      </c>
      <c r="F18" s="114" t="n"/>
      <c r="G18" s="114" t="n"/>
      <c r="H18" s="114" t="n"/>
      <c r="I18" s="114" t="n"/>
      <c r="J18" s="114" t="n">
        <v>29096.400896</v>
      </c>
      <c r="K18" s="114" t="n"/>
      <c r="L18" s="114" t="n"/>
      <c r="M18" s="99" t="n"/>
    </row>
    <row r="19">
      <c r="C19" s="112" t="n">
        <v>39814</v>
      </c>
      <c r="D19" s="114" t="n">
        <v>26792.8816710137</v>
      </c>
      <c r="E19" s="114" t="n">
        <v>11033.7390162929</v>
      </c>
      <c r="F19" s="114" t="n"/>
      <c r="G19" s="114" t="n"/>
      <c r="H19" s="114" t="n"/>
      <c r="I19" s="114" t="n"/>
      <c r="J19" s="114" t="n">
        <v>26792.8816710137</v>
      </c>
      <c r="K19" s="114" t="n"/>
      <c r="L19" s="114" t="n"/>
      <c r="M19" s="99" t="n"/>
    </row>
    <row r="20">
      <c r="C20" s="112" t="n">
        <v>39845</v>
      </c>
      <c r="D20" s="114" t="n">
        <v>27042.7876927123</v>
      </c>
      <c r="E20" s="114" t="n">
        <v>11190.3574737604</v>
      </c>
      <c r="F20" s="114" t="n"/>
      <c r="G20" s="114" t="n"/>
      <c r="H20" s="114" t="n"/>
      <c r="I20" s="114" t="n"/>
      <c r="J20" s="114" t="n">
        <v>27042.7876927123</v>
      </c>
      <c r="K20" s="114" t="n"/>
      <c r="L20" s="114" t="n"/>
      <c r="M20" s="99" t="n"/>
    </row>
    <row r="21">
      <c r="C21" s="112" t="n">
        <v>39873</v>
      </c>
      <c r="D21" s="114" t="n">
        <v>24508.1156734247</v>
      </c>
      <c r="E21" s="114" t="n">
        <v>9959.6274718116</v>
      </c>
      <c r="F21" s="114" t="n"/>
      <c r="G21" s="114" t="n"/>
      <c r="H21" s="114" t="n"/>
      <c r="I21" s="114" t="n"/>
      <c r="J21" s="114" t="n">
        <v>24508.1156734247</v>
      </c>
      <c r="K21" s="114" t="n"/>
      <c r="L21" s="114" t="n"/>
      <c r="M21" s="99" t="n"/>
    </row>
    <row r="22">
      <c r="C22" s="112" t="n">
        <v>39904</v>
      </c>
      <c r="D22" s="114" t="n">
        <v>23604.0850165479</v>
      </c>
      <c r="E22" s="114" t="n">
        <v>9074.7839544323</v>
      </c>
      <c r="F22" s="114" t="n"/>
      <c r="G22" s="114" t="n"/>
      <c r="H22" s="114" t="n"/>
      <c r="I22" s="114" t="n"/>
      <c r="J22" s="114" t="n">
        <v>23604.0850165479</v>
      </c>
      <c r="K22" s="114" t="n"/>
      <c r="L22" s="114" t="n"/>
      <c r="M22" s="99" t="n"/>
    </row>
    <row r="23">
      <c r="C23" s="112" t="n">
        <v>39934</v>
      </c>
      <c r="D23" s="114" t="n">
        <v>25104.4839760658</v>
      </c>
      <c r="E23" s="114" t="n">
        <v>9195.7718891232</v>
      </c>
      <c r="F23" s="114" t="n"/>
      <c r="G23" s="114" t="n"/>
      <c r="H23" s="114" t="n"/>
      <c r="I23" s="114" t="n"/>
      <c r="J23" s="114" t="n">
        <v>25104.4839760658</v>
      </c>
      <c r="K23" s="114" t="n"/>
      <c r="L23" s="114" t="n"/>
      <c r="M23" s="99" t="n"/>
    </row>
    <row r="24">
      <c r="C24" s="112" t="n">
        <v>39965</v>
      </c>
      <c r="D24" s="114" t="n">
        <v>25090.7494652493</v>
      </c>
      <c r="E24" s="114" t="n">
        <v>8893.8981333335</v>
      </c>
      <c r="F24" s="114" t="n"/>
      <c r="G24" s="114" t="n"/>
      <c r="H24" s="114" t="n"/>
      <c r="I24" s="114" t="n"/>
      <c r="J24" s="114" t="n">
        <v>25090.7494652493</v>
      </c>
      <c r="K24" s="114" t="n"/>
      <c r="L24" s="114" t="n"/>
      <c r="M24" s="99" t="n"/>
    </row>
    <row r="25">
      <c r="C25" s="112" t="n">
        <v>39995</v>
      </c>
      <c r="D25" s="114" t="n">
        <v>25347.7203687452</v>
      </c>
      <c r="E25" s="114" t="n">
        <v>8563.733914504901</v>
      </c>
      <c r="F25" s="114" t="n"/>
      <c r="G25" s="114" t="n"/>
      <c r="H25" s="114" t="n"/>
      <c r="I25" s="114" t="n"/>
      <c r="J25" s="114" t="n">
        <v>25347.7203687452</v>
      </c>
      <c r="K25" s="114" t="n"/>
      <c r="L25" s="114" t="n"/>
      <c r="M25" s="99" t="n"/>
    </row>
    <row r="26">
      <c r="C26" s="112" t="n">
        <v>40026</v>
      </c>
      <c r="D26" s="114" t="n">
        <v>25339.541907989</v>
      </c>
      <c r="E26" s="114" t="n">
        <v>8388.617434514401</v>
      </c>
      <c r="F26" s="114" t="n"/>
      <c r="G26" s="114" t="n"/>
      <c r="H26" s="114" t="n"/>
      <c r="I26" s="114" t="n"/>
      <c r="J26" s="114" t="n">
        <v>25339.541907989</v>
      </c>
      <c r="K26" s="114" t="n"/>
      <c r="L26" s="114" t="n"/>
      <c r="M26" s="99" t="n"/>
    </row>
    <row r="27">
      <c r="C27" s="112" t="n">
        <v>40057</v>
      </c>
      <c r="D27" s="114" t="n">
        <v>26521.992946674</v>
      </c>
      <c r="E27" s="114" t="n">
        <v>9160.297840548999</v>
      </c>
      <c r="F27" s="114" t="n"/>
      <c r="G27" s="114" t="n"/>
      <c r="H27" s="114" t="n"/>
      <c r="I27" s="114" t="n"/>
      <c r="J27" s="114" t="n">
        <v>26521.992946674</v>
      </c>
      <c r="K27" s="114" t="n"/>
      <c r="L27" s="114" t="n"/>
      <c r="M27" s="99" t="n"/>
    </row>
    <row r="28">
      <c r="C28" s="112" t="n">
        <v>40087</v>
      </c>
      <c r="D28" s="114" t="n">
        <v>27343.9044481753</v>
      </c>
      <c r="E28" s="114" t="n">
        <v>9619.929604426699</v>
      </c>
      <c r="F28" s="114" t="n"/>
      <c r="G28" s="114" t="n"/>
      <c r="H28" s="114" t="n"/>
      <c r="I28" s="114" t="n"/>
      <c r="J28" s="114" t="n">
        <v>27343.9044481753</v>
      </c>
      <c r="K28" s="114" t="n"/>
      <c r="L28" s="114" t="n"/>
      <c r="M28" s="99" t="n"/>
    </row>
    <row r="29">
      <c r="C29" s="112" t="n">
        <v>40118</v>
      </c>
      <c r="D29" s="114" t="n">
        <v>28859.7220758795</v>
      </c>
      <c r="E29" s="114" t="n">
        <v>10130.9507990353</v>
      </c>
      <c r="F29" s="114" t="n"/>
      <c r="G29" s="114" t="n"/>
      <c r="H29" s="114" t="n"/>
      <c r="I29" s="114" t="n"/>
      <c r="J29" s="114" t="n">
        <v>28859.7220758795</v>
      </c>
      <c r="K29" s="114" t="n"/>
      <c r="L29" s="114" t="n"/>
      <c r="M29" s="99" t="n"/>
    </row>
    <row r="30">
      <c r="C30" s="112" t="n">
        <v>40148</v>
      </c>
      <c r="D30" s="114" t="n">
        <v>29662.500864</v>
      </c>
      <c r="E30" s="114" t="n">
        <v>9965.839360792401</v>
      </c>
      <c r="F30" s="114" t="n"/>
      <c r="G30" s="114" t="n"/>
      <c r="H30" s="114" t="n"/>
      <c r="I30" s="114" t="n"/>
      <c r="J30" s="114" t="n">
        <v>29662.500864</v>
      </c>
      <c r="K30" s="114" t="n"/>
      <c r="L30" s="114" t="n"/>
      <c r="M30" s="99" t="n"/>
    </row>
    <row r="31">
      <c r="C31" s="112" t="n">
        <v>40179</v>
      </c>
      <c r="D31" s="114" t="n">
        <v>29007.9265739063</v>
      </c>
      <c r="E31" s="114" t="n">
        <v>9673.170002794401</v>
      </c>
      <c r="F31" s="114" t="n"/>
      <c r="G31" s="114" t="n">
        <v>240.331298630137</v>
      </c>
      <c r="H31" s="114" t="n"/>
      <c r="I31" s="114" t="n"/>
      <c r="J31" s="114" t="n">
        <v>30689.4562402192</v>
      </c>
      <c r="K31" s="114" t="n">
        <v>240.331298630137</v>
      </c>
      <c r="L31" s="114" t="n"/>
      <c r="M31" s="99" t="n"/>
    </row>
    <row r="32">
      <c r="C32" s="112" t="n">
        <v>40210</v>
      </c>
      <c r="D32" s="114" t="n">
        <v>28320.1473912361</v>
      </c>
      <c r="E32" s="114" t="n">
        <v>9709.584802409399</v>
      </c>
      <c r="F32" s="114" t="n"/>
      <c r="G32" s="114" t="n">
        <v>221.153231605479</v>
      </c>
      <c r="H32" s="114" t="n"/>
      <c r="I32" s="114" t="n"/>
      <c r="J32" s="114" t="n">
        <v>29840.4618688877</v>
      </c>
      <c r="K32" s="114" t="n">
        <v>221.153231605479</v>
      </c>
      <c r="L32" s="114" t="n"/>
      <c r="M32" s="99" t="n"/>
    </row>
    <row r="33">
      <c r="C33" s="112" t="n">
        <v>40238</v>
      </c>
      <c r="D33" s="114" t="n">
        <v>29012.1788076429</v>
      </c>
      <c r="E33" s="114" t="n">
        <v>10789.075082854</v>
      </c>
      <c r="F33" s="114" t="n"/>
      <c r="G33" s="114" t="n">
        <v>225.766301369863</v>
      </c>
      <c r="H33" s="114" t="n"/>
      <c r="I33" s="114" t="n"/>
      <c r="J33" s="114" t="n">
        <v>30621.3673941918</v>
      </c>
      <c r="K33" s="114" t="n">
        <v>225.766301369863</v>
      </c>
      <c r="L33" s="114" t="n"/>
      <c r="M33" s="99" t="n"/>
    </row>
    <row r="34">
      <c r="C34" s="112" t="n">
        <v>40269</v>
      </c>
      <c r="D34" s="114" t="n">
        <v>29635.3195654762</v>
      </c>
      <c r="E34" s="114" t="n">
        <v>11006.9069751206</v>
      </c>
      <c r="F34" s="114" t="n"/>
      <c r="G34" s="114" t="n">
        <v>281.719956164384</v>
      </c>
      <c r="H34" s="114" t="n"/>
      <c r="I34" s="114" t="n"/>
      <c r="J34" s="114" t="n">
        <v>31462.0239254795</v>
      </c>
      <c r="K34" s="114" t="n">
        <v>281.719956164384</v>
      </c>
      <c r="L34" s="114" t="n"/>
      <c r="M34" s="99" t="n"/>
    </row>
    <row r="35">
      <c r="C35" s="112" t="n">
        <v>40299</v>
      </c>
      <c r="D35" s="114" t="n">
        <v>27099.4479235388</v>
      </c>
      <c r="E35" s="114" t="n">
        <v>10281.7774589307</v>
      </c>
      <c r="F35" s="114" t="n"/>
      <c r="G35" s="114" t="n">
        <v>271.827478093151</v>
      </c>
      <c r="H35" s="114" t="n"/>
      <c r="I35" s="114" t="n"/>
      <c r="J35" s="114" t="n">
        <v>32083.2421551342</v>
      </c>
      <c r="K35" s="114" t="n">
        <v>271.827478093151</v>
      </c>
      <c r="L35" s="114" t="n"/>
      <c r="M35" s="99" t="n"/>
    </row>
    <row r="36">
      <c r="C36" s="112" t="n">
        <v>40330</v>
      </c>
      <c r="D36" s="114" t="n">
        <v>26950.7843853405</v>
      </c>
      <c r="E36" s="114" t="n">
        <v>9981.908802092499</v>
      </c>
      <c r="F36" s="114" t="n"/>
      <c r="G36" s="114" t="n">
        <v>274.895894443836</v>
      </c>
      <c r="H36" s="114" t="n"/>
      <c r="I36" s="114" t="n"/>
      <c r="J36" s="114" t="n">
        <v>32580.9011164931</v>
      </c>
      <c r="K36" s="114" t="n">
        <v>274.895894443836</v>
      </c>
      <c r="L36" s="114" t="n"/>
      <c r="M36" s="99" t="n"/>
    </row>
    <row r="37">
      <c r="C37" s="112" t="n">
        <v>40360</v>
      </c>
      <c r="D37" s="114" t="n">
        <v>27045.6020456823</v>
      </c>
      <c r="E37" s="114" t="n">
        <v>10157.3473649416</v>
      </c>
      <c r="F37" s="114" t="n"/>
      <c r="G37" s="114" t="n">
        <v>277.616772821918</v>
      </c>
      <c r="H37" s="114" t="n"/>
      <c r="I37" s="114" t="n"/>
      <c r="J37" s="114" t="n">
        <v>33107.7623808</v>
      </c>
      <c r="K37" s="114" t="n">
        <v>277.616772821918</v>
      </c>
      <c r="L37" s="114" t="n"/>
      <c r="M37" s="99" t="n"/>
    </row>
    <row r="38">
      <c r="C38" s="112" t="n">
        <v>40391</v>
      </c>
      <c r="D38" s="114" t="n">
        <v>26043.1805735969</v>
      </c>
      <c r="E38" s="114" t="n">
        <v>10478.9497789164</v>
      </c>
      <c r="F38" s="114" t="n"/>
      <c r="G38" s="114" t="n">
        <v>378.695728920548</v>
      </c>
      <c r="H38" s="114" t="n"/>
      <c r="I38" s="114" t="n"/>
      <c r="J38" s="114" t="n">
        <v>32989.9049296658</v>
      </c>
      <c r="K38" s="114" t="n">
        <v>378.695728920548</v>
      </c>
      <c r="L38" s="114" t="n"/>
      <c r="M38" s="99" t="n"/>
    </row>
    <row r="39">
      <c r="C39" s="112" t="n">
        <v>40422</v>
      </c>
      <c r="D39" s="114" t="n">
        <v>25585.3534653899</v>
      </c>
      <c r="E39" s="114" t="n">
        <v>11407.2372415397</v>
      </c>
      <c r="F39" s="114" t="n"/>
      <c r="G39" s="114" t="n">
        <v>298.622562367123</v>
      </c>
      <c r="H39" s="114" t="n"/>
      <c r="I39" s="114" t="n"/>
      <c r="J39" s="114" t="n">
        <v>33394.5893930082</v>
      </c>
      <c r="K39" s="114" t="n">
        <v>298.622562367123</v>
      </c>
      <c r="L39" s="114" t="n"/>
      <c r="M39" s="99" t="n"/>
    </row>
    <row r="40">
      <c r="C40" s="112" t="n">
        <v>40452</v>
      </c>
      <c r="D40" s="114" t="n">
        <v>25890.2192560051</v>
      </c>
      <c r="E40" s="114" t="n">
        <v>11592.0156282558</v>
      </c>
      <c r="F40" s="114" t="n"/>
      <c r="G40" s="114" t="n">
        <v>284.533702750685</v>
      </c>
      <c r="H40" s="114" t="n"/>
      <c r="I40" s="114" t="n"/>
      <c r="J40" s="114" t="n">
        <v>34355.6581011288</v>
      </c>
      <c r="K40" s="114" t="n">
        <v>284.533702750685</v>
      </c>
      <c r="L40" s="114" t="n"/>
      <c r="M40" s="99" t="n"/>
    </row>
    <row r="41">
      <c r="C41" s="112" t="n">
        <v>40483</v>
      </c>
      <c r="D41" s="114" t="n">
        <v>26577.3965953684</v>
      </c>
      <c r="E41" s="114" t="n">
        <v>12019.0125511685</v>
      </c>
      <c r="F41" s="114" t="n"/>
      <c r="G41" s="114" t="n">
        <v>165.547605479452</v>
      </c>
      <c r="H41" s="114" t="n"/>
      <c r="I41" s="114" t="n"/>
      <c r="J41" s="114" t="n">
        <v>34706.0547022904</v>
      </c>
      <c r="K41" s="114" t="n">
        <v>165.547605479452</v>
      </c>
      <c r="L41" s="114" t="n"/>
      <c r="M41" s="99" t="n"/>
    </row>
    <row r="42">
      <c r="C42" s="112" t="n">
        <v>40513</v>
      </c>
      <c r="D42" s="114" t="n">
        <v>28108.4595888069</v>
      </c>
      <c r="E42" s="114" t="n">
        <v>12597.8633879485</v>
      </c>
      <c r="F42" s="114" t="n"/>
      <c r="G42" s="114" t="n">
        <v>244</v>
      </c>
      <c r="H42" s="114" t="n"/>
      <c r="I42" s="114" t="n"/>
      <c r="J42" s="114" t="n">
        <v>35806.298112</v>
      </c>
      <c r="K42" s="114" t="n">
        <v>244</v>
      </c>
      <c r="L42" s="114" t="n"/>
      <c r="M42" s="99" t="n"/>
    </row>
    <row r="43">
      <c r="C43" s="112" t="n">
        <v>40544</v>
      </c>
      <c r="D43" s="114" t="n">
        <v>27471.7172135821</v>
      </c>
      <c r="E43" s="114" t="n">
        <v>13177.5163218255</v>
      </c>
      <c r="F43" s="114" t="n"/>
      <c r="G43" s="114" t="n">
        <v>328.245350994535</v>
      </c>
      <c r="H43" s="114" t="n"/>
      <c r="I43" s="114" t="n"/>
      <c r="J43" s="114" t="n">
        <v>35954.9469880656</v>
      </c>
      <c r="K43" s="114" t="n">
        <v>328.245350994535</v>
      </c>
      <c r="L43" s="114" t="n"/>
      <c r="M43" s="99" t="n"/>
    </row>
    <row r="44">
      <c r="C44" s="112" t="n">
        <v>40575</v>
      </c>
      <c r="D44" s="114" t="n">
        <v>26929.3029852374</v>
      </c>
      <c r="E44" s="114" t="n">
        <v>13431.2669381568</v>
      </c>
      <c r="F44" s="114" t="n"/>
      <c r="G44" s="114" t="n">
        <v>428.796726557377</v>
      </c>
      <c r="H44" s="114" t="n"/>
      <c r="I44" s="114" t="n"/>
      <c r="J44" s="114" t="n">
        <v>35747.873506623</v>
      </c>
      <c r="K44" s="114" t="n">
        <v>428.796726557377</v>
      </c>
      <c r="L44" s="114" t="n"/>
      <c r="M44" s="99" t="n"/>
    </row>
    <row r="45">
      <c r="C45" s="112" t="n">
        <v>40603</v>
      </c>
      <c r="D45" s="114" t="n">
        <v>27197.9224803103</v>
      </c>
      <c r="E45" s="114" t="n">
        <v>13213.0492168076</v>
      </c>
      <c r="F45" s="114" t="n"/>
      <c r="G45" s="114" t="n">
        <v>470.548087431694</v>
      </c>
      <c r="H45" s="114" t="n"/>
      <c r="I45" s="114" t="n"/>
      <c r="J45" s="114" t="n">
        <v>36151.9318536393</v>
      </c>
      <c r="K45" s="114" t="n">
        <v>470.548087431694</v>
      </c>
      <c r="L45" s="114" t="n"/>
      <c r="M45" s="99" t="n"/>
    </row>
    <row r="46">
      <c r="C46" s="112" t="n">
        <v>40634</v>
      </c>
      <c r="D46" s="114" t="n">
        <v>27678.808036833</v>
      </c>
      <c r="E46" s="114" t="n">
        <v>13174.7446615963</v>
      </c>
      <c r="F46" s="114" t="n"/>
      <c r="G46" s="114" t="n">
        <v>537.022819672131</v>
      </c>
      <c r="H46" s="114" t="n"/>
      <c r="I46" s="114" t="n"/>
      <c r="J46" s="114" t="n">
        <v>36367.6794208525</v>
      </c>
      <c r="K46" s="114" t="n">
        <v>537.022819672131</v>
      </c>
      <c r="L46" s="114" t="n"/>
      <c r="M46" s="99" t="n"/>
    </row>
    <row r="47">
      <c r="C47" s="112" t="n">
        <v>40664</v>
      </c>
      <c r="D47" s="114" t="n">
        <v>26793.3038270447</v>
      </c>
      <c r="E47" s="114" t="n">
        <v>12498.0567318548</v>
      </c>
      <c r="F47" s="114" t="n"/>
      <c r="G47" s="114" t="n">
        <v>516.745529879781</v>
      </c>
      <c r="H47" s="114" t="n"/>
      <c r="I47" s="114" t="n"/>
      <c r="J47" s="114" t="n">
        <v>36570.3692422295</v>
      </c>
      <c r="K47" s="114" t="n">
        <v>516.745529879781</v>
      </c>
      <c r="L47" s="114" t="n"/>
      <c r="M47" s="99" t="n"/>
    </row>
    <row r="48">
      <c r="C48" s="112" t="n">
        <v>40695</v>
      </c>
      <c r="D48" s="114" t="n">
        <v>28449.1181149492</v>
      </c>
      <c r="E48" s="114" t="n">
        <v>13424.2893837919</v>
      </c>
      <c r="F48" s="114" t="n"/>
      <c r="G48" s="114" t="n">
        <v>615.959712874317</v>
      </c>
      <c r="H48" s="114" t="n"/>
      <c r="I48" s="114" t="n"/>
      <c r="J48" s="114" t="n">
        <v>38017.7918321312</v>
      </c>
      <c r="K48" s="114" t="n">
        <v>615.959712874317</v>
      </c>
      <c r="L48" s="114" t="n"/>
      <c r="M48" s="99" t="n"/>
    </row>
    <row r="49">
      <c r="C49" s="112" t="n">
        <v>40725</v>
      </c>
      <c r="D49" s="114" t="n">
        <v>29939.8687573529</v>
      </c>
      <c r="E49" s="114" t="n">
        <v>14082.4292593319</v>
      </c>
      <c r="F49" s="114" t="n"/>
      <c r="G49" s="114" t="n">
        <v>583.57868852459</v>
      </c>
      <c r="H49" s="114" t="n"/>
      <c r="I49" s="114" t="n"/>
      <c r="J49" s="114" t="n">
        <v>38957.3051285683</v>
      </c>
      <c r="K49" s="114" t="n">
        <v>583.57868852459</v>
      </c>
      <c r="L49" s="114" t="n"/>
      <c r="M49" s="99" t="n"/>
    </row>
    <row r="50">
      <c r="C50" s="112" t="n">
        <v>40756</v>
      </c>
      <c r="D50" s="114" t="n">
        <v>31037.4498452394</v>
      </c>
      <c r="E50" s="114" t="n">
        <v>13480.6643563939</v>
      </c>
      <c r="F50" s="114" t="n"/>
      <c r="G50" s="114" t="n">
        <v>496.757782666667</v>
      </c>
      <c r="H50" s="114" t="n"/>
      <c r="I50" s="114" t="n"/>
      <c r="J50" s="114" t="n">
        <v>40377.0013013333</v>
      </c>
      <c r="K50" s="114" t="n">
        <v>496.757782666667</v>
      </c>
      <c r="L50" s="114" t="n"/>
      <c r="M50" s="99" t="n"/>
    </row>
    <row r="51">
      <c r="C51" s="112" t="n">
        <v>40787</v>
      </c>
      <c r="D51" s="114" t="n">
        <v>28543.0045469092</v>
      </c>
      <c r="E51" s="114" t="n">
        <v>13359.1834293639</v>
      </c>
      <c r="F51" s="114" t="n"/>
      <c r="G51" s="114" t="n">
        <v>617.319846469945</v>
      </c>
      <c r="H51" s="114" t="n"/>
      <c r="I51" s="114" t="n"/>
      <c r="J51" s="114" t="n">
        <v>40856.1304313005</v>
      </c>
      <c r="K51" s="114" t="n">
        <v>617.319846469945</v>
      </c>
      <c r="L51" s="114" t="n"/>
      <c r="M51" s="99" t="n"/>
    </row>
    <row r="52">
      <c r="C52" s="112" t="n">
        <v>40817</v>
      </c>
      <c r="D52" s="114" t="n">
        <v>26850.8698277753</v>
      </c>
      <c r="E52" s="114" t="n">
        <v>12887.0678723443</v>
      </c>
      <c r="F52" s="114" t="n"/>
      <c r="G52" s="114" t="n">
        <v>491.106853333333</v>
      </c>
      <c r="H52" s="114" t="n"/>
      <c r="I52" s="114" t="n"/>
      <c r="J52" s="114" t="n">
        <v>39740.20096</v>
      </c>
      <c r="K52" s="114" t="n">
        <v>491.106853333333</v>
      </c>
      <c r="L52" s="114" t="n"/>
      <c r="M52" s="99" t="n"/>
    </row>
    <row r="53">
      <c r="C53" s="112" t="n">
        <v>40848</v>
      </c>
      <c r="D53" s="114" t="n">
        <v>27913.4061246393</v>
      </c>
      <c r="E53" s="114" t="n">
        <v>13114.066429376</v>
      </c>
      <c r="F53" s="114" t="n"/>
      <c r="G53" s="114" t="n">
        <v>579.143672131147</v>
      </c>
      <c r="H53" s="114" t="n"/>
      <c r="I53" s="114" t="n"/>
      <c r="J53" s="114" t="n">
        <v>40474.241505224</v>
      </c>
      <c r="K53" s="114" t="n">
        <v>579.143672131147</v>
      </c>
      <c r="L53" s="114" t="n"/>
      <c r="M53" s="99" t="n"/>
    </row>
    <row r="54">
      <c r="C54" s="112" t="n">
        <v>40878</v>
      </c>
      <c r="D54" s="114" t="n">
        <v>27142.8586176216</v>
      </c>
      <c r="E54" s="114" t="n">
        <v>12652.2355261844</v>
      </c>
      <c r="F54" s="114" t="n"/>
      <c r="G54" s="114" t="n">
        <v>521.783109289618</v>
      </c>
      <c r="H54" s="114" t="n"/>
      <c r="I54" s="114" t="n"/>
      <c r="J54" s="114" t="n">
        <v>39451.2013905137</v>
      </c>
      <c r="K54" s="114" t="n">
        <v>521.783109289618</v>
      </c>
      <c r="L54" s="114" t="n"/>
      <c r="M54" s="99" t="n"/>
    </row>
    <row r="55">
      <c r="C55" s="112" t="n">
        <v>40909</v>
      </c>
      <c r="D55" s="114" t="n">
        <v>26838.6281662673</v>
      </c>
      <c r="E55" s="114" t="n">
        <v>11926.744740175</v>
      </c>
      <c r="F55" s="114" t="n"/>
      <c r="G55" s="114" t="n">
        <v>604.721351452055</v>
      </c>
      <c r="H55" s="114" t="n"/>
      <c r="I55" s="114" t="n"/>
      <c r="J55" s="114" t="n">
        <v>39987.1569639452</v>
      </c>
      <c r="K55" s="114" t="n">
        <v>604.721351452055</v>
      </c>
      <c r="L55" s="114" t="n"/>
      <c r="M55" s="99" t="n"/>
    </row>
    <row r="56">
      <c r="C56" s="112" t="n">
        <v>40940</v>
      </c>
      <c r="D56" s="114" t="n">
        <v>24956.1722412991</v>
      </c>
      <c r="E56" s="114" t="n">
        <v>10690.2097017882</v>
      </c>
      <c r="F56" s="114" t="n"/>
      <c r="G56" s="114" t="n">
        <v>780.11601779726</v>
      </c>
      <c r="H56" s="114" t="n"/>
      <c r="I56" s="114" t="n"/>
      <c r="J56" s="114" t="n">
        <v>37644.5062999671</v>
      </c>
      <c r="K56" s="114" t="n">
        <v>780.11601779726</v>
      </c>
      <c r="L56" s="114" t="n"/>
      <c r="M56" s="99" t="n"/>
    </row>
    <row r="57">
      <c r="C57" s="112" t="n">
        <v>40969</v>
      </c>
      <c r="D57" s="114" t="n">
        <v>25459.2782226215</v>
      </c>
      <c r="E57" s="114" t="n">
        <v>10556.6456148429</v>
      </c>
      <c r="F57" s="114" t="n"/>
      <c r="G57" s="114" t="n">
        <v>642.034813545205</v>
      </c>
      <c r="H57" s="114" t="n"/>
      <c r="I57" s="114" t="n"/>
      <c r="J57" s="114" t="n">
        <v>37489.2038677041</v>
      </c>
      <c r="K57" s="114" t="n">
        <v>642.034813545205</v>
      </c>
      <c r="L57" s="114" t="n"/>
      <c r="M57" s="99" t="n"/>
    </row>
    <row r="58">
      <c r="C58" s="112" t="n">
        <v>41000</v>
      </c>
      <c r="D58" s="114" t="n">
        <v>25130.9387485097</v>
      </c>
      <c r="E58" s="114" t="n">
        <v>10530.9039228188</v>
      </c>
      <c r="F58" s="114" t="n"/>
      <c r="G58" s="114" t="n">
        <v>612.38487890411</v>
      </c>
      <c r="H58" s="114" t="n"/>
      <c r="I58" s="114" t="n"/>
      <c r="J58" s="114" t="n">
        <v>36523.2998820822</v>
      </c>
      <c r="K58" s="114" t="n">
        <v>612.38487890411</v>
      </c>
      <c r="L58" s="114" t="n"/>
      <c r="M58" s="99" t="n"/>
    </row>
    <row r="59">
      <c r="C59" s="112" t="n">
        <v>41030</v>
      </c>
      <c r="D59" s="114" t="n">
        <v>26335.9323365328</v>
      </c>
      <c r="E59" s="114" t="n">
        <v>11208.6571100341</v>
      </c>
      <c r="F59" s="114" t="n"/>
      <c r="G59" s="114" t="n">
        <v>494.456026476712</v>
      </c>
      <c r="H59" s="114" t="n"/>
      <c r="I59" s="114" t="n"/>
      <c r="J59" s="114" t="n">
        <v>36257.8678264986</v>
      </c>
      <c r="K59" s="114" t="n">
        <v>494.456026476712</v>
      </c>
      <c r="L59" s="114" t="n"/>
      <c r="M59" s="99" t="n"/>
    </row>
    <row r="60">
      <c r="C60" s="112" t="n">
        <v>41061</v>
      </c>
      <c r="D60" s="114" t="n">
        <v>28665.6245906013</v>
      </c>
      <c r="E60" s="114" t="n">
        <v>11266.0398633244</v>
      </c>
      <c r="F60" s="114" t="n"/>
      <c r="G60" s="114" t="n">
        <v>-20.0129507945206</v>
      </c>
      <c r="H60" s="114" t="n"/>
      <c r="I60" s="114" t="n"/>
      <c r="J60" s="114" t="n">
        <v>34829.6072486575</v>
      </c>
      <c r="K60" s="114" t="n">
        <v>-20.0129507945206</v>
      </c>
      <c r="L60" s="114" t="n"/>
      <c r="M60" s="99" t="n"/>
    </row>
    <row r="61">
      <c r="C61" s="112" t="n">
        <v>41091</v>
      </c>
      <c r="D61" s="114" t="n">
        <v>28941.7036795952</v>
      </c>
      <c r="E61" s="114" t="n">
        <v>10632.0735664755</v>
      </c>
      <c r="F61" s="114" t="n"/>
      <c r="G61" s="114" t="n">
        <v>-207.700377731507</v>
      </c>
      <c r="H61" s="114" t="n"/>
      <c r="I61" s="114" t="n"/>
      <c r="J61" s="114" t="n">
        <v>34974.0734940932</v>
      </c>
      <c r="K61" s="114" t="n">
        <v>-207.700377731507</v>
      </c>
      <c r="L61" s="114" t="n"/>
      <c r="M61" s="99" t="n"/>
    </row>
    <row r="62">
      <c r="C62" s="112" t="n">
        <v>41122</v>
      </c>
      <c r="D62" s="114" t="n">
        <v>28081.1021458037</v>
      </c>
      <c r="E62" s="114" t="n">
        <v>10076.8460311019</v>
      </c>
      <c r="F62" s="114" t="n"/>
      <c r="G62" s="114" t="n">
        <v>-215.868436230137</v>
      </c>
      <c r="H62" s="114" t="n"/>
      <c r="I62" s="114" t="n"/>
      <c r="J62" s="114" t="n">
        <v>34219.8296127123</v>
      </c>
      <c r="K62" s="114" t="n">
        <v>-215.868436230137</v>
      </c>
      <c r="L62" s="114" t="n"/>
      <c r="M62" s="99" t="n"/>
    </row>
    <row r="63">
      <c r="C63" s="112" t="n">
        <v>41153</v>
      </c>
      <c r="D63" s="114" t="n">
        <v>24122.8196027727</v>
      </c>
      <c r="E63" s="114" t="n">
        <v>9786.275432270801</v>
      </c>
      <c r="F63" s="114" t="n"/>
      <c r="G63" s="114" t="n">
        <v>-247.889860273973</v>
      </c>
      <c r="H63" s="114" t="n"/>
      <c r="I63" s="114" t="n"/>
      <c r="J63" s="114" t="n">
        <v>34720.848146937</v>
      </c>
      <c r="K63" s="114" t="n">
        <v>-247.889860273973</v>
      </c>
      <c r="L63" s="114" t="n"/>
      <c r="M63" s="99" t="n"/>
    </row>
    <row r="64">
      <c r="C64" s="112" t="n">
        <v>41183</v>
      </c>
      <c r="D64" s="114" t="n">
        <v>24746.3216834776</v>
      </c>
      <c r="E64" s="114" t="n">
        <v>9497.0199476158</v>
      </c>
      <c r="F64" s="114" t="n"/>
      <c r="G64" s="114" t="n">
        <v>-194.885653391781</v>
      </c>
      <c r="H64" s="114" t="n"/>
      <c r="I64" s="114" t="n"/>
      <c r="J64" s="114" t="n">
        <v>33695.8615720329</v>
      </c>
      <c r="K64" s="114" t="n">
        <v>-194.885653391781</v>
      </c>
      <c r="L64" s="114" t="n"/>
      <c r="M64" s="99" t="n"/>
    </row>
    <row r="65">
      <c r="C65" s="112" t="n">
        <v>41214</v>
      </c>
      <c r="D65" s="114" t="n">
        <v>24043.5654353837</v>
      </c>
      <c r="E65" s="114" t="n">
        <v>9098.057641432701</v>
      </c>
      <c r="F65" s="114" t="n"/>
      <c r="G65" s="114" t="n">
        <v>-190.914258235616</v>
      </c>
      <c r="H65" s="114" t="n"/>
      <c r="I65" s="114" t="n"/>
      <c r="J65" s="114" t="n">
        <v>32995.7484459836</v>
      </c>
      <c r="K65" s="114" t="n">
        <v>-190.914258235616</v>
      </c>
      <c r="L65" s="114" t="n"/>
      <c r="M65" s="99" t="n"/>
    </row>
    <row r="66">
      <c r="C66" s="112" t="n">
        <v>41244</v>
      </c>
      <c r="D66" s="114" t="n">
        <v>24629.2664472646</v>
      </c>
      <c r="E66" s="114" t="n">
        <v>9301.8568644363</v>
      </c>
      <c r="F66" s="114" t="n"/>
      <c r="G66" s="114" t="n">
        <v>-102.4</v>
      </c>
      <c r="H66" s="114" t="n"/>
      <c r="I66" s="114" t="n"/>
      <c r="J66" s="114" t="n">
        <v>33487.40096</v>
      </c>
      <c r="K66" s="114" t="n">
        <v>-102.4</v>
      </c>
      <c r="L66" s="114" t="n"/>
      <c r="M66" s="99" t="n"/>
    </row>
    <row r="67">
      <c r="C67" s="112" t="n">
        <v>41275</v>
      </c>
      <c r="D67" s="114" t="n">
        <v>23926.6760853625</v>
      </c>
      <c r="E67" s="114" t="n">
        <v>8721.868240060699</v>
      </c>
      <c r="F67" s="114" t="n"/>
      <c r="G67" s="114" t="n">
        <v>-47.3541132273973</v>
      </c>
      <c r="H67" s="114" t="n"/>
      <c r="I67" s="114" t="n"/>
      <c r="J67" s="114" t="n">
        <v>34123.2011797041</v>
      </c>
      <c r="K67" s="114" t="n">
        <v>-47.3541132273973</v>
      </c>
      <c r="L67" s="114" t="n"/>
      <c r="M67" s="99" t="n"/>
    </row>
    <row r="68">
      <c r="C68" s="112" t="n">
        <v>41306</v>
      </c>
      <c r="D68" s="114" t="n">
        <v>22734.3726385664</v>
      </c>
      <c r="E68" s="114" t="n">
        <v>8564.557840721</v>
      </c>
      <c r="F68" s="114" t="n"/>
      <c r="G68" s="114" t="n">
        <v>-133.693812252055</v>
      </c>
      <c r="H68" s="114" t="n"/>
      <c r="I68" s="114" t="n"/>
      <c r="J68" s="114" t="n">
        <v>31132.244792811</v>
      </c>
      <c r="K68" s="114" t="n">
        <v>-133.693812252055</v>
      </c>
      <c r="L68" s="114" t="n"/>
      <c r="M68" s="99" t="n"/>
    </row>
    <row r="69">
      <c r="C69" s="112" t="n">
        <v>41334</v>
      </c>
      <c r="D69" s="114" t="n">
        <v>25614.5324675052</v>
      </c>
      <c r="E69" s="114" t="n">
        <v>8834.0013893503</v>
      </c>
      <c r="F69" s="114" t="n"/>
      <c r="G69" s="114" t="n">
        <v>-232.500700230137</v>
      </c>
      <c r="H69" s="114" t="n"/>
      <c r="I69" s="114" t="n"/>
      <c r="J69" s="114" t="n">
        <v>31846.887693326</v>
      </c>
      <c r="K69" s="114" t="n">
        <v>-232.500700230137</v>
      </c>
      <c r="L69" s="114" t="n"/>
      <c r="M69" s="99" t="n"/>
    </row>
    <row r="70">
      <c r="C70" s="112" t="n">
        <v>41365</v>
      </c>
      <c r="D70" s="114" t="n">
        <v>27708.3166242333</v>
      </c>
      <c r="E70" s="114" t="n">
        <v>9500.255526634401</v>
      </c>
      <c r="F70" s="114" t="n"/>
      <c r="G70" s="114" t="n">
        <v>-296.810761643836</v>
      </c>
      <c r="H70" s="114" t="n"/>
      <c r="I70" s="114" t="n"/>
      <c r="J70" s="114" t="n">
        <v>32700.3210345205</v>
      </c>
      <c r="K70" s="114" t="n">
        <v>-296.810761643836</v>
      </c>
      <c r="L70" s="114" t="n"/>
      <c r="M70" s="99" t="n"/>
    </row>
    <row r="71">
      <c r="C71" s="112" t="n">
        <v>41395</v>
      </c>
      <c r="D71" s="114" t="n">
        <v>24667.149536862</v>
      </c>
      <c r="E71" s="114" t="n">
        <v>9065.5175875768</v>
      </c>
      <c r="F71" s="114" t="n"/>
      <c r="G71" s="114" t="n">
        <v>-349.965548394521</v>
      </c>
      <c r="H71" s="114" t="n"/>
      <c r="I71" s="114" t="n"/>
      <c r="J71" s="114" t="n">
        <v>33619.1760243726</v>
      </c>
      <c r="K71" s="114" t="n">
        <v>-349.965548394521</v>
      </c>
      <c r="L71" s="114" t="n"/>
      <c r="M71" s="99" t="n"/>
    </row>
    <row r="72">
      <c r="C72" s="112" t="n">
        <v>41426</v>
      </c>
      <c r="D72" s="114" t="n">
        <v>25703.1926968445</v>
      </c>
      <c r="E72" s="114" t="n">
        <v>8839.8019737839</v>
      </c>
      <c r="F72" s="114" t="n"/>
      <c r="G72" s="114" t="n">
        <v>-587.239898630137</v>
      </c>
      <c r="H72" s="114" t="n"/>
      <c r="I72" s="114" t="n"/>
      <c r="J72" s="114" t="n">
        <v>32431.0413480329</v>
      </c>
      <c r="K72" s="114" t="n">
        <v>-587.239898630137</v>
      </c>
      <c r="L72" s="114" t="n"/>
      <c r="M72" s="99" t="n"/>
    </row>
    <row r="73">
      <c r="C73" s="112" t="n">
        <v>41456</v>
      </c>
      <c r="D73" s="114" t="n">
        <v>24974.4183713068</v>
      </c>
      <c r="E73" s="114" t="n">
        <v>8638.2208788512</v>
      </c>
      <c r="F73" s="114" t="n"/>
      <c r="G73" s="114" t="n">
        <v>-972.55334189589</v>
      </c>
      <c r="H73" s="114" t="n"/>
      <c r="I73" s="114" t="n"/>
      <c r="J73" s="114" t="n">
        <v>30442.7604052164</v>
      </c>
      <c r="K73" s="114" t="n">
        <v>-972.55334189589</v>
      </c>
      <c r="L73" s="114" t="n"/>
      <c r="M73" s="99" t="n"/>
    </row>
    <row r="74">
      <c r="C74" s="112" t="n">
        <v>41487</v>
      </c>
      <c r="D74" s="114" t="n">
        <v>28533.0969193723</v>
      </c>
      <c r="E74" s="114" t="n">
        <v>8762.831273411501</v>
      </c>
      <c r="F74" s="114" t="n"/>
      <c r="G74" s="114" t="n">
        <v>-901.762608043835</v>
      </c>
      <c r="H74" s="114" t="n"/>
      <c r="I74" s="114" t="n"/>
      <c r="J74" s="114" t="n">
        <v>31262.6240918795</v>
      </c>
      <c r="K74" s="114" t="n">
        <v>-901.762608043835</v>
      </c>
      <c r="L74" s="114" t="n"/>
      <c r="M74" s="99" t="n"/>
    </row>
    <row r="75">
      <c r="C75" s="112" t="n">
        <v>41518</v>
      </c>
      <c r="D75" s="114" t="n">
        <v>23538.6862699703</v>
      </c>
      <c r="E75" s="114" t="n">
        <v>8556.5196115296</v>
      </c>
      <c r="F75" s="114" t="n"/>
      <c r="G75" s="114" t="n">
        <v>-937.517463320548</v>
      </c>
      <c r="H75" s="114" t="n"/>
      <c r="I75" s="114" t="n"/>
      <c r="J75" s="114" t="n">
        <v>30022.9057662247</v>
      </c>
      <c r="K75" s="114" t="n">
        <v>-937.517463320548</v>
      </c>
      <c r="L75" s="114" t="n"/>
      <c r="M75" s="99" t="n"/>
    </row>
    <row r="76">
      <c r="C76" s="112" t="n">
        <v>41548</v>
      </c>
      <c r="D76" s="114" t="n">
        <v>24035.4780736236</v>
      </c>
      <c r="E76" s="114" t="n">
        <v>8664.923766604799</v>
      </c>
      <c r="F76" s="114" t="n"/>
      <c r="G76" s="114" t="n">
        <v>-1027.99287408219</v>
      </c>
      <c r="H76" s="114" t="n"/>
      <c r="I76" s="114" t="n"/>
      <c r="J76" s="114" t="n">
        <v>27695.6521682411</v>
      </c>
      <c r="K76" s="114" t="n">
        <v>-1027.99287408219</v>
      </c>
      <c r="L76" s="114" t="n"/>
      <c r="M76" s="99" t="n"/>
    </row>
    <row r="77">
      <c r="C77" s="112" t="n">
        <v>41579</v>
      </c>
      <c r="D77" s="114" t="n">
        <v>29458.659328</v>
      </c>
      <c r="E77" s="114" t="n">
        <v>9251.224139747899</v>
      </c>
      <c r="F77" s="114" t="n"/>
      <c r="G77" s="114" t="n"/>
      <c r="H77" s="114" t="n"/>
      <c r="I77" s="114" t="n"/>
      <c r="J77" s="114" t="n">
        <v>29458.659328</v>
      </c>
      <c r="K77" s="114" t="n"/>
      <c r="L77" s="114" t="n"/>
      <c r="M77" s="99" t="n"/>
    </row>
    <row r="78">
      <c r="C78" s="112" t="n">
        <v>41609</v>
      </c>
      <c r="D78" s="114" t="n">
        <v>30840.199168</v>
      </c>
      <c r="E78" s="114" t="n">
        <v>9121.4767045524</v>
      </c>
      <c r="F78" s="114" t="n"/>
      <c r="G78" s="114" t="n"/>
      <c r="H78" s="114" t="n"/>
      <c r="I78" s="114" t="n"/>
      <c r="J78" s="114" t="n">
        <v>30840.199168</v>
      </c>
      <c r="K78" s="114" t="n"/>
      <c r="L78" s="114" t="n"/>
      <c r="M78" s="99" t="n"/>
    </row>
    <row r="79">
      <c r="C79" s="112" t="n">
        <v>41640</v>
      </c>
      <c r="D79" s="114" t="n">
        <v>30005.7002657315</v>
      </c>
      <c r="E79" s="114" t="n">
        <v>10506.2989409663</v>
      </c>
      <c r="F79" s="114" t="n"/>
      <c r="G79" s="114" t="n"/>
      <c r="H79" s="114" t="n"/>
      <c r="I79" s="114" t="n"/>
      <c r="J79" s="114" t="n">
        <v>30005.7002657315</v>
      </c>
      <c r="K79" s="114" t="n"/>
      <c r="L79" s="114" t="n"/>
      <c r="M79" s="99" t="n"/>
    </row>
    <row r="80">
      <c r="C80" s="112" t="n">
        <v>41671</v>
      </c>
      <c r="D80" s="114" t="n">
        <v>29106.510373874</v>
      </c>
      <c r="E80" s="114" t="n">
        <v>10482.9544789228</v>
      </c>
      <c r="F80" s="114" t="n"/>
      <c r="G80" s="114" t="n"/>
      <c r="H80" s="114" t="n"/>
      <c r="I80" s="114" t="n"/>
      <c r="J80" s="114" t="n">
        <v>29106.510373874</v>
      </c>
      <c r="K80" s="114" t="n"/>
      <c r="L80" s="114" t="n"/>
      <c r="M80" s="99" t="n"/>
    </row>
    <row r="81">
      <c r="C81" s="112" t="n">
        <v>41699</v>
      </c>
      <c r="D81" s="114" t="n">
        <v>30657.6193227397</v>
      </c>
      <c r="E81" s="114" t="n">
        <v>10863.9912019571</v>
      </c>
      <c r="F81" s="114" t="n"/>
      <c r="G81" s="114" t="n"/>
      <c r="H81" s="114" t="n"/>
      <c r="I81" s="114" t="n"/>
      <c r="J81" s="114" t="n">
        <v>30657.6193227397</v>
      </c>
      <c r="K81" s="114" t="n"/>
      <c r="L81" s="114" t="n"/>
      <c r="M81" s="99" t="n"/>
    </row>
    <row r="82">
      <c r="C82" s="112" t="n">
        <v>41730</v>
      </c>
      <c r="D82" s="114" t="n">
        <v>30669.2978323288</v>
      </c>
      <c r="E82" s="114" t="n">
        <v>10885.2706433431</v>
      </c>
      <c r="F82" s="114" t="n"/>
      <c r="G82" s="114" t="n"/>
      <c r="H82" s="114" t="n"/>
      <c r="I82" s="114" t="n"/>
      <c r="J82" s="114" t="n">
        <v>30669.2978323288</v>
      </c>
      <c r="K82" s="114" t="n"/>
      <c r="L82" s="114" t="n"/>
      <c r="M82" s="99" t="n"/>
    </row>
    <row r="83">
      <c r="C83" s="112" t="n">
        <v>41760</v>
      </c>
      <c r="D83" s="114" t="n">
        <v>29465.0029659178</v>
      </c>
      <c r="E83" s="114" t="n">
        <v>11182.40257315</v>
      </c>
      <c r="F83" s="114" t="n"/>
      <c r="G83" s="114" t="n"/>
      <c r="H83" s="114" t="n"/>
      <c r="I83" s="114" t="n"/>
      <c r="J83" s="114" t="n">
        <v>29465.0029659178</v>
      </c>
      <c r="K83" s="114" t="n"/>
      <c r="L83" s="114" t="n"/>
      <c r="M83" s="99" t="n"/>
    </row>
    <row r="84">
      <c r="C84" s="112" t="n">
        <v>41791</v>
      </c>
      <c r="D84" s="114" t="n">
        <v>29770.9642794082</v>
      </c>
      <c r="E84" s="114" t="n">
        <v>11057.4390682972</v>
      </c>
      <c r="F84" s="114" t="n"/>
      <c r="G84" s="114" t="n"/>
      <c r="H84" s="114" t="n"/>
      <c r="I84" s="114" t="n"/>
      <c r="J84" s="114" t="n">
        <v>29770.9642794082</v>
      </c>
      <c r="K84" s="114" t="n"/>
      <c r="L84" s="114" t="n"/>
      <c r="M84" s="99" t="n"/>
    </row>
    <row r="85">
      <c r="C85" s="112" t="n">
        <v>41821</v>
      </c>
      <c r="D85" s="114" t="n">
        <v>28583.3419509479</v>
      </c>
      <c r="E85" s="114" t="n">
        <v>11294.3084906075</v>
      </c>
      <c r="F85" s="114" t="n"/>
      <c r="G85" s="114" t="n"/>
      <c r="H85" s="114" t="n"/>
      <c r="I85" s="114" t="n"/>
      <c r="J85" s="114" t="n">
        <v>28583.3419509479</v>
      </c>
      <c r="K85" s="114" t="n"/>
      <c r="L85" s="114" t="n"/>
      <c r="M85" s="99" t="n"/>
    </row>
    <row r="86">
      <c r="C86" s="112" t="n">
        <v>41852</v>
      </c>
      <c r="D86" s="114" t="n">
        <v>29197.0874382027</v>
      </c>
      <c r="E86" s="114" t="n">
        <v>11753.2473417033</v>
      </c>
      <c r="F86" s="114" t="n"/>
      <c r="G86" s="114" t="n"/>
      <c r="H86" s="114" t="n"/>
      <c r="I86" s="114" t="n"/>
      <c r="J86" s="114" t="n">
        <v>29197.0874382027</v>
      </c>
      <c r="K86" s="114" t="n"/>
      <c r="L86" s="114" t="n"/>
      <c r="M86" s="99" t="n"/>
    </row>
    <row r="87">
      <c r="C87" s="112" t="n">
        <v>41883</v>
      </c>
      <c r="D87" s="114" t="n">
        <v>29713.5725974795</v>
      </c>
      <c r="E87" s="114" t="n">
        <v>11234.3311949312</v>
      </c>
      <c r="F87" s="114" t="n"/>
      <c r="G87" s="114" t="n"/>
      <c r="H87" s="114" t="n"/>
      <c r="I87" s="114" t="n"/>
      <c r="J87" s="114" t="n">
        <v>29713.5725974795</v>
      </c>
      <c r="K87" s="114" t="n"/>
      <c r="L87" s="114" t="n"/>
      <c r="M87" s="99" t="n"/>
    </row>
    <row r="88">
      <c r="C88" s="112" t="n">
        <v>41913</v>
      </c>
      <c r="D88" s="114" t="n">
        <v>28417.5929961206</v>
      </c>
      <c r="E88" s="114" t="n">
        <v>10491.6850864606</v>
      </c>
      <c r="F88" s="114" t="n"/>
      <c r="G88" s="114" t="n"/>
      <c r="H88" s="114" t="n"/>
      <c r="I88" s="114" t="n"/>
      <c r="J88" s="114" t="n">
        <v>28417.5929961205</v>
      </c>
      <c r="K88" s="114" t="n"/>
      <c r="L88" s="114" t="n"/>
      <c r="M88" s="99" t="n"/>
    </row>
    <row r="89">
      <c r="C89" s="112" t="n">
        <v>41944</v>
      </c>
      <c r="D89" s="114" t="n">
        <v>27400.5037392658</v>
      </c>
      <c r="E89" s="114" t="n">
        <v>10142.2526218231</v>
      </c>
      <c r="F89" s="114" t="n"/>
      <c r="G89" s="114" t="n"/>
      <c r="H89" s="114" t="n"/>
      <c r="I89" s="114" t="n"/>
      <c r="J89" s="114" t="n">
        <v>27400.5037392658</v>
      </c>
      <c r="K89" s="114" t="n"/>
      <c r="L89" s="114" t="n"/>
      <c r="M89" s="99" t="n"/>
    </row>
    <row r="90">
      <c r="C90" s="112" t="n">
        <v>41974</v>
      </c>
      <c r="D90" s="114" t="n">
        <v>23751.70048</v>
      </c>
      <c r="E90" s="114" t="n">
        <v>9390.8632256243</v>
      </c>
      <c r="F90" s="114" t="n"/>
      <c r="G90" s="114" t="n"/>
      <c r="H90" s="114" t="n"/>
      <c r="I90" s="114" t="n"/>
      <c r="J90" s="114" t="n">
        <v>23751.70048</v>
      </c>
      <c r="K90" s="114" t="n"/>
      <c r="L90" s="114" t="n"/>
      <c r="M90" s="99" t="n"/>
    </row>
    <row r="91">
      <c r="C91" s="112" t="n">
        <v>42005</v>
      </c>
      <c r="D91" s="114" t="n">
        <v>20076.1406055519</v>
      </c>
      <c r="E91" s="114" t="n">
        <v>9114.363816116</v>
      </c>
      <c r="F91" s="114" t="n"/>
      <c r="G91" s="114" t="n"/>
      <c r="H91" s="114" t="n"/>
      <c r="I91" s="114" t="n"/>
      <c r="J91" s="114" t="n">
        <v>20076.1406055519</v>
      </c>
      <c r="K91" s="114" t="n"/>
      <c r="L91" s="114" t="n"/>
      <c r="M91" s="99" t="n"/>
    </row>
    <row r="92">
      <c r="C92" s="112" t="n">
        <v>42036</v>
      </c>
      <c r="D92" s="114" t="n">
        <v>19511.5314304699</v>
      </c>
      <c r="E92" s="114" t="n">
        <v>9196.574527373899</v>
      </c>
      <c r="F92" s="114" t="n"/>
      <c r="G92" s="114" t="n"/>
      <c r="H92" s="114" t="n"/>
      <c r="I92" s="114" t="n"/>
      <c r="J92" s="114" t="n">
        <v>19511.5314304699</v>
      </c>
      <c r="K92" s="114" t="n"/>
      <c r="L92" s="114" t="n"/>
      <c r="M92" s="99" t="n"/>
    </row>
    <row r="93">
      <c r="C93" s="112" t="n">
        <v>42064</v>
      </c>
      <c r="D93" s="114" t="n">
        <v>17652.234827541</v>
      </c>
      <c r="E93" s="114" t="n">
        <v>8856.060053531501</v>
      </c>
      <c r="F93" s="114" t="n"/>
      <c r="G93" s="114" t="n"/>
      <c r="H93" s="114" t="n"/>
      <c r="I93" s="114" t="n"/>
      <c r="J93" s="114" t="n">
        <v>17652.234827541</v>
      </c>
      <c r="K93" s="114" t="n"/>
      <c r="L93" s="114" t="n"/>
      <c r="M93" s="99" t="n"/>
    </row>
    <row r="94">
      <c r="C94" s="112" t="n">
        <v>42095</v>
      </c>
      <c r="D94" s="114" t="n">
        <v>15999.5204770273</v>
      </c>
      <c r="E94" s="114" t="n">
        <v>8613.748554895699</v>
      </c>
      <c r="F94" s="114" t="n"/>
      <c r="G94" s="114" t="n"/>
      <c r="H94" s="114" t="n"/>
      <c r="I94" s="114" t="n"/>
      <c r="J94" s="114" t="n">
        <v>15999.5204770273</v>
      </c>
      <c r="K94" s="114" t="n"/>
      <c r="L94" s="114" t="n"/>
      <c r="M94" s="99" t="n"/>
    </row>
    <row r="95">
      <c r="C95" s="112" t="n">
        <v>42125</v>
      </c>
      <c r="D95" s="114" t="n">
        <v>18243.9263853115</v>
      </c>
      <c r="E95" s="114" t="n">
        <v>8798.736616374001</v>
      </c>
      <c r="F95" s="114" t="n"/>
      <c r="G95" s="114" t="n"/>
      <c r="H95" s="114" t="n"/>
      <c r="I95" s="114" t="n"/>
      <c r="J95" s="114" t="n">
        <v>18243.9263853115</v>
      </c>
      <c r="K95" s="114" t="n"/>
      <c r="L95" s="114" t="n"/>
      <c r="M95" s="99" t="n"/>
    </row>
    <row r="96">
      <c r="C96" s="112" t="n">
        <v>42156</v>
      </c>
      <c r="D96" s="114" t="n">
        <v>18968.5828154754</v>
      </c>
      <c r="E96" s="114" t="n">
        <v>9112.892491001399</v>
      </c>
      <c r="F96" s="114" t="n"/>
      <c r="G96" s="114" t="n"/>
      <c r="H96" s="114" t="n"/>
      <c r="I96" s="114" t="n"/>
      <c r="J96" s="114" t="n">
        <v>18968.5828154754</v>
      </c>
      <c r="K96" s="114" t="n"/>
      <c r="L96" s="114" t="n"/>
      <c r="M96" s="99" t="n"/>
    </row>
    <row r="97">
      <c r="C97" s="112" t="n">
        <v>42186</v>
      </c>
      <c r="D97" s="114" t="n">
        <v>19366.2877460984</v>
      </c>
      <c r="E97" s="114" t="n">
        <v>9058.7488773921</v>
      </c>
      <c r="F97" s="114" t="n"/>
      <c r="G97" s="114" t="n"/>
      <c r="H97" s="114" t="n"/>
      <c r="I97" s="114" t="n"/>
      <c r="J97" s="114" t="n">
        <v>19366.2877460984</v>
      </c>
      <c r="K97" s="114" t="n"/>
      <c r="L97" s="114" t="n"/>
      <c r="M97" s="99" t="n"/>
    </row>
    <row r="98">
      <c r="C98" s="112" t="n">
        <v>42217</v>
      </c>
      <c r="D98" s="114" t="n">
        <v>18126.2329173333</v>
      </c>
      <c r="E98" s="114" t="n">
        <v>8887.3233965241</v>
      </c>
      <c r="F98" s="114" t="n"/>
      <c r="G98" s="114" t="n"/>
      <c r="H98" s="114" t="n"/>
      <c r="I98" s="114" t="n"/>
      <c r="J98" s="114" t="n">
        <v>18126.2329173333</v>
      </c>
      <c r="K98" s="114" t="n"/>
      <c r="L98" s="114" t="n"/>
      <c r="M98" s="99" t="n"/>
    </row>
    <row r="99">
      <c r="C99" s="112" t="n">
        <v>42248</v>
      </c>
      <c r="D99" s="114" t="n">
        <v>15299.9049428634</v>
      </c>
      <c r="E99" s="114" t="n">
        <v>8191.0133325573</v>
      </c>
      <c r="F99" s="114" t="n"/>
      <c r="G99" s="114" t="n"/>
      <c r="H99" s="114" t="n"/>
      <c r="I99" s="114" t="n"/>
      <c r="J99" s="114" t="n">
        <v>15299.9049428634</v>
      </c>
      <c r="K99" s="114" t="n"/>
      <c r="L99" s="114" t="n"/>
      <c r="M99" s="99" t="n"/>
    </row>
    <row r="100">
      <c r="C100" s="112" t="n">
        <v>42278</v>
      </c>
      <c r="D100" s="114" t="n">
        <v>15234.394984918</v>
      </c>
      <c r="E100" s="114" t="n">
        <v>8130.8556847328</v>
      </c>
      <c r="F100" s="114" t="n"/>
      <c r="G100" s="114" t="n"/>
      <c r="H100" s="114" t="n"/>
      <c r="I100" s="114" t="n"/>
      <c r="J100" s="114" t="n">
        <v>15234.394984918</v>
      </c>
      <c r="K100" s="114" t="n"/>
      <c r="L100" s="114" t="n"/>
      <c r="M100" s="99" t="n"/>
    </row>
    <row r="101">
      <c r="C101" s="112" t="n">
        <v>42309</v>
      </c>
      <c r="D101" s="114" t="n">
        <v>14499.3757446995</v>
      </c>
      <c r="E101" s="114" t="n">
        <v>8169.2485399133</v>
      </c>
      <c r="F101" s="114" t="n"/>
      <c r="G101" s="114" t="n"/>
      <c r="H101" s="114" t="n"/>
      <c r="I101" s="114" t="n"/>
      <c r="J101" s="114" t="n">
        <v>14499.3757446995</v>
      </c>
      <c r="K101" s="114" t="n"/>
      <c r="L101" s="114" t="n"/>
      <c r="M101" s="99" t="n"/>
    </row>
    <row r="102">
      <c r="C102" s="112" t="n">
        <v>42339</v>
      </c>
      <c r="D102" s="114" t="n">
        <v>13689.700352</v>
      </c>
      <c r="E102" s="114" t="n">
        <v>7931.4097729592</v>
      </c>
      <c r="F102" s="114" t="n"/>
      <c r="G102" s="114" t="n"/>
      <c r="H102" s="114" t="n"/>
      <c r="I102" s="114" t="n"/>
      <c r="J102" s="114" t="n">
        <v>13689.700352</v>
      </c>
      <c r="K102" s="114" t="n"/>
      <c r="L102" s="114" t="n"/>
      <c r="M102" s="99" t="n"/>
    </row>
    <row r="103">
      <c r="C103" s="112" t="n">
        <v>42370</v>
      </c>
      <c r="D103" s="114" t="n">
        <v>10267.6395358685</v>
      </c>
      <c r="E103" s="114" t="n">
        <v>7605.2224976921</v>
      </c>
      <c r="F103" s="114" t="n"/>
      <c r="G103" s="114" t="n"/>
      <c r="H103" s="114" t="n"/>
      <c r="I103" s="114" t="n"/>
      <c r="J103" s="114" t="n">
        <v>10267.6395358685</v>
      </c>
      <c r="K103" s="114" t="n"/>
      <c r="L103" s="114" t="n"/>
      <c r="M103" s="99" t="n"/>
    </row>
    <row r="104">
      <c r="C104" s="112" t="n">
        <v>42401</v>
      </c>
      <c r="D104" s="114" t="n">
        <v>9491.041972953421</v>
      </c>
      <c r="E104" s="114" t="n">
        <v>7277.6524141503</v>
      </c>
      <c r="F104" s="114" t="n"/>
      <c r="G104" s="114" t="n"/>
      <c r="H104" s="114" t="n"/>
      <c r="I104" s="114" t="n"/>
      <c r="J104" s="114" t="n">
        <v>9491.041972953421</v>
      </c>
      <c r="K104" s="114" t="n"/>
      <c r="L104" s="114" t="n"/>
      <c r="M104" s="99" t="n"/>
    </row>
    <row r="105">
      <c r="C105" s="112" t="n">
        <v>42430</v>
      </c>
      <c r="D105" s="114" t="n">
        <v>6269.25215912329</v>
      </c>
      <c r="E105" s="114" t="n">
        <v>7329.8031638422</v>
      </c>
      <c r="F105" s="114" t="n"/>
      <c r="G105" s="114" t="n"/>
      <c r="H105" s="114" t="n"/>
      <c r="I105" s="114" t="n"/>
      <c r="J105" s="114" t="n">
        <v>6269.25215912329</v>
      </c>
      <c r="K105" s="114" t="n"/>
      <c r="L105" s="114" t="n"/>
      <c r="M105" s="99" t="n"/>
    </row>
    <row r="106">
      <c r="C106" s="112" t="n">
        <v>42461</v>
      </c>
      <c r="D106" s="114" t="n">
        <v>6718.60661935342</v>
      </c>
      <c r="E106" s="114" t="n">
        <v>7289.7894669903</v>
      </c>
      <c r="F106" s="114" t="n"/>
      <c r="G106" s="114" t="n"/>
      <c r="H106" s="114" t="n"/>
      <c r="I106" s="114" t="n"/>
      <c r="J106" s="114" t="n">
        <v>6718.60661935342</v>
      </c>
      <c r="K106" s="114" t="n"/>
      <c r="L106" s="114" t="n"/>
      <c r="M106" s="99" t="n"/>
    </row>
    <row r="107">
      <c r="C107" s="112" t="n">
        <v>42491</v>
      </c>
      <c r="D107" s="114" t="n">
        <v>8149.23033670137</v>
      </c>
      <c r="E107" s="114" t="n">
        <v>7621.2464267266</v>
      </c>
      <c r="F107" s="114" t="n"/>
      <c r="G107" s="114" t="n"/>
      <c r="H107" s="114" t="n"/>
      <c r="I107" s="114" t="n"/>
      <c r="J107" s="114" t="n">
        <v>8149.23033670137</v>
      </c>
      <c r="K107" s="114" t="n"/>
      <c r="L107" s="114" t="n"/>
      <c r="M107" s="99" t="n"/>
    </row>
    <row r="108">
      <c r="C108" s="112" t="n">
        <v>42522</v>
      </c>
      <c r="D108" s="114" t="n">
        <v>9287.002156887669</v>
      </c>
      <c r="E108" s="114" t="n">
        <v>7725.2043395212</v>
      </c>
      <c r="F108" s="114" t="n"/>
      <c r="G108" s="114" t="n"/>
      <c r="H108" s="114" t="n"/>
      <c r="I108" s="114" t="n"/>
      <c r="J108" s="114" t="n">
        <v>9287.002156887669</v>
      </c>
      <c r="K108" s="114" t="n"/>
      <c r="L108" s="114" t="n"/>
      <c r="M108" s="99" t="n"/>
    </row>
    <row r="109">
      <c r="C109" s="112" t="n">
        <v>42552</v>
      </c>
      <c r="D109" s="114" t="n">
        <v>11264.5449012603</v>
      </c>
      <c r="E109" s="114" t="n">
        <v>7804.089718712</v>
      </c>
      <c r="F109" s="114" t="n"/>
      <c r="G109" s="114" t="n"/>
      <c r="H109" s="114" t="n"/>
      <c r="I109" s="114" t="n"/>
      <c r="J109" s="114" t="n">
        <v>11264.5449012603</v>
      </c>
      <c r="K109" s="114" t="n"/>
      <c r="L109" s="114" t="n"/>
      <c r="M109" s="99" t="n"/>
    </row>
    <row r="110">
      <c r="C110" s="112" t="n">
        <v>42583</v>
      </c>
      <c r="D110" s="114" t="n">
        <v>13743.1301077918</v>
      </c>
      <c r="E110" s="114" t="n">
        <v>8319.4965152189</v>
      </c>
      <c r="F110" s="114" t="n"/>
      <c r="G110" s="114" t="n"/>
      <c r="H110" s="114" t="n"/>
      <c r="I110" s="114" t="n"/>
      <c r="J110" s="114" t="n">
        <v>13743.1301077918</v>
      </c>
      <c r="K110" s="114" t="n"/>
      <c r="L110" s="114" t="n"/>
      <c r="M110" s="99" t="n"/>
    </row>
    <row r="111">
      <c r="C111" s="112" t="n">
        <v>42614</v>
      </c>
      <c r="D111" s="114" t="n">
        <v>12995.8300068822</v>
      </c>
      <c r="E111" s="114" t="n">
        <v>8466.243264931099</v>
      </c>
      <c r="F111" s="114" t="n"/>
      <c r="G111" s="114" t="n"/>
      <c r="H111" s="114" t="n"/>
      <c r="I111" s="114" t="n"/>
      <c r="J111" s="114" t="n">
        <v>12995.8300068822</v>
      </c>
      <c r="K111" s="114" t="n"/>
      <c r="L111" s="114" t="n"/>
      <c r="M111" s="99" t="n"/>
    </row>
    <row r="112">
      <c r="C112" s="112" t="n">
        <v>42644</v>
      </c>
      <c r="D112" s="114" t="n">
        <v>13090.9735136438</v>
      </c>
      <c r="E112" s="114" t="n">
        <v>8744.3312115641</v>
      </c>
      <c r="F112" s="114" t="n"/>
      <c r="G112" s="114" t="n"/>
      <c r="H112" s="114" t="n"/>
      <c r="I112" s="114" t="n"/>
      <c r="J112" s="114" t="n">
        <v>13090.9735136438</v>
      </c>
      <c r="K112" s="114" t="n"/>
      <c r="L112" s="114" t="n"/>
      <c r="M112" s="99" t="n"/>
    </row>
    <row r="113">
      <c r="C113" s="112" t="n">
        <v>42675</v>
      </c>
      <c r="D113" s="114" t="n">
        <v>13235.4292019507</v>
      </c>
      <c r="E113" s="114" t="n">
        <v>8959.2442892621</v>
      </c>
      <c r="F113" s="114" t="n"/>
      <c r="G113" s="114" t="n"/>
      <c r="H113" s="114" t="n"/>
      <c r="I113" s="114" t="n"/>
      <c r="J113" s="114" t="n">
        <v>13235.4292019507</v>
      </c>
      <c r="K113" s="114" t="n"/>
      <c r="L113" s="114" t="n"/>
      <c r="M113" s="99" t="n"/>
    </row>
    <row r="114">
      <c r="C114" s="112" t="n">
        <v>42705</v>
      </c>
      <c r="D114" s="114" t="n">
        <v>13903.0569731507</v>
      </c>
      <c r="E114" s="114" t="n">
        <v>9312.0446931239</v>
      </c>
      <c r="F114" s="114" t="n"/>
      <c r="G114" s="114" t="n"/>
      <c r="H114" s="114" t="n"/>
      <c r="I114" s="114" t="n"/>
      <c r="J114" s="114" t="n">
        <v>13903.0569731507</v>
      </c>
      <c r="K114" s="114" t="n"/>
      <c r="L114" s="114" t="n"/>
      <c r="M114" s="99" t="n"/>
    </row>
    <row r="115">
      <c r="C115" s="112" t="n">
        <v>42736</v>
      </c>
      <c r="D115" s="114" t="n">
        <v>16266.5727635288</v>
      </c>
      <c r="E115" s="114" t="n">
        <v>10103.2008931023</v>
      </c>
      <c r="F115" s="114" t="n"/>
      <c r="G115" s="114" t="n"/>
      <c r="H115" s="114" t="n"/>
      <c r="I115" s="114" t="n"/>
      <c r="J115" s="114" t="n">
        <v>16266.5727635288</v>
      </c>
      <c r="K115" s="114" t="n"/>
      <c r="L115" s="114" t="n"/>
      <c r="M115" s="99" t="n"/>
    </row>
    <row r="116">
      <c r="C116" s="112" t="n">
        <v>42767</v>
      </c>
      <c r="D116" s="114" t="n">
        <v>17396.0789398795</v>
      </c>
      <c r="E116" s="114" t="n">
        <v>10542.281555421</v>
      </c>
      <c r="F116" s="114" t="n"/>
      <c r="G116" s="114" t="n"/>
      <c r="H116" s="114" t="n"/>
      <c r="I116" s="114" t="n"/>
      <c r="J116" s="114" t="n">
        <v>17396.0789398795</v>
      </c>
      <c r="K116" s="114" t="n"/>
      <c r="L116" s="114" t="n"/>
      <c r="M116" s="99" t="n"/>
    </row>
    <row r="117">
      <c r="C117" s="112" t="n">
        <v>42795</v>
      </c>
      <c r="D117" s="114" t="n">
        <v>17036.398662137</v>
      </c>
      <c r="E117" s="114" t="n">
        <v>10715.6458658162</v>
      </c>
      <c r="F117" s="114" t="n"/>
      <c r="G117" s="114" t="n"/>
      <c r="H117" s="114" t="n"/>
      <c r="I117" s="114" t="n"/>
      <c r="J117" s="114" t="n">
        <v>17036.398662137</v>
      </c>
      <c r="K117" s="114" t="n"/>
      <c r="L117" s="114" t="n"/>
      <c r="M117" s="99" t="n"/>
    </row>
    <row r="118">
      <c r="C118" s="112" t="n">
        <v>42826</v>
      </c>
      <c r="D118" s="114" t="n">
        <v>15244.3545571945</v>
      </c>
      <c r="E118" s="114" t="n">
        <v>10418.1689107697</v>
      </c>
      <c r="F118" s="114" t="n"/>
      <c r="G118" s="114" t="n"/>
      <c r="H118" s="114" t="n"/>
      <c r="I118" s="114" t="n"/>
      <c r="J118" s="114" t="n">
        <v>15244.3545571945</v>
      </c>
      <c r="K118" s="114" t="n"/>
      <c r="L118" s="114" t="n"/>
      <c r="M118" s="99" t="n"/>
    </row>
    <row r="119">
      <c r="C119" s="112" t="n">
        <v>42856</v>
      </c>
      <c r="D119" s="114" t="n">
        <v>18633.4273816548</v>
      </c>
      <c r="E119" s="114" t="n">
        <v>10324.1600814848</v>
      </c>
      <c r="F119" s="114" t="n"/>
      <c r="G119" s="114" t="n"/>
      <c r="H119" s="114" t="n"/>
      <c r="I119" s="114" t="n"/>
      <c r="J119" s="114" t="n">
        <v>18633.4273816548</v>
      </c>
      <c r="K119" s="114" t="n"/>
      <c r="L119" s="114" t="n"/>
      <c r="M119" s="99" t="n"/>
    </row>
    <row r="120">
      <c r="C120" s="112" t="n">
        <v>42887</v>
      </c>
      <c r="D120" s="114" t="n">
        <v>18081.3291183342</v>
      </c>
      <c r="E120" s="114" t="n">
        <v>10304.3419245021</v>
      </c>
      <c r="F120" s="114" t="n"/>
      <c r="G120" s="114" t="n"/>
      <c r="H120" s="114" t="n"/>
      <c r="I120" s="114" t="n"/>
      <c r="J120" s="114" t="n">
        <v>18081.3291183342</v>
      </c>
      <c r="K120" s="114" t="n"/>
      <c r="L120" s="114" t="n"/>
      <c r="M120" s="99" t="n"/>
    </row>
    <row r="121">
      <c r="C121" s="112" t="n">
        <v>42917</v>
      </c>
      <c r="D121" s="114" t="n">
        <v>18690.5115886466</v>
      </c>
      <c r="E121" s="114" t="n">
        <v>10260.0104573124</v>
      </c>
      <c r="F121" s="114" t="n"/>
      <c r="G121" s="114" t="n"/>
      <c r="H121" s="114" t="n"/>
      <c r="I121" s="114" t="n"/>
      <c r="J121" s="114" t="n">
        <v>18690.5115886466</v>
      </c>
      <c r="K121" s="114" t="n"/>
      <c r="L121" s="114" t="n"/>
      <c r="M121" s="99" t="n"/>
    </row>
    <row r="122">
      <c r="C122" s="112" t="n">
        <v>42948</v>
      </c>
      <c r="D122" s="114" t="n">
        <v>17463.8731432329</v>
      </c>
      <c r="E122" s="114" t="n">
        <v>10304.735824013</v>
      </c>
      <c r="F122" s="114" t="n"/>
      <c r="G122" s="114" t="n"/>
      <c r="H122" s="114" t="n"/>
      <c r="I122" s="114" t="n"/>
      <c r="J122" s="114" t="n">
        <v>17463.8731432329</v>
      </c>
      <c r="K122" s="114" t="n"/>
      <c r="L122" s="114" t="n"/>
      <c r="M122" s="99" t="n"/>
    </row>
    <row r="123">
      <c r="C123" s="112" t="n">
        <v>42979</v>
      </c>
      <c r="D123" s="114" t="n">
        <v>16782.7974284274</v>
      </c>
      <c r="E123" s="114" t="n">
        <v>10082.2129125069</v>
      </c>
      <c r="F123" s="114" t="n"/>
      <c r="G123" s="114" t="n"/>
      <c r="H123" s="114" t="n"/>
      <c r="I123" s="114" t="n"/>
      <c r="J123" s="114" t="n">
        <v>16782.7974284274</v>
      </c>
      <c r="K123" s="114" t="n"/>
      <c r="L123" s="114" t="n"/>
      <c r="M123" s="99" t="n"/>
    </row>
    <row r="124">
      <c r="C124" s="112" t="n">
        <v>43009</v>
      </c>
      <c r="D124" s="114" t="n">
        <v>16084.9583370521</v>
      </c>
      <c r="E124" s="114" t="n">
        <v>10148.8659376692</v>
      </c>
      <c r="F124" s="114" t="n"/>
      <c r="G124" s="114" t="n"/>
      <c r="H124" s="114" t="n"/>
      <c r="I124" s="114" t="n"/>
      <c r="J124" s="114" t="n">
        <v>16084.9583370521</v>
      </c>
      <c r="K124" s="114" t="n"/>
      <c r="L124" s="114" t="n"/>
      <c r="M124" s="99" t="n"/>
    </row>
    <row r="125">
      <c r="C125" s="112" t="n">
        <v>43040</v>
      </c>
      <c r="D125" s="114" t="n">
        <v>16380.8046570959</v>
      </c>
      <c r="E125" s="114" t="n">
        <v>10459.4927583063</v>
      </c>
      <c r="F125" s="114" t="n"/>
      <c r="G125" s="114" t="n"/>
      <c r="H125" s="114" t="n"/>
      <c r="I125" s="114" t="n"/>
      <c r="J125" s="114" t="n">
        <v>16380.8046570959</v>
      </c>
      <c r="K125" s="114" t="n"/>
      <c r="L125" s="114" t="n"/>
      <c r="M125" s="99" t="n"/>
    </row>
    <row r="126">
      <c r="C126" s="112" t="n">
        <v>43070</v>
      </c>
      <c r="D126" s="114" t="n">
        <v>18573.9865438685</v>
      </c>
      <c r="E126" s="114" t="n">
        <v>10870.1018472739</v>
      </c>
      <c r="F126" s="114" t="n"/>
      <c r="G126" s="114" t="n"/>
      <c r="H126" s="114" t="n"/>
      <c r="I126" s="114" t="n"/>
      <c r="J126" s="114" t="n">
        <v>18573.9865438685</v>
      </c>
      <c r="K126" s="114" t="n"/>
      <c r="L126" s="114" t="n"/>
      <c r="M126" s="99" t="n"/>
    </row>
    <row r="127">
      <c r="C127" s="112" t="n">
        <v>43101</v>
      </c>
      <c r="D127" s="114" t="n">
        <v>20675.2763455123</v>
      </c>
      <c r="E127" s="114" t="n">
        <v>11794.4992474787</v>
      </c>
      <c r="F127" s="114" t="n"/>
      <c r="G127" s="114" t="n"/>
      <c r="H127" s="114" t="n"/>
      <c r="I127" s="114" t="n"/>
      <c r="J127" s="114" t="n">
        <v>20675.2763455123</v>
      </c>
      <c r="K127" s="114" t="n"/>
      <c r="L127" s="114" t="n"/>
      <c r="M127" s="99" t="n"/>
    </row>
    <row r="128">
      <c r="C128" s="112" t="n">
        <v>43132</v>
      </c>
      <c r="D128" s="114" t="n">
        <v>24672.9254098411</v>
      </c>
      <c r="E128" s="114" t="n">
        <v>12755.1722610102</v>
      </c>
      <c r="F128" s="114" t="n"/>
      <c r="G128" s="114" t="n"/>
      <c r="H128" s="114" t="n"/>
      <c r="I128" s="114" t="n"/>
      <c r="J128" s="114" t="n">
        <v>24672.9254098411</v>
      </c>
      <c r="K128" s="114" t="n"/>
      <c r="L128" s="114" t="n"/>
      <c r="M128" s="99" t="n"/>
    </row>
    <row r="129">
      <c r="C129" s="112" t="n">
        <v>43160</v>
      </c>
      <c r="D129" s="114" t="n">
        <v>26057.1317121753</v>
      </c>
      <c r="E129" s="114" t="n">
        <v>13303.4039465067</v>
      </c>
      <c r="F129" s="114" t="n"/>
      <c r="G129" s="114" t="n"/>
      <c r="H129" s="114" t="n"/>
      <c r="I129" s="114" t="n"/>
      <c r="J129" s="114" t="n">
        <v>26057.1317121753</v>
      </c>
      <c r="K129" s="114" t="n"/>
      <c r="L129" s="114" t="n"/>
      <c r="M129" s="99" t="n"/>
    </row>
    <row r="130">
      <c r="C130" s="112" t="n">
        <v>43191</v>
      </c>
      <c r="D130" s="114" t="n">
        <v>27653.0278961096</v>
      </c>
      <c r="E130" s="114" t="n">
        <v>13819.4205542614</v>
      </c>
      <c r="F130" s="114" t="n"/>
      <c r="G130" s="114" t="n"/>
      <c r="H130" s="114" t="n"/>
      <c r="I130" s="114" t="n"/>
      <c r="J130" s="114" t="n">
        <v>27653.0278961096</v>
      </c>
      <c r="K130" s="114" t="n"/>
      <c r="L130" s="114" t="n"/>
      <c r="M130" s="99" t="n"/>
    </row>
    <row r="131">
      <c r="C131" s="112" t="n">
        <v>43221</v>
      </c>
      <c r="D131" s="114" t="n">
        <v>31242.9382838356</v>
      </c>
      <c r="E131" s="114" t="n">
        <v>14154.7305930742</v>
      </c>
      <c r="F131" s="114" t="n"/>
      <c r="G131" s="114" t="n"/>
      <c r="H131" s="114" t="n"/>
      <c r="I131" s="114" t="n"/>
      <c r="J131" s="114" t="n">
        <v>31242.9382838356</v>
      </c>
      <c r="K131" s="114" t="n"/>
      <c r="L131" s="114" t="n"/>
      <c r="M131" s="99" t="n"/>
    </row>
    <row r="132">
      <c r="C132" s="112" t="n">
        <v>43252</v>
      </c>
      <c r="D132" s="114" t="n">
        <v>32289.096914411</v>
      </c>
      <c r="E132" s="114" t="n">
        <v>14190.3357213692</v>
      </c>
      <c r="F132" s="114" t="n"/>
      <c r="G132" s="114" t="n"/>
      <c r="H132" s="114" t="n"/>
      <c r="I132" s="114" t="n"/>
      <c r="J132" s="114" t="n">
        <v>32289.096914411</v>
      </c>
      <c r="K132" s="114" t="n"/>
      <c r="L132" s="114" t="n"/>
      <c r="M132" s="99" t="n"/>
    </row>
    <row r="133">
      <c r="C133" s="112" t="n">
        <v>43282</v>
      </c>
      <c r="D133" s="114" t="n">
        <v>33905.8481628932</v>
      </c>
      <c r="E133" s="114" t="n">
        <v>14998.6007179106</v>
      </c>
      <c r="F133" s="114" t="n"/>
      <c r="G133" s="114" t="n"/>
      <c r="H133" s="114" t="n"/>
      <c r="I133" s="114" t="n"/>
      <c r="J133" s="114" t="n">
        <v>33905.8481628932</v>
      </c>
      <c r="K133" s="114" t="n"/>
      <c r="L133" s="114" t="n"/>
      <c r="M133" s="99" t="n"/>
    </row>
    <row r="134">
      <c r="C134" s="112" t="n">
        <v>43313</v>
      </c>
      <c r="D134" s="114" t="n">
        <v>37167.0989838027</v>
      </c>
      <c r="E134" s="114" t="n">
        <v>15506.1863331426</v>
      </c>
      <c r="F134" s="114" t="n"/>
      <c r="G134" s="114" t="n"/>
      <c r="H134" s="114" t="n"/>
      <c r="I134" s="114" t="n"/>
      <c r="J134" s="114" t="n">
        <v>37167.0989838027</v>
      </c>
      <c r="K134" s="114" t="n"/>
      <c r="L134" s="114" t="n"/>
      <c r="M134" s="99" t="n"/>
    </row>
    <row r="135">
      <c r="C135" s="112" t="n">
        <v>43344</v>
      </c>
      <c r="D135" s="114" t="n">
        <v>40215.8085330411</v>
      </c>
      <c r="E135" s="114" t="n">
        <v>17153.3111884182</v>
      </c>
      <c r="F135" s="114" t="n"/>
      <c r="G135" s="114" t="n"/>
      <c r="H135" s="114" t="n"/>
      <c r="I135" s="114" t="n"/>
      <c r="J135" s="114" t="n">
        <v>40215.8085330411</v>
      </c>
      <c r="K135" s="114" t="n"/>
      <c r="L135" s="114" t="n"/>
      <c r="M135" s="99" t="n"/>
    </row>
    <row r="136">
      <c r="C136" s="112" t="n">
        <v>43374</v>
      </c>
      <c r="D136" s="114" t="n">
        <v>46121.9973316384</v>
      </c>
      <c r="E136" s="114" t="n">
        <v>18211.6287511249</v>
      </c>
      <c r="F136" s="114" t="n"/>
      <c r="G136" s="114" t="n"/>
      <c r="H136" s="114" t="n"/>
      <c r="I136" s="114" t="n"/>
      <c r="J136" s="114" t="n">
        <v>46121.9973316384</v>
      </c>
      <c r="K136" s="114" t="n"/>
      <c r="L136" s="114" t="n"/>
      <c r="M136" s="99" t="n"/>
    </row>
    <row r="137">
      <c r="C137" s="112" t="n">
        <v>43405</v>
      </c>
      <c r="D137" s="114" t="n">
        <v>44268.5998851507</v>
      </c>
      <c r="E137" s="114" t="n">
        <v>17635.5556792081</v>
      </c>
      <c r="F137" s="114" t="n"/>
      <c r="G137" s="114" t="n"/>
      <c r="H137" s="114" t="n"/>
      <c r="I137" s="114" t="n"/>
      <c r="J137" s="114" t="n">
        <v>44268.5998851507</v>
      </c>
      <c r="K137" s="114" t="n"/>
      <c r="L137" s="114" t="n"/>
      <c r="M137" s="99" t="n"/>
    </row>
    <row r="138">
      <c r="C138" s="112" t="n">
        <v>43435</v>
      </c>
      <c r="D138" s="114" t="n">
        <v>40895.598592</v>
      </c>
      <c r="E138" s="114" t="n">
        <v>17236.6533938273</v>
      </c>
      <c r="F138" s="114" t="n"/>
      <c r="G138" s="114" t="n"/>
      <c r="H138" s="114" t="n"/>
      <c r="I138" s="114" t="n"/>
      <c r="J138" s="114" t="n">
        <v>40895.598592</v>
      </c>
      <c r="K138" s="114" t="n"/>
      <c r="L138" s="114" t="n"/>
      <c r="M138" s="99" t="n"/>
    </row>
    <row r="139">
      <c r="C139" s="112" t="n">
        <v>43466</v>
      </c>
      <c r="D139" s="114" t="n">
        <v>38261.2847297049</v>
      </c>
      <c r="E139" s="114" t="n">
        <v>16360.5918978485</v>
      </c>
      <c r="F139" s="114" t="n"/>
      <c r="G139" s="114" t="n"/>
      <c r="H139" s="114" t="n"/>
      <c r="I139" s="114" t="n"/>
      <c r="J139" s="114" t="n">
        <v>38261.2847297049</v>
      </c>
      <c r="K139" s="114" t="n"/>
      <c r="L139" s="114" t="n"/>
      <c r="M139" s="99" t="n"/>
    </row>
    <row r="140">
      <c r="C140" s="112" t="n">
        <v>43497</v>
      </c>
      <c r="D140" s="114" t="n">
        <v>40482.485096918</v>
      </c>
      <c r="E140" s="114" t="n">
        <v>17049.7278266039</v>
      </c>
      <c r="F140" s="114" t="n"/>
      <c r="G140" s="114" t="n"/>
      <c r="H140" s="114" t="n"/>
      <c r="I140" s="114" t="n"/>
      <c r="J140" s="114" t="n">
        <v>40482.485096918</v>
      </c>
      <c r="K140" s="114" t="n"/>
      <c r="L140" s="114" t="n"/>
      <c r="M140" s="99" t="n"/>
    </row>
    <row r="141">
      <c r="C141" s="112" t="n">
        <v>43525</v>
      </c>
      <c r="D141" s="114" t="n">
        <v>39610.4062517159</v>
      </c>
      <c r="E141" s="114" t="n">
        <v>17523.374060413</v>
      </c>
      <c r="F141" s="114" t="n"/>
      <c r="G141" s="114" t="n"/>
      <c r="H141" s="114" t="n"/>
      <c r="I141" s="114" t="n"/>
      <c r="J141" s="114" t="n">
        <v>39610.4062517159</v>
      </c>
      <c r="K141" s="114" t="n"/>
      <c r="L141" s="114" t="n"/>
      <c r="M141" s="99" t="n"/>
    </row>
    <row r="142">
      <c r="C142" s="112" t="n">
        <v>43556</v>
      </c>
      <c r="D142" s="114" t="n">
        <v>39509.657163541</v>
      </c>
      <c r="E142" s="114" t="n">
        <v>17325.3866335705</v>
      </c>
      <c r="F142" s="114" t="n"/>
      <c r="G142" s="114" t="n"/>
      <c r="H142" s="114" t="n"/>
      <c r="I142" s="114" t="n"/>
      <c r="J142" s="114" t="n">
        <v>39509.657163541</v>
      </c>
      <c r="K142" s="114" t="n"/>
      <c r="L142" s="114" t="n"/>
      <c r="M142" s="99" t="n"/>
    </row>
    <row r="143">
      <c r="C143" s="112" t="n">
        <v>43586</v>
      </c>
      <c r="D143" s="114" t="n">
        <v>40185.3242810055</v>
      </c>
      <c r="E143" s="114" t="n">
        <v>16818.031872114</v>
      </c>
      <c r="F143" s="114" t="n"/>
      <c r="G143" s="114" t="n"/>
      <c r="H143" s="114" t="n"/>
      <c r="I143" s="114" t="n"/>
      <c r="J143" s="114" t="n">
        <v>40185.3242810055</v>
      </c>
      <c r="K143" s="114" t="n"/>
      <c r="L143" s="114" t="n"/>
      <c r="M143" s="99" t="n"/>
    </row>
    <row r="144">
      <c r="C144" s="112" t="n">
        <v>43617</v>
      </c>
      <c r="D144" s="114" t="n">
        <v>41076.0062405246</v>
      </c>
      <c r="E144" s="114" t="n">
        <v>16933.5806126257</v>
      </c>
      <c r="F144" s="114" t="n"/>
      <c r="G144" s="114" t="n"/>
      <c r="H144" s="114" t="n"/>
      <c r="I144" s="114" t="n"/>
      <c r="J144" s="114" t="n">
        <v>41076.0062405246</v>
      </c>
      <c r="K144" s="114" t="n"/>
      <c r="L144" s="114" t="n"/>
      <c r="M144" s="99" t="n"/>
    </row>
    <row r="145">
      <c r="C145" s="112" t="n">
        <v>43647</v>
      </c>
      <c r="D145" s="114" t="n">
        <v>40935.2073148852</v>
      </c>
      <c r="E145" s="114" t="n">
        <v>16307.7223540856</v>
      </c>
      <c r="F145" s="114" t="n"/>
      <c r="G145" s="114" t="n"/>
      <c r="H145" s="114" t="n"/>
      <c r="I145" s="114" t="n"/>
      <c r="J145" s="114" t="n">
        <v>40935.2073148852</v>
      </c>
      <c r="K145" s="114" t="n"/>
      <c r="L145" s="114" t="n"/>
      <c r="M145" s="99" t="n"/>
    </row>
    <row r="146">
      <c r="C146" s="112" t="n">
        <v>43678</v>
      </c>
      <c r="D146" s="114" t="n">
        <v>36937.3267934426</v>
      </c>
      <c r="E146" s="114" t="n">
        <v>15482.5294414579</v>
      </c>
      <c r="F146" s="114" t="n"/>
      <c r="G146" s="114" t="n"/>
      <c r="H146" s="114" t="n"/>
      <c r="I146" s="114" t="n"/>
      <c r="J146" s="114" t="n">
        <v>36937.3267934426</v>
      </c>
      <c r="K146" s="114" t="n"/>
      <c r="L146" s="114" t="n"/>
      <c r="M146" s="99" t="n"/>
    </row>
    <row r="147">
      <c r="C147" s="112" t="n">
        <v>43709</v>
      </c>
      <c r="D147" s="114" t="n">
        <v>37058.5714374645</v>
      </c>
      <c r="E147" s="114" t="n">
        <v>15535.9462691453</v>
      </c>
      <c r="F147" s="114" t="n"/>
      <c r="G147" s="114" t="n"/>
      <c r="H147" s="114" t="n"/>
      <c r="I147" s="114" t="n"/>
      <c r="J147" s="114" t="n">
        <v>37058.5714374645</v>
      </c>
      <c r="K147" s="114" t="n"/>
      <c r="L147" s="114" t="n"/>
      <c r="M147" s="99" t="n"/>
    </row>
    <row r="148">
      <c r="C148" s="112" t="n">
        <v>43739</v>
      </c>
      <c r="D148" s="114" t="n">
        <v>34620.2671786667</v>
      </c>
      <c r="E148" s="114" t="n">
        <v>15437.0951305221</v>
      </c>
      <c r="F148" s="114" t="n"/>
      <c r="G148" s="114" t="n"/>
      <c r="H148" s="114" t="n"/>
      <c r="I148" s="114" t="n"/>
      <c r="J148" s="114" t="n">
        <v>34620.2671786667</v>
      </c>
      <c r="K148" s="114" t="n"/>
      <c r="L148" s="114" t="n"/>
      <c r="M148" s="99" t="n"/>
    </row>
    <row r="149">
      <c r="C149" s="112" t="n">
        <v>43770</v>
      </c>
      <c r="D149" s="114" t="n">
        <v>35830.8080388197</v>
      </c>
      <c r="E149" s="114" t="n">
        <v>15152.2360377196</v>
      </c>
      <c r="F149" s="114" t="n"/>
      <c r="G149" s="114" t="n"/>
      <c r="H149" s="114" t="n"/>
      <c r="I149" s="114" t="n"/>
      <c r="J149" s="114" t="n">
        <v>35830.8080388197</v>
      </c>
      <c r="K149" s="114" t="n"/>
      <c r="L149" s="114" t="n"/>
      <c r="M149" s="99" t="n"/>
    </row>
    <row r="150">
      <c r="C150" s="112" t="n">
        <v>43800</v>
      </c>
      <c r="D150" s="114" t="n">
        <v>36095.299584</v>
      </c>
      <c r="E150" s="114" t="n">
        <v>15200.4732763017</v>
      </c>
      <c r="F150" s="114" t="n"/>
      <c r="G150" s="114" t="n"/>
      <c r="H150" s="114" t="n"/>
      <c r="I150" s="114" t="n"/>
      <c r="J150" s="114" t="n">
        <v>36095.299584</v>
      </c>
      <c r="K150" s="114" t="n"/>
      <c r="L150" s="114" t="n"/>
      <c r="M150" s="99" t="n"/>
    </row>
    <row r="151">
      <c r="C151" s="112" t="n">
        <v>43831</v>
      </c>
      <c r="D151" s="114" t="n">
        <v>36691.5466730959</v>
      </c>
      <c r="E151" s="114" t="n">
        <v>14075.1634121047</v>
      </c>
      <c r="F151" s="114" t="n"/>
      <c r="G151" s="114" t="n"/>
      <c r="H151" s="114" t="n"/>
      <c r="I151" s="114" t="n"/>
      <c r="J151" s="114" t="n">
        <v>36691.5466730959</v>
      </c>
      <c r="K151" s="114" t="n"/>
      <c r="L151" s="114" t="n"/>
      <c r="M151" s="99" t="n"/>
    </row>
    <row r="152">
      <c r="C152" s="112" t="n">
        <v>43862</v>
      </c>
      <c r="D152" s="114" t="n">
        <v>36448.8134936548</v>
      </c>
      <c r="E152" s="114" t="n">
        <v>13998.7570471167</v>
      </c>
      <c r="F152" s="114" t="n"/>
      <c r="G152" s="114" t="n"/>
      <c r="H152" s="114" t="n"/>
      <c r="I152" s="114" t="n"/>
      <c r="J152" s="114" t="n">
        <v>36448.8134936548</v>
      </c>
      <c r="K152" s="114" t="n"/>
      <c r="L152" s="114" t="n"/>
      <c r="M152" s="99" t="n"/>
    </row>
    <row r="153">
      <c r="C153" s="112" t="n">
        <v>43891</v>
      </c>
      <c r="D153" s="114" t="n">
        <v>13820.3484721096</v>
      </c>
      <c r="E153" s="114" t="n">
        <v>12131.0251006431</v>
      </c>
      <c r="F153" s="114" t="n"/>
      <c r="G153" s="114" t="n"/>
      <c r="H153" s="114" t="n"/>
      <c r="I153" s="114" t="n"/>
      <c r="J153" s="114" t="n">
        <v>13820.3484721096</v>
      </c>
      <c r="K153" s="114" t="n"/>
      <c r="L153" s="114" t="n"/>
      <c r="M153" s="99" t="n"/>
    </row>
    <row r="154">
      <c r="C154" s="112" t="n">
        <v>43922</v>
      </c>
      <c r="D154" s="114" t="n">
        <v>6703.70999364384</v>
      </c>
      <c r="E154" s="114" t="n">
        <v>10238.6557084517</v>
      </c>
      <c r="F154" s="114" t="n"/>
      <c r="G154" s="114" t="n"/>
      <c r="H154" s="114" t="n"/>
      <c r="I154" s="114" t="n"/>
      <c r="J154" s="114" t="n">
        <v>6703.70999364384</v>
      </c>
      <c r="K154" s="114" t="n"/>
      <c r="L154" s="114" t="n"/>
      <c r="M154" s="99" t="n"/>
    </row>
    <row r="155">
      <c r="C155" s="112" t="n">
        <v>43952</v>
      </c>
      <c r="D155" s="114" t="n">
        <v>2076.51467993425</v>
      </c>
      <c r="E155" s="114" t="n">
        <v>9576.366582599099</v>
      </c>
      <c r="F155" s="114" t="n"/>
      <c r="G155" s="114" t="n"/>
      <c r="H155" s="114" t="n"/>
      <c r="I155" s="114" t="n"/>
      <c r="J155" s="114" t="n">
        <v>2076.51467993425</v>
      </c>
      <c r="K155" s="114" t="n"/>
      <c r="L155" s="114" t="n"/>
      <c r="M155" s="99" t="n"/>
    </row>
    <row r="156">
      <c r="C156" s="112" t="n">
        <v>43983</v>
      </c>
      <c r="D156" s="114" t="n">
        <v>-1170.54291743562</v>
      </c>
      <c r="E156" s="114" t="n">
        <v>8906.9785976356</v>
      </c>
      <c r="F156" s="114" t="n"/>
      <c r="G156" s="114" t="n"/>
      <c r="H156" s="114" t="n"/>
      <c r="I156" s="114" t="n"/>
      <c r="J156" s="114" t="n">
        <v>-1170.54291743562</v>
      </c>
      <c r="K156" s="114" t="n"/>
      <c r="L156" s="114" t="n"/>
      <c r="M156" s="99" t="n"/>
    </row>
    <row r="157">
      <c r="C157" s="112" t="n">
        <v>44013</v>
      </c>
      <c r="D157" s="114" t="n">
        <v>2054.68929543014</v>
      </c>
      <c r="E157" s="114" t="n">
        <v>9429.473603554599</v>
      </c>
      <c r="F157" s="114" t="n"/>
      <c r="G157" s="114" t="n"/>
      <c r="H157" s="114" t="n"/>
      <c r="I157" s="114" t="n"/>
      <c r="J157" s="114" t="n">
        <v>2054.68929543014</v>
      </c>
      <c r="K157" s="114" t="n"/>
      <c r="L157" s="114" t="n"/>
      <c r="M157" s="99" t="n"/>
    </row>
    <row r="158">
      <c r="C158" s="112" t="n">
        <v>44044</v>
      </c>
      <c r="D158" s="114" t="n">
        <v>6956.85582343014</v>
      </c>
      <c r="E158" s="114" t="n">
        <v>10412.2704765741</v>
      </c>
      <c r="F158" s="114" t="n"/>
      <c r="G158" s="114" t="n"/>
      <c r="H158" s="114" t="n"/>
      <c r="I158" s="114" t="n"/>
      <c r="J158" s="114" t="n">
        <v>6956.85582343014</v>
      </c>
      <c r="K158" s="114" t="n"/>
      <c r="L158" s="114" t="n"/>
      <c r="M158" s="99" t="n"/>
    </row>
    <row r="159">
      <c r="C159" s="112" t="n">
        <v>44075</v>
      </c>
      <c r="D159" s="114" t="n">
        <v>10949.8817375326</v>
      </c>
      <c r="E159" s="114" t="n">
        <v>11661.7103528959</v>
      </c>
      <c r="F159" s="114" t="n"/>
      <c r="G159" s="114" t="n"/>
      <c r="H159" s="114" t="n">
        <v>701.178082191781</v>
      </c>
      <c r="I159" s="114" t="n"/>
      <c r="J159" s="114" t="n">
        <v>11253.9853024438</v>
      </c>
      <c r="K159" s="114" t="n">
        <v>701.178082191781</v>
      </c>
      <c r="L159" s="114" t="n"/>
      <c r="M159" s="99" t="n"/>
    </row>
    <row r="160">
      <c r="C160" s="112" t="n">
        <v>44105</v>
      </c>
      <c r="D160" s="114" t="n">
        <v>19121.6516448055</v>
      </c>
      <c r="E160" s="114" t="n">
        <v>14070.5989312673</v>
      </c>
      <c r="F160" s="114" t="n"/>
      <c r="G160" s="114" t="n"/>
      <c r="H160" s="114" t="n">
        <v>689.632876712329</v>
      </c>
      <c r="I160" s="114" t="n"/>
      <c r="J160" s="114" t="n">
        <v>19631.0804788603</v>
      </c>
      <c r="K160" s="114" t="n">
        <v>689.632876712329</v>
      </c>
      <c r="L160" s="114" t="n"/>
      <c r="M160" s="99" t="n"/>
    </row>
    <row r="161">
      <c r="C161" s="112" t="n">
        <v>44136</v>
      </c>
      <c r="D161" s="114" t="n">
        <v>26183.0264269763</v>
      </c>
      <c r="E161" s="114" t="n">
        <v>16663.0220148499</v>
      </c>
      <c r="F161" s="114" t="n"/>
      <c r="G161" s="114" t="n"/>
      <c r="H161" s="114" t="n">
        <v>734.816438356164</v>
      </c>
      <c r="I161" s="114" t="n"/>
      <c r="J161" s="114" t="n">
        <v>27031.5609550904</v>
      </c>
      <c r="K161" s="114" t="n">
        <v>734.816438356164</v>
      </c>
      <c r="L161" s="114" t="n"/>
      <c r="M161" s="99" t="n"/>
    </row>
    <row r="162">
      <c r="C162" s="112" t="n">
        <v>44166</v>
      </c>
      <c r="D162" s="114" t="n">
        <v>33166.803124274</v>
      </c>
      <c r="E162" s="114" t="n">
        <v>17136.888024143</v>
      </c>
      <c r="F162" s="114" t="n"/>
      <c r="G162" s="114" t="n"/>
      <c r="H162" s="114" t="n">
        <v>1102</v>
      </c>
      <c r="I162" s="114" t="n"/>
      <c r="J162" s="114" t="n">
        <v>34519.699456</v>
      </c>
      <c r="K162" s="114" t="n">
        <v>1102</v>
      </c>
      <c r="L162" s="114" t="n"/>
      <c r="M162" s="99" t="n"/>
    </row>
    <row r="163">
      <c r="C163" s="112" t="n">
        <v>44197</v>
      </c>
      <c r="D163" s="114" t="n">
        <v>34392.6143611611</v>
      </c>
      <c r="E163" s="114" t="n">
        <v>19470.4803433839</v>
      </c>
      <c r="F163" s="114" t="n"/>
      <c r="G163" s="114" t="n"/>
      <c r="H163" s="114" t="n">
        <v>1117.64507388493</v>
      </c>
      <c r="I163" s="114" t="n"/>
      <c r="J163" s="114" t="n">
        <v>35886.0106934356</v>
      </c>
      <c r="K163" s="114" t="n">
        <v>1117.64507388493</v>
      </c>
      <c r="L163" s="114" t="n"/>
      <c r="M163" s="99" t="n"/>
    </row>
    <row r="164">
      <c r="C164" s="112" t="n">
        <v>44228</v>
      </c>
      <c r="D164" s="114" t="n">
        <v>37844.58279833</v>
      </c>
      <c r="E164" s="114" t="n">
        <v>21360.5583328133</v>
      </c>
      <c r="F164" s="114" t="n"/>
      <c r="G164" s="114" t="n"/>
      <c r="H164" s="114" t="n">
        <v>1154.38081192329</v>
      </c>
      <c r="I164" s="114" t="n"/>
      <c r="J164" s="114" t="n">
        <v>40737.3299263123</v>
      </c>
      <c r="K164" s="114" t="n">
        <v>1154.38081192329</v>
      </c>
      <c r="L164" s="114" t="n"/>
      <c r="M164" s="99" t="n"/>
    </row>
    <row r="165">
      <c r="C165" s="112" t="n">
        <v>44256</v>
      </c>
      <c r="D165" s="114" t="n">
        <v>43905.3574941516</v>
      </c>
      <c r="E165" s="114" t="n">
        <v>24107.4802086203</v>
      </c>
      <c r="F165" s="114" t="n"/>
      <c r="G165" s="114" t="n"/>
      <c r="H165" s="114" t="n">
        <v>1368.47181676712</v>
      </c>
      <c r="I165" s="114" t="n"/>
      <c r="J165" s="114" t="n">
        <v>47324.8933523288</v>
      </c>
      <c r="K165" s="114" t="n">
        <v>1368.47181676712</v>
      </c>
      <c r="L165" s="114" t="n"/>
      <c r="M165" s="99" t="n"/>
    </row>
    <row r="166">
      <c r="C166" s="112" t="n">
        <v>44287</v>
      </c>
      <c r="D166" s="114" t="n">
        <v>55462.9627999883</v>
      </c>
      <c r="E166" s="114" t="n">
        <v>27876.2453567844</v>
      </c>
      <c r="F166" s="114" t="n"/>
      <c r="G166" s="114" t="n"/>
      <c r="H166" s="114" t="n">
        <v>1380.12907835616</v>
      </c>
      <c r="I166" s="114" t="n"/>
      <c r="J166" s="114" t="n">
        <v>59894.081676274</v>
      </c>
      <c r="K166" s="114" t="n">
        <v>1380.12907835616</v>
      </c>
      <c r="L166" s="114" t="n"/>
      <c r="M166" s="99" t="n"/>
    </row>
    <row r="167">
      <c r="C167" s="112" t="n">
        <v>44317</v>
      </c>
      <c r="D167" s="114" t="n">
        <v>55670.2483266638</v>
      </c>
      <c r="E167" s="114" t="n">
        <v>26368.0874790811</v>
      </c>
      <c r="F167" s="114" t="n"/>
      <c r="G167" s="114" t="n"/>
      <c r="H167" s="114" t="n">
        <v>1392.17491533151</v>
      </c>
      <c r="I167" s="114" t="n"/>
      <c r="J167" s="114" t="n">
        <v>59614.1361685041</v>
      </c>
      <c r="K167" s="114" t="n">
        <v>1392.17491533151</v>
      </c>
      <c r="L167" s="114" t="n"/>
      <c r="M167" s="99" t="n"/>
    </row>
    <row r="168">
      <c r="C168" s="112" t="n">
        <v>44348</v>
      </c>
      <c r="D168" s="114" t="n">
        <v>62837.152712688</v>
      </c>
      <c r="E168" s="114" t="n">
        <v>27658.9707358983</v>
      </c>
      <c r="F168" s="114" t="n"/>
      <c r="G168" s="114" t="n"/>
      <c r="H168" s="114" t="n">
        <v>1556.00622711233</v>
      </c>
      <c r="I168" s="114" t="n"/>
      <c r="J168" s="114" t="n">
        <v>66787.5196030247</v>
      </c>
      <c r="K168" s="114" t="n">
        <v>1556.00622711233</v>
      </c>
      <c r="L168" s="114" t="n"/>
      <c r="M168" s="99" t="n"/>
    </row>
    <row r="169">
      <c r="C169" s="112" t="n">
        <v>44378</v>
      </c>
      <c r="D169" s="114" t="n">
        <v>63328.9639817172</v>
      </c>
      <c r="E169" s="114" t="n">
        <v>29127.3175263349</v>
      </c>
      <c r="F169" s="114" t="n"/>
      <c r="G169" s="114" t="n"/>
      <c r="H169" s="114" t="n">
        <v>1647.89591390685</v>
      </c>
      <c r="I169" s="114" t="n"/>
      <c r="J169" s="114" t="n">
        <v>67324.28020357261</v>
      </c>
      <c r="K169" s="114" t="n">
        <v>1647.89591390685</v>
      </c>
      <c r="L169" s="114" t="n"/>
      <c r="M169" s="99" t="n"/>
    </row>
    <row r="170">
      <c r="C170" s="112" t="n">
        <v>44409</v>
      </c>
      <c r="D170" s="114" t="n">
        <v>67138.0184479993</v>
      </c>
      <c r="E170" s="114" t="n">
        <v>28384.9395133663</v>
      </c>
      <c r="F170" s="114" t="n"/>
      <c r="G170" s="114" t="n"/>
      <c r="H170" s="114" t="n">
        <v>1655.71373589041</v>
      </c>
      <c r="I170" s="114" t="n"/>
      <c r="J170" s="114" t="n">
        <v>71636.6058089205</v>
      </c>
      <c r="K170" s="114" t="n">
        <v>1655.71373589041</v>
      </c>
      <c r="L170" s="114" t="n"/>
      <c r="M170" s="99" t="n"/>
    </row>
    <row r="171">
      <c r="C171" s="112" t="n">
        <v>44440</v>
      </c>
      <c r="D171" s="114" t="n">
        <v>68014.0385750471</v>
      </c>
      <c r="E171" s="114" t="n">
        <v>26596.8694792006</v>
      </c>
      <c r="F171" s="114" t="n"/>
      <c r="G171" s="114" t="n"/>
      <c r="H171" s="114" t="n">
        <v>1800.38356164384</v>
      </c>
      <c r="I171" s="114" t="n"/>
      <c r="J171" s="114" t="n">
        <v>74310.2949235726</v>
      </c>
      <c r="K171" s="114" t="n">
        <v>1800.38356164384</v>
      </c>
      <c r="L171" s="114" t="n"/>
      <c r="M171" s="99" t="n"/>
    </row>
    <row r="172">
      <c r="C172" s="112" t="n">
        <v>44470</v>
      </c>
      <c r="D172" s="114" t="n">
        <v>76278.1816544336</v>
      </c>
      <c r="E172" s="114" t="n">
        <v>27010.4924005158</v>
      </c>
      <c r="F172" s="114" t="n"/>
      <c r="G172" s="114" t="n"/>
      <c r="H172" s="114" t="n">
        <v>1792.2157241863</v>
      </c>
      <c r="I172" s="114" t="n"/>
      <c r="J172" s="114" t="n">
        <v>82969.3378335562</v>
      </c>
      <c r="K172" s="114" t="n">
        <v>1792.2157241863</v>
      </c>
      <c r="L172" s="114" t="n"/>
      <c r="M172" s="99" t="n"/>
    </row>
    <row r="173">
      <c r="C173" s="112" t="n">
        <v>44501</v>
      </c>
      <c r="D173" s="114" t="n">
        <v>87991.2021795825</v>
      </c>
      <c r="E173" s="114" t="n">
        <v>27359.8042853086</v>
      </c>
      <c r="F173" s="114" t="n"/>
      <c r="G173" s="114" t="n"/>
      <c r="H173" s="114" t="n">
        <v>1764.21231412603</v>
      </c>
      <c r="I173" s="114" t="n"/>
      <c r="J173" s="114" t="n">
        <v>94168.6173976548</v>
      </c>
      <c r="K173" s="114" t="n">
        <v>1764.21231412603</v>
      </c>
      <c r="L173" s="114" t="n"/>
      <c r="M173" s="99" t="n"/>
    </row>
    <row r="174">
      <c r="C174" s="112" t="n">
        <v>44531</v>
      </c>
      <c r="D174" s="114" t="n">
        <v>87803.12192320731</v>
      </c>
      <c r="E174" s="114" t="n">
        <v>27028.5191873772</v>
      </c>
      <c r="F174" s="114" t="n"/>
      <c r="G174" s="114" t="n"/>
      <c r="H174" s="114" t="n">
        <v>1850.749952</v>
      </c>
      <c r="I174" s="114" t="n"/>
      <c r="J174" s="114" t="n">
        <v>94144.397312</v>
      </c>
      <c r="K174" s="114" t="n">
        <v>1850.749952</v>
      </c>
      <c r="L174" s="114" t="n"/>
      <c r="M174" s="99" t="n"/>
    </row>
    <row r="175">
      <c r="C175" s="112" t="n">
        <v>44562</v>
      </c>
      <c r="D175" s="114" t="n">
        <v>85992.8495500006</v>
      </c>
      <c r="E175" s="114" t="n">
        <v>28151.2120295504</v>
      </c>
      <c r="F175" s="114" t="n">
        <v>1403.04929174795</v>
      </c>
      <c r="G175" s="114" t="n"/>
      <c r="H175" s="114" t="n">
        <v>1801.62116208219</v>
      </c>
      <c r="I175" s="114" t="n"/>
      <c r="J175" s="114" t="n">
        <v>95603.3033426411</v>
      </c>
      <c r="K175" s="114" t="n">
        <v>3204.67045383014</v>
      </c>
      <c r="L175" s="114" t="n">
        <v>3204.67045383014</v>
      </c>
      <c r="M175" s="99" t="n"/>
    </row>
    <row r="176">
      <c r="C176" s="112" t="n">
        <v>44593</v>
      </c>
      <c r="D176" s="114" t="n">
        <v>85366.793760845</v>
      </c>
      <c r="E176" s="114" t="n">
        <v>30026.3429480347</v>
      </c>
      <c r="F176" s="114" t="n">
        <v>1552.59925672329</v>
      </c>
      <c r="G176" s="114" t="n"/>
      <c r="H176" s="114" t="n">
        <v>1689.4648249863</v>
      </c>
      <c r="I176" s="114" t="n"/>
      <c r="J176" s="114" t="n">
        <v>94753.24587414791</v>
      </c>
      <c r="K176" s="114" t="n">
        <v>3242.06408170959</v>
      </c>
      <c r="L176" s="114" t="n">
        <v>3242.06408170959</v>
      </c>
      <c r="M176" s="99" t="n"/>
    </row>
    <row r="177">
      <c r="C177" s="112" t="n">
        <v>44621</v>
      </c>
      <c r="D177" s="114" t="n">
        <v>100411.172772043</v>
      </c>
      <c r="E177" s="114" t="n">
        <v>32087.0992383976</v>
      </c>
      <c r="F177" s="114" t="n">
        <v>1676.99659572603</v>
      </c>
      <c r="G177" s="114" t="n"/>
      <c r="H177" s="114" t="n">
        <v>2121.67365435616</v>
      </c>
      <c r="I177" s="114" t="n"/>
      <c r="J177" s="114" t="n">
        <v>111657.208004384</v>
      </c>
      <c r="K177" s="114" t="n">
        <v>3798.67025008219</v>
      </c>
      <c r="L177" s="114" t="n">
        <v>3798.67025008219</v>
      </c>
      <c r="M177" s="99" t="n"/>
    </row>
    <row r="178">
      <c r="C178" s="112" t="n">
        <v>44652</v>
      </c>
      <c r="D178" s="114" t="n">
        <v>102698.618525494</v>
      </c>
      <c r="E178" s="114" t="n">
        <v>34307.4987619675</v>
      </c>
      <c r="F178" s="114" t="n">
        <v>1870.13049582466</v>
      </c>
      <c r="G178" s="114" t="n"/>
      <c r="H178" s="114" t="n">
        <v>2572.0218182137</v>
      </c>
      <c r="I178" s="114" t="n"/>
      <c r="J178" s="114" t="n">
        <v>116580.576707682</v>
      </c>
      <c r="K178" s="114" t="n">
        <v>4442.15231403836</v>
      </c>
      <c r="L178" s="114" t="n">
        <v>4442.15231403836</v>
      </c>
      <c r="M178" s="99" t="n"/>
    </row>
    <row r="179">
      <c r="C179" s="112" t="n">
        <v>44682</v>
      </c>
      <c r="D179" s="114" t="n">
        <v>108357.285271325</v>
      </c>
      <c r="E179" s="114" t="n">
        <v>35005.2630952866</v>
      </c>
      <c r="F179" s="114" t="n">
        <v>1884.4269778411</v>
      </c>
      <c r="G179" s="114" t="n"/>
      <c r="H179" s="114" t="n">
        <v>2686.35856026301</v>
      </c>
      <c r="I179" s="114" t="n"/>
      <c r="J179" s="114" t="n">
        <v>123853.803194564</v>
      </c>
      <c r="K179" s="114" t="n">
        <v>4570.78553810411</v>
      </c>
      <c r="L179" s="114" t="n">
        <v>4570.78553810411</v>
      </c>
      <c r="M179" s="99" t="n"/>
    </row>
    <row r="180">
      <c r="C180" s="112" t="n">
        <v>44713</v>
      </c>
      <c r="D180" s="114" t="n">
        <v>118723.990894534</v>
      </c>
      <c r="E180" s="114" t="n">
        <v>36390.7902981754</v>
      </c>
      <c r="F180" s="114" t="n">
        <v>1503.39236050411</v>
      </c>
      <c r="G180" s="114" t="n"/>
      <c r="H180" s="114" t="n">
        <v>2744.0456914411</v>
      </c>
      <c r="I180" s="114" t="n"/>
      <c r="J180" s="114" t="n">
        <v>132833.863001074</v>
      </c>
      <c r="K180" s="114" t="n">
        <v>4247.43805194521</v>
      </c>
      <c r="L180" s="114" t="n">
        <v>4247.43805194521</v>
      </c>
      <c r="M180" s="99" t="n"/>
    </row>
    <row r="181">
      <c r="C181" s="112" t="n">
        <v>44743</v>
      </c>
      <c r="D181" s="114" t="n">
        <v>121159.615932195</v>
      </c>
      <c r="E181" s="114" t="n">
        <v>36053.5630492353</v>
      </c>
      <c r="F181" s="114" t="n">
        <v>1626.668768</v>
      </c>
      <c r="G181" s="114" t="n"/>
      <c r="H181" s="114" t="n">
        <v>3076.45707923288</v>
      </c>
      <c r="I181" s="114" t="n"/>
      <c r="J181" s="114" t="n">
        <v>133718.851135123</v>
      </c>
      <c r="K181" s="114" t="n">
        <v>4703.12584723288</v>
      </c>
      <c r="L181" s="114" t="n">
        <v>4703.12584723288</v>
      </c>
      <c r="M181" s="99" t="n"/>
    </row>
    <row r="182">
      <c r="C182" s="112" t="n">
        <v>44774</v>
      </c>
      <c r="D182" s="114" t="n">
        <v>124115.28047713</v>
      </c>
      <c r="E182" s="114" t="n">
        <v>34794.3544167372</v>
      </c>
      <c r="F182" s="114" t="n">
        <v>2041.58279153973</v>
      </c>
      <c r="G182" s="114" t="n"/>
      <c r="H182" s="114" t="n">
        <v>3930.32946884384</v>
      </c>
      <c r="I182" s="114" t="n"/>
      <c r="J182" s="114" t="n">
        <v>138654.931690258</v>
      </c>
      <c r="K182" s="114" t="n">
        <v>5971.912260383569</v>
      </c>
      <c r="L182" s="114" t="n">
        <v>5971.912260383569</v>
      </c>
      <c r="M182" s="99" t="n"/>
    </row>
    <row r="183">
      <c r="C183" s="112" t="n">
        <v>44805</v>
      </c>
      <c r="D183" s="114" t="n">
        <v>117964.72608924</v>
      </c>
      <c r="E183" s="114" t="n">
        <v>33165.1950785359</v>
      </c>
      <c r="F183" s="114" t="n">
        <v>2291.63181326027</v>
      </c>
      <c r="G183" s="114" t="n"/>
      <c r="H183" s="114" t="n">
        <v>4103.86167092603</v>
      </c>
      <c r="I183" s="114" t="n"/>
      <c r="J183" s="114" t="n">
        <v>133333.465003836</v>
      </c>
      <c r="K183" s="114" t="n">
        <v>6395.4934841863</v>
      </c>
      <c r="L183" s="114" t="n">
        <v>6395.4934841863</v>
      </c>
      <c r="M183" s="99" t="n"/>
    </row>
    <row r="184">
      <c r="C184" s="112" t="n">
        <v>44835</v>
      </c>
      <c r="D184" s="114" t="n">
        <v>115200.810833734</v>
      </c>
      <c r="E184" s="114" t="n">
        <v>30334.7730485954</v>
      </c>
      <c r="F184" s="114" t="n">
        <v>2388.49700532603</v>
      </c>
      <c r="G184" s="114" t="n"/>
      <c r="H184" s="114" t="n">
        <v>4574.18887153973</v>
      </c>
      <c r="I184" s="114" t="n"/>
      <c r="J184" s="114" t="n">
        <v>134441.043715507</v>
      </c>
      <c r="K184" s="114" t="n">
        <v>6962.68587686576</v>
      </c>
      <c r="L184" s="114" t="n">
        <v>6962.68587686576</v>
      </c>
      <c r="M184" s="99" t="n"/>
    </row>
    <row r="185">
      <c r="C185" s="112" t="n">
        <v>44866</v>
      </c>
      <c r="D185" s="114" t="n">
        <v>107975.048266181</v>
      </c>
      <c r="E185" s="114" t="n">
        <v>31015.1158563236</v>
      </c>
      <c r="F185" s="114" t="n">
        <v>2540.38737884932</v>
      </c>
      <c r="G185" s="114" t="n"/>
      <c r="H185" s="114" t="n">
        <v>4790.99730972055</v>
      </c>
      <c r="I185" s="114" t="n"/>
      <c r="J185" s="114" t="n">
        <v>127172.724483507</v>
      </c>
      <c r="K185" s="114" t="n">
        <v>7331.38468856987</v>
      </c>
      <c r="L185" s="114" t="n">
        <v>7331.38468856987</v>
      </c>
      <c r="M185" s="99" t="n"/>
    </row>
    <row r="186">
      <c r="C186" s="112" t="n">
        <v>44896</v>
      </c>
      <c r="D186" s="114" t="n">
        <v>93337.229023338</v>
      </c>
      <c r="E186" s="114" t="n">
        <v>28805.7661125306</v>
      </c>
      <c r="F186" s="114" t="n">
        <v>2371.30105915616</v>
      </c>
      <c r="G186" s="114" t="n"/>
      <c r="H186" s="114" t="n">
        <v>4831.38185889315</v>
      </c>
      <c r="I186" s="114" t="n"/>
      <c r="J186" s="114" t="n">
        <v>111782.293604997</v>
      </c>
      <c r="K186" s="114" t="n">
        <v>7202.68291804931</v>
      </c>
      <c r="L186" s="114" t="n">
        <v>7202.68291804931</v>
      </c>
      <c r="M186" s="99" t="n"/>
    </row>
    <row r="187">
      <c r="C187" s="112" t="n">
        <v>44927</v>
      </c>
      <c r="D187" s="114" t="n">
        <v>80428.64987737199</v>
      </c>
      <c r="E187" s="114" t="n">
        <v>27839.4585870566</v>
      </c>
      <c r="F187" s="114" t="n">
        <v>2246.68944786885</v>
      </c>
      <c r="G187" s="114" t="n"/>
      <c r="H187" s="114" t="n">
        <v>5286.78018098361</v>
      </c>
      <c r="I187" s="114" t="n"/>
      <c r="J187" s="114" t="n">
        <v>95502.76753486339</v>
      </c>
      <c r="K187" s="114" t="n">
        <v>7533.46962885246</v>
      </c>
      <c r="L187" s="114" t="n">
        <v>7533.46962885246</v>
      </c>
      <c r="M187" s="99" t="n"/>
    </row>
    <row r="188">
      <c r="C188" s="112" t="n">
        <v>44958</v>
      </c>
      <c r="D188" s="114" t="n">
        <v>94928.0577261821</v>
      </c>
      <c r="E188" s="114" t="n">
        <v>29979.2015456114</v>
      </c>
      <c r="F188" s="114" t="n">
        <v>2360.54896472131</v>
      </c>
      <c r="G188" s="114" t="n"/>
      <c r="H188" s="114" t="n">
        <v>5330.76295344262</v>
      </c>
      <c r="I188" s="114" t="n"/>
      <c r="J188" s="114" t="n">
        <v>109756.969698623</v>
      </c>
      <c r="K188" s="114" t="n">
        <v>7691.311918163929</v>
      </c>
      <c r="L188" s="114" t="n">
        <v>7691.311918163929</v>
      </c>
      <c r="M188" s="99" t="n"/>
    </row>
    <row r="189">
      <c r="C189" s="112" t="n">
        <v>44986</v>
      </c>
      <c r="D189" s="114" t="n">
        <v>90862.30117792331</v>
      </c>
      <c r="E189" s="114" t="n">
        <v>29097.0078303024</v>
      </c>
      <c r="F189" s="114" t="n">
        <v>2176.08743973771</v>
      </c>
      <c r="G189" s="114" t="n"/>
      <c r="H189" s="114" t="n">
        <v>5632.04482797814</v>
      </c>
      <c r="I189" s="114" t="n"/>
      <c r="J189" s="114" t="n">
        <v>104620.700498536</v>
      </c>
      <c r="K189" s="114" t="n">
        <v>7808.132267715851</v>
      </c>
      <c r="L189" s="114" t="n">
        <v>7808.132267715851</v>
      </c>
      <c r="M189" s="99" t="n"/>
    </row>
    <row r="190">
      <c r="C190" s="112" t="n">
        <v>45017</v>
      </c>
      <c r="D190" s="114" t="n">
        <v>89379.47280084201</v>
      </c>
      <c r="E190" s="114" t="n">
        <v>27118.8137005969</v>
      </c>
      <c r="F190" s="114" t="n">
        <v>1884.54257311475</v>
      </c>
      <c r="G190" s="114" t="n"/>
      <c r="H190" s="114" t="n">
        <v>6592.68995497268</v>
      </c>
      <c r="I190" s="114" t="n"/>
      <c r="J190" s="114" t="n">
        <v>104571.543171497</v>
      </c>
      <c r="K190" s="114" t="n">
        <v>8477.23252808743</v>
      </c>
      <c r="L190" s="114" t="n">
        <v>8477.23252808743</v>
      </c>
      <c r="M190" s="99" t="n"/>
    </row>
    <row r="191">
      <c r="C191" s="112" t="n">
        <v>45047</v>
      </c>
      <c r="D191" s="114" t="n">
        <v>89818.8943085491</v>
      </c>
      <c r="E191" s="114" t="n">
        <v>26330.6170542406</v>
      </c>
      <c r="F191" s="114" t="n">
        <v>1789.52655318033</v>
      </c>
      <c r="G191" s="114" t="n"/>
      <c r="H191" s="114" t="n">
        <v>6817.75336778142</v>
      </c>
      <c r="I191" s="114" t="n"/>
      <c r="J191" s="114" t="n">
        <v>104373.43677412</v>
      </c>
      <c r="K191" s="114" t="n">
        <v>8607.27992096175</v>
      </c>
      <c r="L191" s="114" t="n">
        <v>8607.27992096175</v>
      </c>
      <c r="M191" s="99" t="n"/>
    </row>
    <row r="192">
      <c r="C192" s="112" t="n">
        <v>45078</v>
      </c>
      <c r="D192" s="114" t="n">
        <v>88021.44926382561</v>
      </c>
      <c r="E192" s="114" t="n">
        <v>25589.0167542496</v>
      </c>
      <c r="F192" s="114" t="n">
        <v>1580.67188668852</v>
      </c>
      <c r="G192" s="114" t="n"/>
      <c r="H192" s="114" t="n">
        <v>6699.03177302732</v>
      </c>
      <c r="I192" s="114" t="n"/>
      <c r="J192" s="114" t="n">
        <v>101431.863083366</v>
      </c>
      <c r="K192" s="114" t="n">
        <v>8279.70365971584</v>
      </c>
      <c r="L192" s="114" t="n">
        <v>8279.70365971584</v>
      </c>
      <c r="M192" s="99" t="n"/>
    </row>
    <row r="193">
      <c r="C193" s="112" t="n">
        <v>45108</v>
      </c>
      <c r="D193" s="114" t="n">
        <v>85807.5464401881</v>
      </c>
      <c r="E193" s="114" t="n">
        <v>25474.4542968395</v>
      </c>
      <c r="F193" s="114" t="n">
        <v>1649.07153206557</v>
      </c>
      <c r="G193" s="114" t="n"/>
      <c r="H193" s="114" t="n">
        <v>6490.38058177049</v>
      </c>
      <c r="I193" s="114" t="n"/>
      <c r="J193" s="114" t="n">
        <v>100994.218554754</v>
      </c>
      <c r="K193" s="114" t="n">
        <v>8139.45211383606</v>
      </c>
      <c r="L193" s="114" t="n">
        <v>8139.45211383606</v>
      </c>
      <c r="M193" s="99" t="n"/>
    </row>
    <row r="194">
      <c r="C194" s="112" t="n">
        <v>45139</v>
      </c>
      <c r="D194" s="114" t="n">
        <v>89188.39033612639</v>
      </c>
      <c r="E194" s="114" t="n">
        <v>26642.1568551732</v>
      </c>
      <c r="F194" s="114" t="n">
        <v>1447.866688</v>
      </c>
      <c r="G194" s="114" t="n"/>
      <c r="H194" s="114" t="n">
        <v>6945.33666133333</v>
      </c>
      <c r="I194" s="114" t="n"/>
      <c r="J194" s="114" t="n">
        <v>104766.999210667</v>
      </c>
      <c r="K194" s="114" t="n">
        <v>8393.203349333329</v>
      </c>
      <c r="L194" s="114" t="n">
        <v>8393.203349333329</v>
      </c>
      <c r="M194" s="99" t="n"/>
    </row>
    <row r="195">
      <c r="C195" s="112" t="n">
        <v>45170</v>
      </c>
      <c r="D195" s="114" t="n">
        <v>88112.2523560734</v>
      </c>
      <c r="E195" s="114" t="n">
        <v>27437.4493531088</v>
      </c>
      <c r="F195" s="114" t="n">
        <v>1526.93139409836</v>
      </c>
      <c r="G195" s="114" t="n"/>
      <c r="H195" s="114" t="n">
        <v>7616.53837219672</v>
      </c>
      <c r="I195" s="114" t="n">
        <v>1546.284864</v>
      </c>
      <c r="J195" s="114" t="n">
        <v>104374.823415607</v>
      </c>
      <c r="K195" s="114" t="n">
        <v>10689.75463029508</v>
      </c>
      <c r="L195" s="114" t="n">
        <v>9143.46976629508</v>
      </c>
      <c r="M195" s="99" t="n"/>
    </row>
    <row r="196">
      <c r="C196" s="112" t="n">
        <v>45200</v>
      </c>
      <c r="D196" s="114" t="n">
        <v>94220.0116327529</v>
      </c>
      <c r="E196" s="114" t="n">
        <v>29781.0872283543</v>
      </c>
      <c r="F196" s="114" t="n">
        <v>1863.870336</v>
      </c>
      <c r="G196" s="114" t="n"/>
      <c r="H196" s="114" t="n">
        <v>8429.58848</v>
      </c>
      <c r="I196" s="114" t="n">
        <v>1658.051648</v>
      </c>
      <c r="J196" s="114" t="n">
        <v>111768.498176</v>
      </c>
      <c r="K196" s="114" t="n">
        <v>11951.510464</v>
      </c>
      <c r="L196" s="114" t="n">
        <v>10293.458816</v>
      </c>
      <c r="M196" s="99" t="n"/>
    </row>
    <row r="197">
      <c r="C197" s="112" t="n">
        <v>45231</v>
      </c>
      <c r="D197" s="114" t="n">
        <v>95337.0918038371</v>
      </c>
      <c r="E197" s="114" t="n">
        <v>28689.2337264073</v>
      </c>
      <c r="F197" s="114" t="n">
        <v>1935.90676161749</v>
      </c>
      <c r="G197" s="114" t="n"/>
      <c r="H197" s="114" t="n">
        <v>8443.70036528962</v>
      </c>
      <c r="I197" s="114" t="n">
        <v>1698.36211794536</v>
      </c>
      <c r="J197" s="114" t="n">
        <v>111996.671966426</v>
      </c>
      <c r="K197" s="114" t="n">
        <v>12077.96924485247</v>
      </c>
      <c r="L197" s="114" t="n">
        <v>10379.60712690711</v>
      </c>
      <c r="M197" s="99" t="n"/>
    </row>
    <row r="198">
      <c r="C198" s="112" t="n">
        <v>45261</v>
      </c>
      <c r="D198" s="114" t="n">
        <v>100187.538338538</v>
      </c>
      <c r="E198" s="114" t="n">
        <v>29546.262293585</v>
      </c>
      <c r="F198" s="114" t="n">
        <v>1816.09713119126</v>
      </c>
      <c r="G198" s="114" t="n"/>
      <c r="H198" s="114" t="n">
        <v>7682.22928437158</v>
      </c>
      <c r="I198" s="114" t="n">
        <v>1473.36274780328</v>
      </c>
      <c r="J198" s="114" t="n">
        <v>117169.818058842</v>
      </c>
      <c r="K198" s="114" t="n">
        <v>10971.68916336612</v>
      </c>
      <c r="L198" s="114" t="n">
        <v>9498.32641556284</v>
      </c>
      <c r="M198" s="99" t="n"/>
    </row>
    <row r="199">
      <c r="C199" s="112" t="n">
        <v>45292</v>
      </c>
      <c r="D199" s="114" t="n">
        <v>95929.16575689591</v>
      </c>
      <c r="E199" s="114" t="n">
        <v>29813.1328602194</v>
      </c>
      <c r="F199" s="114" t="n">
        <v>1670.51181939726</v>
      </c>
      <c r="G199" s="114" t="n"/>
      <c r="H199" s="114" t="n">
        <v>7507.26903583562</v>
      </c>
      <c r="I199" s="114" t="n">
        <v>1426.03138454795</v>
      </c>
      <c r="J199" s="114" t="n">
        <v>111066.214119452</v>
      </c>
      <c r="K199" s="114" t="n">
        <v>10603.81223978083</v>
      </c>
      <c r="L199" s="114" t="n">
        <v>9177.780855232881</v>
      </c>
      <c r="M199" s="99" t="n"/>
    </row>
    <row r="200">
      <c r="C200" s="112" t="n">
        <v>45323</v>
      </c>
      <c r="D200" s="114" t="n">
        <v>95003.53727433219</v>
      </c>
      <c r="E200" s="114" t="n">
        <v>29187.809850116</v>
      </c>
      <c r="F200" s="114" t="n">
        <v>1528.11175907945</v>
      </c>
      <c r="G200" s="114" t="n"/>
      <c r="H200" s="114" t="n">
        <v>7429.97645396164</v>
      </c>
      <c r="I200" s="114" t="n">
        <v>1364.35272170959</v>
      </c>
      <c r="J200" s="114" t="n">
        <v>110178.972960964</v>
      </c>
      <c r="K200" s="114" t="n">
        <v>10322.44093475068</v>
      </c>
      <c r="L200" s="114" t="n">
        <v>8958.08821304109</v>
      </c>
      <c r="M200" s="99" t="n"/>
    </row>
    <row r="201">
      <c r="C201" s="112" t="n">
        <v>45352</v>
      </c>
      <c r="D201" s="114" t="n">
        <v>91684.1681568982</v>
      </c>
      <c r="E201" s="114" t="n">
        <v>27849.5495720741</v>
      </c>
      <c r="F201" s="114" t="n">
        <v>1754.27628536986</v>
      </c>
      <c r="G201" s="114" t="n"/>
      <c r="H201" s="114" t="n">
        <v>6999.60417770959</v>
      </c>
      <c r="I201" s="114" t="n">
        <v>1341.47930546849</v>
      </c>
      <c r="J201" s="114" t="n">
        <v>109209.028063737</v>
      </c>
      <c r="K201" s="114" t="n">
        <v>10095.35976854794</v>
      </c>
      <c r="L201" s="114" t="n">
        <v>8753.880463079449</v>
      </c>
      <c r="M201" s="99" t="n"/>
    </row>
    <row r="202">
      <c r="C202" s="112" t="n">
        <v>45383</v>
      </c>
      <c r="D202" s="114" t="n">
        <v>100424.801224771</v>
      </c>
      <c r="E202" s="114" t="n">
        <v>30546.3561837988</v>
      </c>
      <c r="F202" s="114" t="n">
        <v>2033.58868865753</v>
      </c>
      <c r="G202" s="114" t="n"/>
      <c r="H202" s="114" t="n">
        <v>7539.21388010959</v>
      </c>
      <c r="I202" s="114" t="n">
        <v>1233.10124887671</v>
      </c>
      <c r="J202" s="114" t="n">
        <v>117013.356880658</v>
      </c>
      <c r="K202" s="114" t="n">
        <v>10805.90381764383</v>
      </c>
      <c r="L202" s="114" t="n">
        <v>9572.80256876712</v>
      </c>
      <c r="M202" s="99" t="n"/>
    </row>
    <row r="203">
      <c r="C203" s="112" t="n">
        <v>45413</v>
      </c>
      <c r="D203" s="114" t="n">
        <v>96521.7555952557</v>
      </c>
      <c r="E203" s="114" t="n">
        <v>29622.1865202115</v>
      </c>
      <c r="F203" s="114" t="n">
        <v>1960.49130257534</v>
      </c>
      <c r="G203" s="114" t="n"/>
      <c r="H203" s="114" t="n">
        <v>7400.50596120548</v>
      </c>
      <c r="I203" s="114" t="n">
        <v>1316.03452072329</v>
      </c>
      <c r="J203" s="114" t="n">
        <v>112242.988769841</v>
      </c>
      <c r="K203" s="114" t="n">
        <v>10677.03178450411</v>
      </c>
      <c r="L203" s="114" t="n">
        <v>9360.997263780821</v>
      </c>
      <c r="M203" s="99" t="n"/>
    </row>
    <row r="204">
      <c r="C204" s="112" t="n">
        <v>45444</v>
      </c>
      <c r="D204" s="114" t="n">
        <v>91041.7098165104</v>
      </c>
      <c r="E204" s="114" t="n">
        <v>29058.4153921932</v>
      </c>
      <c r="F204" s="114" t="n">
        <v>1956.9395270137</v>
      </c>
      <c r="G204" s="114" t="n"/>
      <c r="H204" s="114" t="n">
        <v>7269.48356348493</v>
      </c>
      <c r="I204" s="114" t="n">
        <v>1277.93129906849</v>
      </c>
      <c r="J204" s="114" t="n">
        <v>106349.603147047</v>
      </c>
      <c r="K204" s="114" t="n">
        <v>10504.35438956712</v>
      </c>
      <c r="L204" s="114" t="n">
        <v>9226.423090498629</v>
      </c>
      <c r="M204" s="99" t="n"/>
    </row>
    <row r="205">
      <c r="C205" s="112" t="n">
        <v>45474</v>
      </c>
      <c r="D205" s="114" t="n">
        <v>101998.068524759</v>
      </c>
      <c r="E205" s="114" t="n">
        <v>30154.9579791481</v>
      </c>
      <c r="F205" s="114" t="n">
        <v>2162.57608065753</v>
      </c>
      <c r="G205" s="114" t="n"/>
      <c r="H205" s="114" t="n">
        <v>6812.78445904658</v>
      </c>
      <c r="I205" s="114" t="n">
        <v>1246.91837475068</v>
      </c>
      <c r="J205" s="114" t="n">
        <v>120957.61062926</v>
      </c>
      <c r="K205" s="114" t="n">
        <v>10222.27891445479</v>
      </c>
      <c r="L205" s="114" t="n">
        <v>8975.36053970411</v>
      </c>
      <c r="M205" s="99" t="n"/>
    </row>
    <row r="206">
      <c r="C206" s="112" t="n">
        <v>45505</v>
      </c>
      <c r="D206" s="114" t="n">
        <v>94043.86038281499</v>
      </c>
      <c r="E206" s="114" t="n">
        <v>28540.2016501304</v>
      </c>
      <c r="F206" s="114" t="n">
        <v>2531.27965755616</v>
      </c>
      <c r="G206" s="114" t="n"/>
      <c r="H206" s="114" t="n">
        <v>6694.9791673863</v>
      </c>
      <c r="I206" s="114" t="n">
        <v>1127.87945205479</v>
      </c>
      <c r="J206" s="114" t="n">
        <v>110163.620861195</v>
      </c>
      <c r="K206" s="114" t="n">
        <v>10354.13827699725</v>
      </c>
      <c r="L206" s="114" t="n">
        <v>9226.258824942461</v>
      </c>
      <c r="M206" s="99" t="n"/>
    </row>
    <row r="207">
      <c r="C207" s="112" t="n">
        <v>45536</v>
      </c>
      <c r="D207" s="114" t="n">
        <v>85356.3788830976</v>
      </c>
      <c r="E207" s="114" t="n">
        <v>27009.5597759625</v>
      </c>
      <c r="F207" s="114" t="n">
        <v>3226.89890121644</v>
      </c>
      <c r="G207" s="114" t="n"/>
      <c r="H207" s="114" t="n">
        <v>6547.32646961096</v>
      </c>
      <c r="I207" s="114" t="n">
        <v>1137.97736539178</v>
      </c>
      <c r="J207" s="114" t="n">
        <v>100261.33363726</v>
      </c>
      <c r="K207" s="114" t="n">
        <v>10912.20273621918</v>
      </c>
      <c r="L207" s="114" t="n">
        <v>9774.2253708274</v>
      </c>
      <c r="M207" s="99" t="n"/>
    </row>
    <row r="208">
      <c r="C208" s="112" t="n">
        <v>45566</v>
      </c>
      <c r="D208" s="114" t="n">
        <v>89788.7905143947</v>
      </c>
      <c r="E208" s="114" t="n">
        <v>27629.9364588461</v>
      </c>
      <c r="F208" s="114" t="n">
        <v>2984.25161792877</v>
      </c>
      <c r="G208" s="114" t="n"/>
      <c r="H208" s="114" t="n">
        <v>6485.1228531726</v>
      </c>
      <c r="I208" s="114" t="n">
        <v>1055.88435690959</v>
      </c>
      <c r="J208" s="114" t="n">
        <v>104809.442396581</v>
      </c>
      <c r="K208" s="114" t="n">
        <v>10525.25882801096</v>
      </c>
      <c r="L208" s="114" t="n">
        <v>9469.37447110137</v>
      </c>
      <c r="M208" s="99" t="n"/>
    </row>
    <row r="209">
      <c r="C209" s="112" t="n">
        <v>45597</v>
      </c>
      <c r="D209" s="114" t="n">
        <v>94491.89439426421</v>
      </c>
      <c r="E209" s="114" t="n">
        <v>29600.8240345202</v>
      </c>
      <c r="F209" s="114" t="n">
        <v>3064.40596900822</v>
      </c>
      <c r="G209" s="114" t="n"/>
      <c r="H209" s="114" t="n">
        <v>6366.21684848219</v>
      </c>
      <c r="I209" s="114" t="n">
        <v>1085.16334325479</v>
      </c>
      <c r="J209" s="114" t="n">
        <v>109291.340741085</v>
      </c>
      <c r="K209" s="114" t="n">
        <v>10515.7861607452</v>
      </c>
      <c r="L209" s="114" t="n">
        <v>9430.62281749041</v>
      </c>
      <c r="M209" s="99" t="n"/>
    </row>
    <row r="210">
      <c r="C210" s="112" t="n">
        <v>45627</v>
      </c>
      <c r="D210" s="114" t="n">
        <v>96035.69188604951</v>
      </c>
      <c r="E210" s="114" t="n">
        <v>29864.4831072854</v>
      </c>
      <c r="F210" s="114" t="n">
        <v>2403.109888</v>
      </c>
      <c r="G210" s="114" t="n"/>
      <c r="H210" s="114" t="n">
        <v>5305.639936</v>
      </c>
      <c r="I210" s="114" t="n">
        <v>998.428992</v>
      </c>
      <c r="J210" s="114" t="n">
        <v>112997.998592</v>
      </c>
      <c r="K210" s="114" t="n">
        <v>8707.178816</v>
      </c>
      <c r="L210" s="114" t="n">
        <v>7708.749824</v>
      </c>
      <c r="M210" s="99" t="n"/>
    </row>
    <row r="211">
      <c r="C211" s="112" t="n">
        <v>45658</v>
      </c>
      <c r="D211" s="114" t="n">
        <v>97370.64482178009</v>
      </c>
      <c r="E211" s="114" t="n">
        <v>29278.3468063418</v>
      </c>
      <c r="F211" s="114" t="n">
        <v>2318.00409494795</v>
      </c>
      <c r="G211" s="114" t="n"/>
      <c r="H211" s="114" t="n">
        <v>4891.4213817863</v>
      </c>
      <c r="I211" s="114" t="n">
        <v>1038.83838001096</v>
      </c>
      <c r="J211" s="114" t="n">
        <v>114077.482671342</v>
      </c>
      <c r="K211" s="114" t="n">
        <v>8248.26385674521</v>
      </c>
      <c r="L211" s="114" t="n">
        <v>7209.42547673425</v>
      </c>
      <c r="M211" s="99" t="n"/>
    </row>
    <row r="212">
      <c r="C212" s="112" t="n">
        <v>45689</v>
      </c>
      <c r="D212" s="114" t="n">
        <v>99413.2251526841</v>
      </c>
      <c r="E212" s="114" t="n">
        <v>29436.8131068519</v>
      </c>
      <c r="F212" s="114" t="n">
        <v>2455.0280332274</v>
      </c>
      <c r="G212" s="114" t="n"/>
      <c r="H212" s="114" t="n">
        <v>4966.23884905206</v>
      </c>
      <c r="I212" s="114" t="n">
        <v>1016.26655316164</v>
      </c>
      <c r="J212" s="114" t="n">
        <v>115777.270893414</v>
      </c>
      <c r="K212" s="114" t="n">
        <v>8437.533435441101</v>
      </c>
      <c r="L212" s="114" t="n">
        <v>7421.26688227946</v>
      </c>
      <c r="M212" s="99" t="n"/>
    </row>
    <row r="213">
      <c r="C213" s="112" t="n">
        <v>45717</v>
      </c>
      <c r="D213" s="114" t="n">
        <v>97594.92413912871</v>
      </c>
      <c r="E213" s="114" t="n">
        <v>29278.2496750191</v>
      </c>
      <c r="F213" s="114" t="n">
        <v>2466.40395221918</v>
      </c>
      <c r="G213" s="114" t="n"/>
      <c r="H213" s="114" t="n">
        <v>5047.15118465753</v>
      </c>
      <c r="I213" s="114" t="n">
        <v>1017.65637961644</v>
      </c>
      <c r="J213" s="114" t="n">
        <v>114436.165014795</v>
      </c>
      <c r="K213" s="114" t="n">
        <v>8531.211516493149</v>
      </c>
      <c r="L213" s="114" t="n">
        <v>7513.55513687671</v>
      </c>
      <c r="M213" s="99" t="n"/>
    </row>
    <row r="214">
      <c r="C214" s="112" t="n">
        <v>45748</v>
      </c>
      <c r="D214" s="114" t="n">
        <v>83356.3737068637</v>
      </c>
      <c r="E214" s="114" t="n">
        <v>24365.0599452765</v>
      </c>
      <c r="F214" s="114" t="n">
        <v>2036.07574794521</v>
      </c>
      <c r="G214" s="114" t="n"/>
      <c r="H214" s="114" t="n">
        <v>4503.34595857534</v>
      </c>
      <c r="I214" s="114" t="n">
        <v>761.5695114520551</v>
      </c>
      <c r="J214" s="114" t="n">
        <v>98053.55170717811</v>
      </c>
      <c r="K214" s="114" t="n">
        <v>7300.991217972605</v>
      </c>
      <c r="L214" s="114" t="n">
        <v>6539.42170652055</v>
      </c>
      <c r="M214" s="99" t="n"/>
    </row>
    <row r="215">
      <c r="C215" s="112" t="n">
        <v>45778</v>
      </c>
      <c r="D215" s="114" t="n">
        <v>79562.9342821914</v>
      </c>
      <c r="E215" s="114" t="n">
        <v>24243.1191738377</v>
      </c>
      <c r="F215" s="114" t="n">
        <v>2003.64970432877</v>
      </c>
      <c r="G215" s="114" t="n"/>
      <c r="H215" s="114" t="n">
        <v>4789.5121709589</v>
      </c>
      <c r="I215" s="114" t="n">
        <v>763.0470873424661</v>
      </c>
      <c r="J215" s="114" t="n">
        <v>93733.7573768767</v>
      </c>
      <c r="K215" s="114" t="n">
        <v>7556.208962630137</v>
      </c>
      <c r="L215" s="114" t="n">
        <v>6793.16187528767</v>
      </c>
      <c r="M215" s="99" t="n"/>
    </row>
    <row r="216">
      <c r="C216" s="112" t="n">
        <v>45809</v>
      </c>
      <c r="D216" s="114" t="n">
        <v>78934.82277916541</v>
      </c>
      <c r="E216" s="114" t="n">
        <v>24371.6745925219</v>
      </c>
      <c r="F216" s="114" t="n">
        <v>2026.30281398356</v>
      </c>
      <c r="G216" s="114" t="n"/>
      <c r="H216" s="114" t="n">
        <v>5165.29689109041</v>
      </c>
      <c r="I216" s="114" t="n">
        <v>779.811342728767</v>
      </c>
      <c r="J216" s="114" t="n">
        <v>93223.5627814575</v>
      </c>
      <c r="K216" s="114" t="n">
        <v>7971.411047802737</v>
      </c>
      <c r="L216" s="114" t="n">
        <v>7191.59970507397</v>
      </c>
      <c r="M216" s="99" t="n"/>
    </row>
    <row r="217">
      <c r="C217" s="112" t="n">
        <v>45839</v>
      </c>
      <c r="D217" s="114" t="n">
        <v>75155.59199942309</v>
      </c>
      <c r="E217" s="114" t="n">
        <v>24628.1186664759</v>
      </c>
      <c r="F217" s="114" t="n">
        <v>2092.18633854247</v>
      </c>
      <c r="G217" s="114" t="n"/>
      <c r="H217" s="114" t="n">
        <v>5187.7694905863</v>
      </c>
      <c r="I217" s="114" t="n">
        <v>746.945303671233</v>
      </c>
      <c r="J217" s="114" t="n">
        <v>88335.6600067507</v>
      </c>
      <c r="K217" s="114" t="n">
        <v>8026.901132800003</v>
      </c>
      <c r="L217" s="114" t="n">
        <v>7279.95582912877</v>
      </c>
      <c r="M217" s="99" t="n"/>
    </row>
    <row r="218">
      <c r="C218" s="112" t="n">
        <v>45870</v>
      </c>
      <c r="D218" s="114" t="n">
        <v>68013.3363593627</v>
      </c>
      <c r="E218" s="114" t="n">
        <v>22988.5333720822</v>
      </c>
      <c r="F218" s="114" t="n">
        <v>2041.9071021589</v>
      </c>
      <c r="G218" s="114" t="n"/>
      <c r="H218" s="114" t="n">
        <v>4946.72524554521</v>
      </c>
      <c r="I218" s="114" t="n">
        <v>688.346725347945</v>
      </c>
      <c r="J218" s="114" t="n">
        <v>79629.45305950681</v>
      </c>
      <c r="K218" s="114" t="n">
        <v>7676.979073052054</v>
      </c>
      <c r="L218" s="114" t="n">
        <v>6988.63234770411</v>
      </c>
      <c r="M218" s="99" t="n"/>
    </row>
    <row r="219">
      <c r="C219" s="112" t="n">
        <v>45901</v>
      </c>
      <c r="D219" s="114" t="n">
        <v>68570.3855872596</v>
      </c>
      <c r="E219" s="114" t="n">
        <v>22686.6585767034</v>
      </c>
      <c r="F219" s="114" t="n">
        <v>1968.94765869589</v>
      </c>
      <c r="G219" s="114" t="n"/>
      <c r="H219" s="114" t="n">
        <v>5281.06460230137</v>
      </c>
      <c r="I219" s="114" t="n">
        <v>644.623933019178</v>
      </c>
      <c r="J219" s="114" t="n">
        <v>80098.1294991781</v>
      </c>
      <c r="K219" s="114" t="n">
        <v>7894.636194016438</v>
      </c>
      <c r="L219" s="114" t="n">
        <v>7250.01226099726</v>
      </c>
      <c r="M219" s="99" t="n"/>
    </row>
    <row r="220">
      <c r="C220" s="112" t="n">
        <v>45931</v>
      </c>
      <c r="D220" s="114" t="n">
        <v>70552.6881284765</v>
      </c>
      <c r="E220" s="114" t="n">
        <v>23123.5735169821</v>
      </c>
      <c r="F220" s="114" t="n">
        <v>1620.55976819726</v>
      </c>
      <c r="G220" s="114" t="n"/>
      <c r="H220" s="114" t="n">
        <v>5060.33346349589</v>
      </c>
      <c r="I220" s="114" t="n">
        <v>613.924544175343</v>
      </c>
      <c r="J220" s="114" t="n">
        <v>82245.791194126</v>
      </c>
      <c r="K220" s="114" t="n">
        <v>7294.817775868492</v>
      </c>
      <c r="L220" s="114" t="n">
        <v>6680.89323169315</v>
      </c>
      <c r="M220" s="99" t="n"/>
    </row>
    <row r="221">
      <c r="C221" s="112" t="n">
        <v>45962</v>
      </c>
      <c r="D221" s="114" t="n">
        <v>64896.1894050892</v>
      </c>
      <c r="E221" s="114" t="n">
        <v>22764.3740478956</v>
      </c>
      <c r="F221" s="114" t="n">
        <v>1319.67258581918</v>
      </c>
      <c r="G221" s="114" t="n"/>
      <c r="H221" s="114" t="n">
        <v>5236.0928326137</v>
      </c>
      <c r="I221" s="114" t="n">
        <v>557.476712328767</v>
      </c>
      <c r="J221" s="114" t="n">
        <v>74888.78180155619</v>
      </c>
      <c r="K221" s="114" t="n">
        <v>7113.242130761648</v>
      </c>
      <c r="L221" s="114" t="n">
        <v>6555.76541843288</v>
      </c>
      <c r="M221" s="99" t="n"/>
    </row>
    <row r="222">
      <c r="C222" s="112" t="n">
        <v>45992</v>
      </c>
      <c r="D222" s="114" t="n">
        <v>60921.4262587754</v>
      </c>
      <c r="E222" s="114" t="n">
        <v>22859.1884169585</v>
      </c>
      <c r="F222" s="114" t="n">
        <v>1234.749952</v>
      </c>
      <c r="G222" s="114" t="n"/>
      <c r="H222" s="114" t="n">
        <v>4099.000064</v>
      </c>
      <c r="I222" s="114" t="n">
        <v>410.544992</v>
      </c>
      <c r="J222" s="114" t="n">
        <v>71944.60159999999</v>
      </c>
      <c r="K222" s="114" t="n">
        <v>5744.295008</v>
      </c>
      <c r="L222" s="114" t="n">
        <v>5333.750016</v>
      </c>
      <c r="M222" s="99" t="n"/>
    </row>
    <row r="223">
      <c r="C223" s="112" t="n">
        <v>46023</v>
      </c>
      <c r="D223" s="114" t="n">
        <v>59573.0775264635</v>
      </c>
      <c r="E223" s="114" t="n">
        <v>23899.0290112135</v>
      </c>
      <c r="F223" s="114" t="n">
        <v>1315.31102684931</v>
      </c>
      <c r="G223" s="114" t="n"/>
      <c r="H223" s="114" t="n">
        <v>4357.25712482192</v>
      </c>
      <c r="I223" s="114" t="n">
        <v>354.486971616438</v>
      </c>
      <c r="J223" s="114" t="n">
        <v>69518.9190908493</v>
      </c>
      <c r="K223" s="114" t="n">
        <v>6027.055123287668</v>
      </c>
      <c r="L223" s="114" t="n">
        <v>5672.56815167123</v>
      </c>
      <c r="M223" s="99" t="n"/>
    </row>
    <row r="224">
      <c r="C224" s="112" t="n">
        <v>46054</v>
      </c>
      <c r="D224" s="114" t="n">
        <v>67165.21361087151</v>
      </c>
      <c r="E224" s="114" t="n">
        <v>25065.0820117514</v>
      </c>
      <c r="F224" s="114" t="n">
        <v>1199.24954336438</v>
      </c>
      <c r="G224" s="114" t="n"/>
      <c r="H224" s="114" t="n">
        <v>4530.09320819726</v>
      </c>
      <c r="I224" s="114" t="n">
        <v>376.406389041096</v>
      </c>
      <c r="J224" s="114" t="n">
        <v>78513.4330865973</v>
      </c>
      <c r="K224" s="114" t="n">
        <v>6105.749140602736</v>
      </c>
      <c r="L224" s="114" t="n">
        <v>5729.342751561639</v>
      </c>
      <c r="M224" s="99" t="n"/>
    </row>
    <row r="225">
      <c r="C225" s="112" t="n">
        <v>46082</v>
      </c>
      <c r="D225" s="114" t="n">
        <v>97087.7702336677</v>
      </c>
      <c r="E225" s="114" t="n">
        <v>31513.3955390524</v>
      </c>
      <c r="F225" s="114" t="n">
        <v>1697.98694224658</v>
      </c>
      <c r="G225" s="114" t="n"/>
      <c r="H225" s="114" t="n">
        <v>7481.34059134247</v>
      </c>
      <c r="I225" s="114" t="n">
        <v>422.313688986301</v>
      </c>
      <c r="J225" s="114" t="n">
        <v>112627.275467397</v>
      </c>
      <c r="K225" s="114" t="n">
        <v>9601.641222575352</v>
      </c>
      <c r="L225" s="114" t="n">
        <v>9179.32753358905</v>
      </c>
      <c r="M225" s="99" t="n"/>
    </row>
    <row r="226">
      <c r="C226" s="112" t="n">
        <v>46113</v>
      </c>
      <c r="D226" s="114" t="n">
        <v>107975.190914209</v>
      </c>
      <c r="E226" s="114" t="n">
        <v>33148.1585961502</v>
      </c>
      <c r="F226" s="114" t="n">
        <v>1775.81847145205</v>
      </c>
      <c r="G226" s="114" t="n"/>
      <c r="H226" s="114" t="n">
        <v>8639.0911929863</v>
      </c>
      <c r="I226" s="114" t="n">
        <v>616.684920986301</v>
      </c>
      <c r="J226" s="114" t="n">
        <v>124791.851092164</v>
      </c>
      <c r="K226" s="114" t="n">
        <v>11031.59458542465</v>
      </c>
      <c r="L226" s="114" t="n">
        <v>10414.90966443835</v>
      </c>
      <c r="M226" s="99" t="n"/>
    </row>
    <row r="227">
      <c r="C227" s="112" t="n">
        <v>46143</v>
      </c>
      <c r="D227" s="114" t="n">
        <v>106431.88100599</v>
      </c>
      <c r="E227" s="114" t="n">
        <v>31211.9427786988</v>
      </c>
      <c r="F227" s="114" t="n">
        <v>1721.20586660822</v>
      </c>
      <c r="G227" s="114" t="n"/>
      <c r="H227" s="114" t="n">
        <v>8158.51471605479</v>
      </c>
      <c r="I227" s="114" t="n">
        <v>623.862465753425</v>
      </c>
      <c r="J227" s="114" t="n">
        <v>126941.601410455</v>
      </c>
      <c r="K227" s="114" t="n">
        <v>10503.58304841644</v>
      </c>
      <c r="L227" s="114" t="n">
        <v>9879.720582663011</v>
      </c>
      <c r="M227" s="99" t="n"/>
    </row>
    <row r="228">
      <c r="C228" s="112" t="n">
        <v>46174</v>
      </c>
      <c r="D228" s="114" t="n">
        <v>104108.924582038</v>
      </c>
      <c r="E228" s="114" t="n">
        <v>29625.2963262043</v>
      </c>
      <c r="F228" s="114" t="n">
        <v>1544.89565983562</v>
      </c>
      <c r="G228" s="114" t="n"/>
      <c r="H228" s="114" t="n">
        <v>8552.46147331507</v>
      </c>
      <c r="I228" s="114" t="n">
        <v>612.1027475287671</v>
      </c>
      <c r="J228" s="114" t="n">
        <v>123220.997723178</v>
      </c>
      <c r="K228" s="114" t="n">
        <v>10709.45988067946</v>
      </c>
      <c r="L228" s="114" t="n">
        <v>10097.35713315069</v>
      </c>
      <c r="M228" s="99" t="n"/>
    </row>
    <row r="229">
      <c r="C229" s="112" t="n">
        <v>46204</v>
      </c>
      <c r="D229" s="114" t="n">
        <v>105934.636028838</v>
      </c>
      <c r="E229" s="114" t="n">
        <v>30945.8759482539</v>
      </c>
      <c r="F229" s="114" t="n">
        <v>1321.8320268274</v>
      </c>
      <c r="G229" s="114" t="n"/>
      <c r="H229" s="114" t="n">
        <v>8129.10462246575</v>
      </c>
      <c r="I229" s="114" t="n">
        <v>512.069933413699</v>
      </c>
      <c r="J229" s="114" t="n">
        <v>125102.000189721</v>
      </c>
      <c r="K229" s="114" t="n">
        <v>9963.00658270685</v>
      </c>
      <c r="L229" s="114" t="n">
        <v>9450.936649293151</v>
      </c>
      <c r="M229" s="99" t="n"/>
    </row>
    <row r="230">
      <c r="C230" s="112" t="n">
        <v>46235</v>
      </c>
      <c r="D230" s="114" t="n">
        <v>109063.633669519</v>
      </c>
      <c r="E230" s="114" t="n">
        <v>31474.8151694147</v>
      </c>
      <c r="F230" s="114" t="n">
        <v>1414.95880977534</v>
      </c>
      <c r="G230" s="114" t="n"/>
      <c r="H230" s="114" t="n">
        <v>7165.47762007671</v>
      </c>
      <c r="I230" s="114" t="n">
        <v>468.23050669589</v>
      </c>
      <c r="J230" s="114" t="n">
        <v>127708.484178762</v>
      </c>
      <c r="K230" s="114" t="n">
        <v>9048.666936547941</v>
      </c>
      <c r="L230" s="114" t="n">
        <v>8580.43642985205</v>
      </c>
      <c r="M230" s="99" t="n"/>
    </row>
    <row r="231">
      <c r="C231" s="115" t="n">
        <v>46266</v>
      </c>
      <c r="D231" s="117" t="n">
        <v>110049.060790029</v>
      </c>
      <c r="E231" s="117" t="n">
        <v>31592.4235889194</v>
      </c>
      <c r="F231" s="117" t="n">
        <v>1429.52633372055</v>
      </c>
      <c r="G231" s="117" t="n"/>
      <c r="H231" s="117" t="n">
        <v>7152.35121376438</v>
      </c>
      <c r="I231" s="117" t="n">
        <v>467.541994432877</v>
      </c>
      <c r="J231" s="117" t="n">
        <v>127881.287865162</v>
      </c>
      <c r="K231" s="117" t="n">
        <v>9049.419541917807</v>
      </c>
      <c r="L231" s="117" t="n">
        <v>8581.87754748493</v>
      </c>
      <c r="M231" s="99" t="n"/>
    </row>
    <row r="232"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</row>
    <row r="233">
      <c r="C233" s="74" t="inlineStr">
        <is>
          <t>Base auxiliar do gráfico</t>
        </is>
      </c>
      <c r="D233" s="75" t="n"/>
      <c r="E233" s="75" t="n"/>
      <c r="F233" s="75" t="n"/>
      <c r="G233" s="76" t="n"/>
      <c r="H233" s="99" t="n"/>
      <c r="I233" s="99" t="n"/>
      <c r="J233" s="99" t="n"/>
      <c r="K233" s="99" t="n"/>
      <c r="L233" s="99" t="n"/>
      <c r="M233" s="99" t="n"/>
    </row>
    <row r="234"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</row>
    <row r="235">
      <c r="C235" s="11" t="inlineStr">
        <is>
          <t>month_label</t>
        </is>
      </c>
      <c r="D235" s="11" t="inlineStr">
        <is>
          <t>Energy reported</t>
        </is>
      </c>
      <c r="E235" s="11" t="inlineStr">
        <is>
          <t>Petrobras</t>
        </is>
      </c>
      <c r="F235" s="11" t="inlineStr">
        <is>
          <t>Ex-Petrobras dynamic</t>
        </is>
      </c>
      <c r="G235" s="11" t="inlineStr">
        <is>
          <t>Ex-Petrobras core (PRIO + Brava)</t>
        </is>
      </c>
      <c r="H235" s="99" t="n"/>
      <c r="I235" s="99" t="n"/>
      <c r="J235" s="99" t="n"/>
      <c r="K235" s="99" t="n"/>
      <c r="L235" s="99" t="n"/>
      <c r="M235" s="99" t="n"/>
    </row>
    <row r="236">
      <c r="C236" s="6" t="inlineStr">
        <is>
          <t>2008-01</t>
        </is>
      </c>
      <c r="D236" s="6">
        <f>D7</f>
        <v/>
      </c>
      <c r="E236" s="6">
        <f>J7</f>
        <v/>
      </c>
      <c r="F236" s="6">
        <f>K7</f>
        <v/>
      </c>
      <c r="G236" s="6">
        <f>L7</f>
        <v/>
      </c>
      <c r="H236" s="99" t="n"/>
      <c r="I236" s="99" t="n"/>
      <c r="J236" s="99" t="n"/>
      <c r="K236" s="99" t="n"/>
      <c r="L236" s="99" t="n"/>
      <c r="M236" s="99" t="n"/>
    </row>
    <row r="237">
      <c r="C237" s="6" t="inlineStr">
        <is>
          <t>2008-02</t>
        </is>
      </c>
      <c r="D237" s="6">
        <f>D8</f>
        <v/>
      </c>
      <c r="E237" s="6">
        <f>J8</f>
        <v/>
      </c>
      <c r="F237" s="6">
        <f>K8</f>
        <v/>
      </c>
      <c r="G237" s="6">
        <f>L8</f>
        <v/>
      </c>
      <c r="H237" s="99" t="n"/>
      <c r="I237" s="99" t="n"/>
      <c r="J237" s="99" t="n"/>
      <c r="K237" s="99" t="n"/>
      <c r="L237" s="99" t="n"/>
      <c r="M237" s="99" t="n"/>
    </row>
    <row r="238">
      <c r="C238" s="6" t="inlineStr">
        <is>
          <t>2008-03</t>
        </is>
      </c>
      <c r="D238" s="6">
        <f>D9</f>
        <v/>
      </c>
      <c r="E238" s="6">
        <f>J9</f>
        <v/>
      </c>
      <c r="F238" s="6">
        <f>K9</f>
        <v/>
      </c>
      <c r="G238" s="6">
        <f>L9</f>
        <v/>
      </c>
      <c r="H238" s="99" t="n"/>
      <c r="I238" s="99" t="n"/>
      <c r="J238" s="99" t="n"/>
      <c r="K238" s="99" t="n"/>
      <c r="L238" s="99" t="n"/>
      <c r="M238" s="99" t="n"/>
    </row>
    <row r="239">
      <c r="C239" s="6" t="inlineStr">
        <is>
          <t>2008-04</t>
        </is>
      </c>
      <c r="D239" s="6">
        <f>D10</f>
        <v/>
      </c>
      <c r="E239" s="6">
        <f>J10</f>
        <v/>
      </c>
      <c r="F239" s="6">
        <f>K10</f>
        <v/>
      </c>
      <c r="G239" s="6">
        <f>L10</f>
        <v/>
      </c>
      <c r="H239" s="99" t="n"/>
      <c r="I239" s="99" t="n"/>
      <c r="J239" s="99" t="n"/>
      <c r="K239" s="99" t="n"/>
      <c r="L239" s="99" t="n"/>
      <c r="M239" s="99" t="n"/>
    </row>
    <row r="240">
      <c r="C240" s="6" t="inlineStr">
        <is>
          <t>2008-05</t>
        </is>
      </c>
      <c r="D240" s="6">
        <f>D11</f>
        <v/>
      </c>
      <c r="E240" s="6">
        <f>J11</f>
        <v/>
      </c>
      <c r="F240" s="6">
        <f>K11</f>
        <v/>
      </c>
      <c r="G240" s="6">
        <f>L11</f>
        <v/>
      </c>
      <c r="H240" s="99" t="n"/>
      <c r="I240" s="99" t="n"/>
      <c r="J240" s="99" t="n"/>
      <c r="K240" s="99" t="n"/>
      <c r="L240" s="99" t="n"/>
      <c r="M240" s="99" t="n"/>
    </row>
    <row r="241">
      <c r="C241" s="6" t="inlineStr">
        <is>
          <t>2008-06</t>
        </is>
      </c>
      <c r="D241" s="6">
        <f>D12</f>
        <v/>
      </c>
      <c r="E241" s="6">
        <f>J12</f>
        <v/>
      </c>
      <c r="F241" s="6">
        <f>K12</f>
        <v/>
      </c>
      <c r="G241" s="6">
        <f>L12</f>
        <v/>
      </c>
      <c r="H241" s="99" t="n"/>
      <c r="I241" s="99" t="n"/>
      <c r="J241" s="99" t="n"/>
      <c r="K241" s="99" t="n"/>
      <c r="L241" s="99" t="n"/>
      <c r="M241" s="99" t="n"/>
    </row>
    <row r="242">
      <c r="C242" s="6" t="inlineStr">
        <is>
          <t>2008-07</t>
        </is>
      </c>
      <c r="D242" s="6">
        <f>D13</f>
        <v/>
      </c>
      <c r="E242" s="6">
        <f>J13</f>
        <v/>
      </c>
      <c r="F242" s="6">
        <f>K13</f>
        <v/>
      </c>
      <c r="G242" s="6">
        <f>L13</f>
        <v/>
      </c>
      <c r="H242" s="99" t="n"/>
      <c r="I242" s="99" t="n"/>
      <c r="J242" s="99" t="n"/>
      <c r="K242" s="99" t="n"/>
      <c r="L242" s="99" t="n"/>
      <c r="M242" s="99" t="n"/>
    </row>
    <row r="243">
      <c r="C243" s="6" t="inlineStr">
        <is>
          <t>2008-08</t>
        </is>
      </c>
      <c r="D243" s="6">
        <f>D14</f>
        <v/>
      </c>
      <c r="E243" s="6">
        <f>J14</f>
        <v/>
      </c>
      <c r="F243" s="6">
        <f>K14</f>
        <v/>
      </c>
      <c r="G243" s="6">
        <f>L14</f>
        <v/>
      </c>
      <c r="H243" s="99" t="n"/>
      <c r="I243" s="99" t="n"/>
      <c r="J243" s="99" t="n"/>
      <c r="K243" s="99" t="n"/>
      <c r="L243" s="99" t="n"/>
      <c r="M243" s="99" t="n"/>
    </row>
    <row r="244">
      <c r="C244" s="6" t="inlineStr">
        <is>
          <t>2008-09</t>
        </is>
      </c>
      <c r="D244" s="6">
        <f>D15</f>
        <v/>
      </c>
      <c r="E244" s="6">
        <f>J15</f>
        <v/>
      </c>
      <c r="F244" s="6">
        <f>K15</f>
        <v/>
      </c>
      <c r="G244" s="6">
        <f>L15</f>
        <v/>
      </c>
      <c r="H244" s="99" t="n"/>
      <c r="I244" s="99" t="n"/>
      <c r="J244" s="99" t="n"/>
      <c r="K244" s="99" t="n"/>
      <c r="L244" s="99" t="n"/>
      <c r="M244" s="99" t="n"/>
    </row>
    <row r="245">
      <c r="C245" s="6" t="inlineStr">
        <is>
          <t>2008-10</t>
        </is>
      </c>
      <c r="D245" s="6">
        <f>D16</f>
        <v/>
      </c>
      <c r="E245" s="6">
        <f>J16</f>
        <v/>
      </c>
      <c r="F245" s="6">
        <f>K16</f>
        <v/>
      </c>
      <c r="G245" s="6">
        <f>L16</f>
        <v/>
      </c>
      <c r="H245" s="99" t="n"/>
      <c r="I245" s="99" t="n"/>
      <c r="J245" s="99" t="n"/>
      <c r="K245" s="99" t="n"/>
      <c r="L245" s="99" t="n"/>
      <c r="M245" s="99" t="n"/>
    </row>
    <row r="246">
      <c r="C246" s="6" t="inlineStr">
        <is>
          <t>2008-11</t>
        </is>
      </c>
      <c r="D246" s="6">
        <f>D17</f>
        <v/>
      </c>
      <c r="E246" s="6">
        <f>J17</f>
        <v/>
      </c>
      <c r="F246" s="6">
        <f>K17</f>
        <v/>
      </c>
      <c r="G246" s="6">
        <f>L17</f>
        <v/>
      </c>
      <c r="H246" s="99" t="n"/>
      <c r="I246" s="99" t="n"/>
      <c r="J246" s="99" t="n"/>
      <c r="K246" s="99" t="n"/>
      <c r="L246" s="99" t="n"/>
      <c r="M246" s="99" t="n"/>
    </row>
    <row r="247">
      <c r="C247" s="6" t="inlineStr">
        <is>
          <t>2008-12</t>
        </is>
      </c>
      <c r="D247" s="6">
        <f>D18</f>
        <v/>
      </c>
      <c r="E247" s="6">
        <f>J18</f>
        <v/>
      </c>
      <c r="F247" s="6">
        <f>K18</f>
        <v/>
      </c>
      <c r="G247" s="6">
        <f>L18</f>
        <v/>
      </c>
      <c r="H247" s="99" t="n"/>
      <c r="I247" s="99" t="n"/>
      <c r="J247" s="99" t="n"/>
      <c r="K247" s="99" t="n"/>
      <c r="L247" s="99" t="n"/>
      <c r="M247" s="99" t="n"/>
    </row>
    <row r="248">
      <c r="C248" s="6" t="inlineStr">
        <is>
          <t>2009-01</t>
        </is>
      </c>
      <c r="D248" s="6">
        <f>D19</f>
        <v/>
      </c>
      <c r="E248" s="6">
        <f>J19</f>
        <v/>
      </c>
      <c r="F248" s="6">
        <f>K19</f>
        <v/>
      </c>
      <c r="G248" s="6">
        <f>L19</f>
        <v/>
      </c>
      <c r="H248" s="99" t="n"/>
      <c r="I248" s="99" t="n"/>
      <c r="J248" s="99" t="n"/>
      <c r="K248" s="99" t="n"/>
      <c r="L248" s="99" t="n"/>
      <c r="M248" s="99" t="n"/>
    </row>
    <row r="249">
      <c r="C249" s="6" t="inlineStr">
        <is>
          <t>2009-02</t>
        </is>
      </c>
      <c r="D249" s="6">
        <f>D20</f>
        <v/>
      </c>
      <c r="E249" s="6">
        <f>J20</f>
        <v/>
      </c>
      <c r="F249" s="6">
        <f>K20</f>
        <v/>
      </c>
      <c r="G249" s="6">
        <f>L20</f>
        <v/>
      </c>
      <c r="H249" s="99" t="n"/>
      <c r="I249" s="99" t="n"/>
      <c r="J249" s="99" t="n"/>
      <c r="K249" s="99" t="n"/>
      <c r="L249" s="99" t="n"/>
      <c r="M249" s="99" t="n"/>
    </row>
    <row r="250">
      <c r="C250" s="6" t="inlineStr">
        <is>
          <t>2009-03</t>
        </is>
      </c>
      <c r="D250" s="6">
        <f>D21</f>
        <v/>
      </c>
      <c r="E250" s="6">
        <f>J21</f>
        <v/>
      </c>
      <c r="F250" s="6">
        <f>K21</f>
        <v/>
      </c>
      <c r="G250" s="6">
        <f>L21</f>
        <v/>
      </c>
      <c r="H250" s="99" t="n"/>
      <c r="I250" s="99" t="n"/>
      <c r="J250" s="99" t="n"/>
      <c r="K250" s="99" t="n"/>
      <c r="L250" s="99" t="n"/>
      <c r="M250" s="99" t="n"/>
    </row>
    <row r="251">
      <c r="C251" s="6" t="inlineStr">
        <is>
          <t>2009-04</t>
        </is>
      </c>
      <c r="D251" s="6">
        <f>D22</f>
        <v/>
      </c>
      <c r="E251" s="6">
        <f>J22</f>
        <v/>
      </c>
      <c r="F251" s="6">
        <f>K22</f>
        <v/>
      </c>
      <c r="G251" s="6">
        <f>L22</f>
        <v/>
      </c>
      <c r="H251" s="99" t="n"/>
      <c r="I251" s="99" t="n"/>
      <c r="J251" s="99" t="n"/>
      <c r="K251" s="99" t="n"/>
      <c r="L251" s="99" t="n"/>
      <c r="M251" s="99" t="n"/>
    </row>
    <row r="252">
      <c r="C252" s="6" t="inlineStr">
        <is>
          <t>2009-05</t>
        </is>
      </c>
      <c r="D252" s="6">
        <f>D23</f>
        <v/>
      </c>
      <c r="E252" s="6">
        <f>J23</f>
        <v/>
      </c>
      <c r="F252" s="6">
        <f>K23</f>
        <v/>
      </c>
      <c r="G252" s="6">
        <f>L23</f>
        <v/>
      </c>
      <c r="H252" s="99" t="n"/>
      <c r="I252" s="99" t="n"/>
      <c r="J252" s="99" t="n"/>
      <c r="K252" s="99" t="n"/>
      <c r="L252" s="99" t="n"/>
      <c r="M252" s="99" t="n"/>
    </row>
    <row r="253">
      <c r="C253" s="6" t="inlineStr">
        <is>
          <t>2009-06</t>
        </is>
      </c>
      <c r="D253" s="6">
        <f>D24</f>
        <v/>
      </c>
      <c r="E253" s="6">
        <f>J24</f>
        <v/>
      </c>
      <c r="F253" s="6">
        <f>K24</f>
        <v/>
      </c>
      <c r="G253" s="6">
        <f>L24</f>
        <v/>
      </c>
      <c r="H253" s="99" t="n"/>
      <c r="I253" s="99" t="n"/>
      <c r="J253" s="99" t="n"/>
      <c r="K253" s="99" t="n"/>
      <c r="L253" s="99" t="n"/>
      <c r="M253" s="99" t="n"/>
    </row>
    <row r="254">
      <c r="C254" s="6" t="inlineStr">
        <is>
          <t>2009-07</t>
        </is>
      </c>
      <c r="D254" s="6">
        <f>D25</f>
        <v/>
      </c>
      <c r="E254" s="6">
        <f>J25</f>
        <v/>
      </c>
      <c r="F254" s="6">
        <f>K25</f>
        <v/>
      </c>
      <c r="G254" s="6">
        <f>L25</f>
        <v/>
      </c>
      <c r="H254" s="99" t="n"/>
      <c r="I254" s="99" t="n"/>
      <c r="J254" s="99" t="n"/>
      <c r="K254" s="99" t="n"/>
      <c r="L254" s="99" t="n"/>
      <c r="M254" s="99" t="n"/>
    </row>
    <row r="255">
      <c r="C255" s="6" t="inlineStr">
        <is>
          <t>2009-08</t>
        </is>
      </c>
      <c r="D255" s="6">
        <f>D26</f>
        <v/>
      </c>
      <c r="E255" s="6">
        <f>J26</f>
        <v/>
      </c>
      <c r="F255" s="6">
        <f>K26</f>
        <v/>
      </c>
      <c r="G255" s="6">
        <f>L26</f>
        <v/>
      </c>
      <c r="H255" s="99" t="n"/>
      <c r="I255" s="99" t="n"/>
      <c r="J255" s="99" t="n"/>
      <c r="K255" s="99" t="n"/>
      <c r="L255" s="99" t="n"/>
      <c r="M255" s="99" t="n"/>
    </row>
    <row r="256">
      <c r="C256" s="6" t="inlineStr">
        <is>
          <t>2009-09</t>
        </is>
      </c>
      <c r="D256" s="6">
        <f>D27</f>
        <v/>
      </c>
      <c r="E256" s="6">
        <f>J27</f>
        <v/>
      </c>
      <c r="F256" s="6">
        <f>K27</f>
        <v/>
      </c>
      <c r="G256" s="6">
        <f>L27</f>
        <v/>
      </c>
      <c r="H256" s="99" t="n"/>
      <c r="I256" s="99" t="n"/>
      <c r="J256" s="99" t="n"/>
      <c r="K256" s="99" t="n"/>
      <c r="L256" s="99" t="n"/>
      <c r="M256" s="99" t="n"/>
    </row>
    <row r="257">
      <c r="C257" s="6" t="inlineStr">
        <is>
          <t>2009-10</t>
        </is>
      </c>
      <c r="D257" s="6">
        <f>D28</f>
        <v/>
      </c>
      <c r="E257" s="6">
        <f>J28</f>
        <v/>
      </c>
      <c r="F257" s="6">
        <f>K28</f>
        <v/>
      </c>
      <c r="G257" s="6">
        <f>L28</f>
        <v/>
      </c>
      <c r="H257" s="99" t="n"/>
      <c r="I257" s="99" t="n"/>
      <c r="J257" s="99" t="n"/>
      <c r="K257" s="99" t="n"/>
      <c r="L257" s="99" t="n"/>
      <c r="M257" s="99" t="n"/>
    </row>
    <row r="258">
      <c r="C258" s="6" t="inlineStr">
        <is>
          <t>2009-11</t>
        </is>
      </c>
      <c r="D258" s="6">
        <f>D29</f>
        <v/>
      </c>
      <c r="E258" s="6">
        <f>J29</f>
        <v/>
      </c>
      <c r="F258" s="6">
        <f>K29</f>
        <v/>
      </c>
      <c r="G258" s="6">
        <f>L29</f>
        <v/>
      </c>
      <c r="H258" s="99" t="n"/>
      <c r="I258" s="99" t="n"/>
      <c r="J258" s="99" t="n"/>
      <c r="K258" s="99" t="n"/>
      <c r="L258" s="99" t="n"/>
      <c r="M258" s="99" t="n"/>
    </row>
    <row r="259">
      <c r="C259" s="6" t="inlineStr">
        <is>
          <t>2009-12</t>
        </is>
      </c>
      <c r="D259" s="6">
        <f>D30</f>
        <v/>
      </c>
      <c r="E259" s="6">
        <f>J30</f>
        <v/>
      </c>
      <c r="F259" s="6">
        <f>K30</f>
        <v/>
      </c>
      <c r="G259" s="6">
        <f>L30</f>
        <v/>
      </c>
      <c r="H259" s="99" t="n"/>
      <c r="I259" s="99" t="n"/>
      <c r="J259" s="99" t="n"/>
      <c r="K259" s="99" t="n"/>
      <c r="L259" s="99" t="n"/>
      <c r="M259" s="99" t="n"/>
    </row>
    <row r="260">
      <c r="C260" s="6" t="inlineStr">
        <is>
          <t>2010-01</t>
        </is>
      </c>
      <c r="D260" s="6">
        <f>D31</f>
        <v/>
      </c>
      <c r="E260" s="6">
        <f>J31</f>
        <v/>
      </c>
      <c r="F260" s="6">
        <f>K31</f>
        <v/>
      </c>
      <c r="G260" s="6">
        <f>L31</f>
        <v/>
      </c>
      <c r="H260" s="99" t="n"/>
      <c r="I260" s="99" t="n"/>
      <c r="J260" s="99" t="n"/>
      <c r="K260" s="99" t="n"/>
      <c r="L260" s="99" t="n"/>
      <c r="M260" s="99" t="n"/>
    </row>
    <row r="261">
      <c r="C261" s="6" t="inlineStr">
        <is>
          <t>2010-02</t>
        </is>
      </c>
      <c r="D261" s="6">
        <f>D32</f>
        <v/>
      </c>
      <c r="E261" s="6">
        <f>J32</f>
        <v/>
      </c>
      <c r="F261" s="6">
        <f>K32</f>
        <v/>
      </c>
      <c r="G261" s="6">
        <f>L32</f>
        <v/>
      </c>
      <c r="H261" s="99" t="n"/>
      <c r="I261" s="99" t="n"/>
      <c r="J261" s="99" t="n"/>
      <c r="K261" s="99" t="n"/>
      <c r="L261" s="99" t="n"/>
      <c r="M261" s="99" t="n"/>
    </row>
    <row r="262">
      <c r="C262" s="6" t="inlineStr">
        <is>
          <t>2010-03</t>
        </is>
      </c>
      <c r="D262" s="6">
        <f>D33</f>
        <v/>
      </c>
      <c r="E262" s="6">
        <f>J33</f>
        <v/>
      </c>
      <c r="F262" s="6">
        <f>K33</f>
        <v/>
      </c>
      <c r="G262" s="6">
        <f>L33</f>
        <v/>
      </c>
      <c r="H262" s="99" t="n"/>
      <c r="I262" s="99" t="n"/>
      <c r="J262" s="99" t="n"/>
      <c r="K262" s="99" t="n"/>
      <c r="L262" s="99" t="n"/>
      <c r="M262" s="99" t="n"/>
    </row>
    <row r="263">
      <c r="C263" s="6" t="inlineStr">
        <is>
          <t>2010-04</t>
        </is>
      </c>
      <c r="D263" s="6">
        <f>D34</f>
        <v/>
      </c>
      <c r="E263" s="6">
        <f>J34</f>
        <v/>
      </c>
      <c r="F263" s="6">
        <f>K34</f>
        <v/>
      </c>
      <c r="G263" s="6">
        <f>L34</f>
        <v/>
      </c>
      <c r="H263" s="99" t="n"/>
      <c r="I263" s="99" t="n"/>
      <c r="J263" s="99" t="n"/>
      <c r="K263" s="99" t="n"/>
      <c r="L263" s="99" t="n"/>
      <c r="M263" s="99" t="n"/>
    </row>
    <row r="264">
      <c r="C264" s="6" t="inlineStr">
        <is>
          <t>2010-05</t>
        </is>
      </c>
      <c r="D264" s="6">
        <f>D35</f>
        <v/>
      </c>
      <c r="E264" s="6">
        <f>J35</f>
        <v/>
      </c>
      <c r="F264" s="6">
        <f>K35</f>
        <v/>
      </c>
      <c r="G264" s="6">
        <f>L35</f>
        <v/>
      </c>
      <c r="H264" s="99" t="n"/>
      <c r="I264" s="99" t="n"/>
      <c r="J264" s="99" t="n"/>
      <c r="K264" s="99" t="n"/>
      <c r="L264" s="99" t="n"/>
      <c r="M264" s="99" t="n"/>
    </row>
    <row r="265">
      <c r="C265" s="6" t="inlineStr">
        <is>
          <t>2010-06</t>
        </is>
      </c>
      <c r="D265" s="6">
        <f>D36</f>
        <v/>
      </c>
      <c r="E265" s="6">
        <f>J36</f>
        <v/>
      </c>
      <c r="F265" s="6">
        <f>K36</f>
        <v/>
      </c>
      <c r="G265" s="6">
        <f>L36</f>
        <v/>
      </c>
      <c r="H265" s="99" t="n"/>
      <c r="I265" s="99" t="n"/>
      <c r="J265" s="99" t="n"/>
      <c r="K265" s="99" t="n"/>
      <c r="L265" s="99" t="n"/>
      <c r="M265" s="99" t="n"/>
    </row>
    <row r="266">
      <c r="C266" s="6" t="inlineStr">
        <is>
          <t>2010-07</t>
        </is>
      </c>
      <c r="D266" s="6">
        <f>D37</f>
        <v/>
      </c>
      <c r="E266" s="6">
        <f>J37</f>
        <v/>
      </c>
      <c r="F266" s="6">
        <f>K37</f>
        <v/>
      </c>
      <c r="G266" s="6">
        <f>L37</f>
        <v/>
      </c>
      <c r="H266" s="99" t="n"/>
      <c r="I266" s="99" t="n"/>
      <c r="J266" s="99" t="n"/>
      <c r="K266" s="99" t="n"/>
      <c r="L266" s="99" t="n"/>
      <c r="M266" s="99" t="n"/>
    </row>
    <row r="267">
      <c r="C267" s="6" t="inlineStr">
        <is>
          <t>2010-08</t>
        </is>
      </c>
      <c r="D267" s="6">
        <f>D38</f>
        <v/>
      </c>
      <c r="E267" s="6">
        <f>J38</f>
        <v/>
      </c>
      <c r="F267" s="6">
        <f>K38</f>
        <v/>
      </c>
      <c r="G267" s="6">
        <f>L38</f>
        <v/>
      </c>
      <c r="H267" s="99" t="n"/>
      <c r="I267" s="99" t="n"/>
      <c r="J267" s="99" t="n"/>
      <c r="K267" s="99" t="n"/>
      <c r="L267" s="99" t="n"/>
      <c r="M267" s="99" t="n"/>
    </row>
    <row r="268">
      <c r="C268" s="6" t="inlineStr">
        <is>
          <t>2010-09</t>
        </is>
      </c>
      <c r="D268" s="6">
        <f>D39</f>
        <v/>
      </c>
      <c r="E268" s="6">
        <f>J39</f>
        <v/>
      </c>
      <c r="F268" s="6">
        <f>K39</f>
        <v/>
      </c>
      <c r="G268" s="6">
        <f>L39</f>
        <v/>
      </c>
      <c r="H268" s="99" t="n"/>
      <c r="I268" s="99" t="n"/>
      <c r="J268" s="99" t="n"/>
      <c r="K268" s="99" t="n"/>
      <c r="L268" s="99" t="n"/>
      <c r="M268" s="99" t="n"/>
    </row>
    <row r="269">
      <c r="C269" s="6" t="inlineStr">
        <is>
          <t>2010-10</t>
        </is>
      </c>
      <c r="D269" s="6">
        <f>D40</f>
        <v/>
      </c>
      <c r="E269" s="6">
        <f>J40</f>
        <v/>
      </c>
      <c r="F269" s="6">
        <f>K40</f>
        <v/>
      </c>
      <c r="G269" s="6">
        <f>L40</f>
        <v/>
      </c>
      <c r="H269" s="99" t="n"/>
      <c r="I269" s="99" t="n"/>
      <c r="J269" s="99" t="n"/>
      <c r="K269" s="99" t="n"/>
      <c r="L269" s="99" t="n"/>
      <c r="M269" s="99" t="n"/>
    </row>
    <row r="270">
      <c r="C270" s="6" t="inlineStr">
        <is>
          <t>2010-11</t>
        </is>
      </c>
      <c r="D270" s="6">
        <f>D41</f>
        <v/>
      </c>
      <c r="E270" s="6">
        <f>J41</f>
        <v/>
      </c>
      <c r="F270" s="6">
        <f>K41</f>
        <v/>
      </c>
      <c r="G270" s="6">
        <f>L41</f>
        <v/>
      </c>
      <c r="H270" s="99" t="n"/>
      <c r="I270" s="99" t="n"/>
      <c r="J270" s="99" t="n"/>
      <c r="K270" s="99" t="n"/>
      <c r="L270" s="99" t="n"/>
      <c r="M270" s="99" t="n"/>
    </row>
    <row r="271">
      <c r="C271" s="6" t="inlineStr">
        <is>
          <t>2010-12</t>
        </is>
      </c>
      <c r="D271" s="6">
        <f>D42</f>
        <v/>
      </c>
      <c r="E271" s="6">
        <f>J42</f>
        <v/>
      </c>
      <c r="F271" s="6">
        <f>K42</f>
        <v/>
      </c>
      <c r="G271" s="6">
        <f>L42</f>
        <v/>
      </c>
      <c r="H271" s="99" t="n"/>
      <c r="I271" s="99" t="n"/>
      <c r="J271" s="99" t="n"/>
      <c r="K271" s="99" t="n"/>
      <c r="L271" s="99" t="n"/>
      <c r="M271" s="99" t="n"/>
    </row>
    <row r="272">
      <c r="C272" s="6" t="inlineStr">
        <is>
          <t>2011-01</t>
        </is>
      </c>
      <c r="D272" s="6">
        <f>D43</f>
        <v/>
      </c>
      <c r="E272" s="6">
        <f>J43</f>
        <v/>
      </c>
      <c r="F272" s="6">
        <f>K43</f>
        <v/>
      </c>
      <c r="G272" s="6">
        <f>L43</f>
        <v/>
      </c>
      <c r="H272" s="99" t="n"/>
      <c r="I272" s="99" t="n"/>
      <c r="J272" s="99" t="n"/>
      <c r="K272" s="99" t="n"/>
      <c r="L272" s="99" t="n"/>
      <c r="M272" s="99" t="n"/>
    </row>
    <row r="273">
      <c r="C273" s="6" t="inlineStr">
        <is>
          <t>2011-02</t>
        </is>
      </c>
      <c r="D273" s="6">
        <f>D44</f>
        <v/>
      </c>
      <c r="E273" s="6">
        <f>J44</f>
        <v/>
      </c>
      <c r="F273" s="6">
        <f>K44</f>
        <v/>
      </c>
      <c r="G273" s="6">
        <f>L44</f>
        <v/>
      </c>
      <c r="H273" s="99" t="n"/>
      <c r="I273" s="99" t="n"/>
      <c r="J273" s="99" t="n"/>
      <c r="K273" s="99" t="n"/>
      <c r="L273" s="99" t="n"/>
      <c r="M273" s="99" t="n"/>
    </row>
    <row r="274">
      <c r="C274" s="6" t="inlineStr">
        <is>
          <t>2011-03</t>
        </is>
      </c>
      <c r="D274" s="6">
        <f>D45</f>
        <v/>
      </c>
      <c r="E274" s="6">
        <f>J45</f>
        <v/>
      </c>
      <c r="F274" s="6">
        <f>K45</f>
        <v/>
      </c>
      <c r="G274" s="6">
        <f>L45</f>
        <v/>
      </c>
      <c r="H274" s="99" t="n"/>
      <c r="I274" s="99" t="n"/>
      <c r="J274" s="99" t="n"/>
      <c r="K274" s="99" t="n"/>
      <c r="L274" s="99" t="n"/>
      <c r="M274" s="99" t="n"/>
    </row>
    <row r="275">
      <c r="C275" s="6" t="inlineStr">
        <is>
          <t>2011-04</t>
        </is>
      </c>
      <c r="D275" s="6">
        <f>D46</f>
        <v/>
      </c>
      <c r="E275" s="6">
        <f>J46</f>
        <v/>
      </c>
      <c r="F275" s="6">
        <f>K46</f>
        <v/>
      </c>
      <c r="G275" s="6">
        <f>L46</f>
        <v/>
      </c>
      <c r="H275" s="99" t="n"/>
      <c r="I275" s="99" t="n"/>
      <c r="J275" s="99" t="n"/>
      <c r="K275" s="99" t="n"/>
      <c r="L275" s="99" t="n"/>
      <c r="M275" s="99" t="n"/>
    </row>
    <row r="276">
      <c r="C276" s="6" t="inlineStr">
        <is>
          <t>2011-05</t>
        </is>
      </c>
      <c r="D276" s="6">
        <f>D47</f>
        <v/>
      </c>
      <c r="E276" s="6">
        <f>J47</f>
        <v/>
      </c>
      <c r="F276" s="6">
        <f>K47</f>
        <v/>
      </c>
      <c r="G276" s="6">
        <f>L47</f>
        <v/>
      </c>
      <c r="H276" s="99" t="n"/>
      <c r="I276" s="99" t="n"/>
      <c r="J276" s="99" t="n"/>
      <c r="K276" s="99" t="n"/>
      <c r="L276" s="99" t="n"/>
      <c r="M276" s="99" t="n"/>
    </row>
    <row r="277">
      <c r="C277" s="6" t="inlineStr">
        <is>
          <t>2011-06</t>
        </is>
      </c>
      <c r="D277" s="6">
        <f>D48</f>
        <v/>
      </c>
      <c r="E277" s="6">
        <f>J48</f>
        <v/>
      </c>
      <c r="F277" s="6">
        <f>K48</f>
        <v/>
      </c>
      <c r="G277" s="6">
        <f>L48</f>
        <v/>
      </c>
      <c r="H277" s="99" t="n"/>
      <c r="I277" s="99" t="n"/>
      <c r="J277" s="99" t="n"/>
      <c r="K277" s="99" t="n"/>
      <c r="L277" s="99" t="n"/>
      <c r="M277" s="99" t="n"/>
    </row>
    <row r="278">
      <c r="C278" s="6" t="inlineStr">
        <is>
          <t>2011-07</t>
        </is>
      </c>
      <c r="D278" s="6">
        <f>D49</f>
        <v/>
      </c>
      <c r="E278" s="6">
        <f>J49</f>
        <v/>
      </c>
      <c r="F278" s="6">
        <f>K49</f>
        <v/>
      </c>
      <c r="G278" s="6">
        <f>L49</f>
        <v/>
      </c>
      <c r="H278" s="99" t="n"/>
      <c r="I278" s="99" t="n"/>
      <c r="J278" s="99" t="n"/>
      <c r="K278" s="99" t="n"/>
      <c r="L278" s="99" t="n"/>
      <c r="M278" s="99" t="n"/>
    </row>
    <row r="279">
      <c r="C279" s="6" t="inlineStr">
        <is>
          <t>2011-08</t>
        </is>
      </c>
      <c r="D279" s="6">
        <f>D50</f>
        <v/>
      </c>
      <c r="E279" s="6">
        <f>J50</f>
        <v/>
      </c>
      <c r="F279" s="6">
        <f>K50</f>
        <v/>
      </c>
      <c r="G279" s="6">
        <f>L50</f>
        <v/>
      </c>
      <c r="H279" s="99" t="n"/>
      <c r="I279" s="99" t="n"/>
      <c r="J279" s="99" t="n"/>
      <c r="K279" s="99" t="n"/>
      <c r="L279" s="99" t="n"/>
      <c r="M279" s="99" t="n"/>
    </row>
    <row r="280">
      <c r="C280" s="6" t="inlineStr">
        <is>
          <t>2011-09</t>
        </is>
      </c>
      <c r="D280" s="6">
        <f>D51</f>
        <v/>
      </c>
      <c r="E280" s="6">
        <f>J51</f>
        <v/>
      </c>
      <c r="F280" s="6">
        <f>K51</f>
        <v/>
      </c>
      <c r="G280" s="6">
        <f>L51</f>
        <v/>
      </c>
      <c r="H280" s="99" t="n"/>
      <c r="I280" s="99" t="n"/>
      <c r="J280" s="99" t="n"/>
      <c r="K280" s="99" t="n"/>
      <c r="L280" s="99" t="n"/>
      <c r="M280" s="99" t="n"/>
    </row>
    <row r="281">
      <c r="C281" s="6" t="inlineStr">
        <is>
          <t>2011-10</t>
        </is>
      </c>
      <c r="D281" s="6">
        <f>D52</f>
        <v/>
      </c>
      <c r="E281" s="6">
        <f>J52</f>
        <v/>
      </c>
      <c r="F281" s="6">
        <f>K52</f>
        <v/>
      </c>
      <c r="G281" s="6">
        <f>L52</f>
        <v/>
      </c>
      <c r="H281" s="99" t="n"/>
      <c r="I281" s="99" t="n"/>
      <c r="J281" s="99" t="n"/>
      <c r="K281" s="99" t="n"/>
      <c r="L281" s="99" t="n"/>
      <c r="M281" s="99" t="n"/>
    </row>
    <row r="282">
      <c r="C282" s="6" t="inlineStr">
        <is>
          <t>2011-11</t>
        </is>
      </c>
      <c r="D282" s="6">
        <f>D53</f>
        <v/>
      </c>
      <c r="E282" s="6">
        <f>J53</f>
        <v/>
      </c>
      <c r="F282" s="6">
        <f>K53</f>
        <v/>
      </c>
      <c r="G282" s="6">
        <f>L53</f>
        <v/>
      </c>
      <c r="H282" s="99" t="n"/>
      <c r="I282" s="99" t="n"/>
      <c r="J282" s="99" t="n"/>
      <c r="K282" s="99" t="n"/>
      <c r="L282" s="99" t="n"/>
      <c r="M282" s="99" t="n"/>
    </row>
    <row r="283">
      <c r="C283" s="6" t="inlineStr">
        <is>
          <t>2011-12</t>
        </is>
      </c>
      <c r="D283" s="6">
        <f>D54</f>
        <v/>
      </c>
      <c r="E283" s="6">
        <f>J54</f>
        <v/>
      </c>
      <c r="F283" s="6">
        <f>K54</f>
        <v/>
      </c>
      <c r="G283" s="6">
        <f>L54</f>
        <v/>
      </c>
      <c r="H283" s="99" t="n"/>
      <c r="I283" s="99" t="n"/>
      <c r="J283" s="99" t="n"/>
      <c r="K283" s="99" t="n"/>
      <c r="L283" s="99" t="n"/>
      <c r="M283" s="99" t="n"/>
    </row>
    <row r="284">
      <c r="C284" s="6" t="inlineStr">
        <is>
          <t>2012-01</t>
        </is>
      </c>
      <c r="D284" s="6">
        <f>D55</f>
        <v/>
      </c>
      <c r="E284" s="6">
        <f>J55</f>
        <v/>
      </c>
      <c r="F284" s="6">
        <f>K55</f>
        <v/>
      </c>
      <c r="G284" s="6">
        <f>L55</f>
        <v/>
      </c>
      <c r="H284" s="99" t="n"/>
      <c r="I284" s="99" t="n"/>
      <c r="J284" s="99" t="n"/>
      <c r="K284" s="99" t="n"/>
      <c r="L284" s="99" t="n"/>
      <c r="M284" s="99" t="n"/>
    </row>
    <row r="285">
      <c r="C285" s="6" t="inlineStr">
        <is>
          <t>2012-02</t>
        </is>
      </c>
      <c r="D285" s="6">
        <f>D56</f>
        <v/>
      </c>
      <c r="E285" s="6">
        <f>J56</f>
        <v/>
      </c>
      <c r="F285" s="6">
        <f>K56</f>
        <v/>
      </c>
      <c r="G285" s="6">
        <f>L56</f>
        <v/>
      </c>
      <c r="H285" s="99" t="n"/>
      <c r="I285" s="99" t="n"/>
      <c r="J285" s="99" t="n"/>
      <c r="K285" s="99" t="n"/>
      <c r="L285" s="99" t="n"/>
      <c r="M285" s="99" t="n"/>
    </row>
    <row r="286">
      <c r="C286" s="6" t="inlineStr">
        <is>
          <t>2012-03</t>
        </is>
      </c>
      <c r="D286" s="6">
        <f>D57</f>
        <v/>
      </c>
      <c r="E286" s="6">
        <f>J57</f>
        <v/>
      </c>
      <c r="F286" s="6">
        <f>K57</f>
        <v/>
      </c>
      <c r="G286" s="6">
        <f>L57</f>
        <v/>
      </c>
      <c r="H286" s="99" t="n"/>
      <c r="I286" s="99" t="n"/>
      <c r="J286" s="99" t="n"/>
      <c r="K286" s="99" t="n"/>
      <c r="L286" s="99" t="n"/>
      <c r="M286" s="99" t="n"/>
    </row>
    <row r="287">
      <c r="C287" s="6" t="inlineStr">
        <is>
          <t>2012-04</t>
        </is>
      </c>
      <c r="D287" s="6">
        <f>D58</f>
        <v/>
      </c>
      <c r="E287" s="6">
        <f>J58</f>
        <v/>
      </c>
      <c r="F287" s="6">
        <f>K58</f>
        <v/>
      </c>
      <c r="G287" s="6">
        <f>L58</f>
        <v/>
      </c>
      <c r="H287" s="99" t="n"/>
      <c r="I287" s="99" t="n"/>
      <c r="J287" s="99" t="n"/>
      <c r="K287" s="99" t="n"/>
      <c r="L287" s="99" t="n"/>
      <c r="M287" s="99" t="n"/>
    </row>
    <row r="288">
      <c r="C288" s="6" t="inlineStr">
        <is>
          <t>2012-05</t>
        </is>
      </c>
      <c r="D288" s="6">
        <f>D59</f>
        <v/>
      </c>
      <c r="E288" s="6">
        <f>J59</f>
        <v/>
      </c>
      <c r="F288" s="6">
        <f>K59</f>
        <v/>
      </c>
      <c r="G288" s="6">
        <f>L59</f>
        <v/>
      </c>
      <c r="H288" s="99" t="n"/>
      <c r="I288" s="99" t="n"/>
      <c r="J288" s="99" t="n"/>
      <c r="K288" s="99" t="n"/>
      <c r="L288" s="99" t="n"/>
      <c r="M288" s="99" t="n"/>
    </row>
    <row r="289">
      <c r="C289" s="6" t="inlineStr">
        <is>
          <t>2012-06</t>
        </is>
      </c>
      <c r="D289" s="6">
        <f>D60</f>
        <v/>
      </c>
      <c r="E289" s="6">
        <f>J60</f>
        <v/>
      </c>
      <c r="F289" s="6">
        <f>K60</f>
        <v/>
      </c>
      <c r="G289" s="6">
        <f>L60</f>
        <v/>
      </c>
      <c r="H289" s="99" t="n"/>
      <c r="I289" s="99" t="n"/>
      <c r="J289" s="99" t="n"/>
      <c r="K289" s="99" t="n"/>
      <c r="L289" s="99" t="n"/>
      <c r="M289" s="99" t="n"/>
    </row>
    <row r="290">
      <c r="C290" s="6" t="inlineStr">
        <is>
          <t>2012-07</t>
        </is>
      </c>
      <c r="D290" s="6">
        <f>D61</f>
        <v/>
      </c>
      <c r="E290" s="6">
        <f>J61</f>
        <v/>
      </c>
      <c r="F290" s="6">
        <f>K61</f>
        <v/>
      </c>
      <c r="G290" s="6">
        <f>L61</f>
        <v/>
      </c>
      <c r="H290" s="99" t="n"/>
      <c r="I290" s="99" t="n"/>
      <c r="J290" s="99" t="n"/>
      <c r="K290" s="99" t="n"/>
      <c r="L290" s="99" t="n"/>
      <c r="M290" s="99" t="n"/>
    </row>
    <row r="291">
      <c r="C291" s="6" t="inlineStr">
        <is>
          <t>2012-08</t>
        </is>
      </c>
      <c r="D291" s="6">
        <f>D62</f>
        <v/>
      </c>
      <c r="E291" s="6">
        <f>J62</f>
        <v/>
      </c>
      <c r="F291" s="6">
        <f>K62</f>
        <v/>
      </c>
      <c r="G291" s="6">
        <f>L62</f>
        <v/>
      </c>
      <c r="H291" s="99" t="n"/>
      <c r="I291" s="99" t="n"/>
      <c r="J291" s="99" t="n"/>
      <c r="K291" s="99" t="n"/>
      <c r="L291" s="99" t="n"/>
      <c r="M291" s="99" t="n"/>
    </row>
    <row r="292">
      <c r="C292" s="6" t="inlineStr">
        <is>
          <t>2012-09</t>
        </is>
      </c>
      <c r="D292" s="6">
        <f>D63</f>
        <v/>
      </c>
      <c r="E292" s="6">
        <f>J63</f>
        <v/>
      </c>
      <c r="F292" s="6">
        <f>K63</f>
        <v/>
      </c>
      <c r="G292" s="6">
        <f>L63</f>
        <v/>
      </c>
      <c r="H292" s="99" t="n"/>
      <c r="I292" s="99" t="n"/>
      <c r="J292" s="99" t="n"/>
      <c r="K292" s="99" t="n"/>
      <c r="L292" s="99" t="n"/>
      <c r="M292" s="99" t="n"/>
    </row>
    <row r="293">
      <c r="C293" s="6" t="inlineStr">
        <is>
          <t>2012-10</t>
        </is>
      </c>
      <c r="D293" s="6">
        <f>D64</f>
        <v/>
      </c>
      <c r="E293" s="6">
        <f>J64</f>
        <v/>
      </c>
      <c r="F293" s="6">
        <f>K64</f>
        <v/>
      </c>
      <c r="G293" s="6">
        <f>L64</f>
        <v/>
      </c>
      <c r="H293" s="99" t="n"/>
      <c r="I293" s="99" t="n"/>
      <c r="J293" s="99" t="n"/>
      <c r="K293" s="99" t="n"/>
      <c r="L293" s="99" t="n"/>
      <c r="M293" s="99" t="n"/>
    </row>
    <row r="294">
      <c r="C294" s="6" t="inlineStr">
        <is>
          <t>2012-11</t>
        </is>
      </c>
      <c r="D294" s="6">
        <f>D65</f>
        <v/>
      </c>
      <c r="E294" s="6">
        <f>J65</f>
        <v/>
      </c>
      <c r="F294" s="6">
        <f>K65</f>
        <v/>
      </c>
      <c r="G294" s="6">
        <f>L65</f>
        <v/>
      </c>
      <c r="H294" s="99" t="n"/>
      <c r="I294" s="99" t="n"/>
      <c r="J294" s="99" t="n"/>
      <c r="K294" s="99" t="n"/>
      <c r="L294" s="99" t="n"/>
      <c r="M294" s="99" t="n"/>
    </row>
    <row r="295">
      <c r="C295" s="6" t="inlineStr">
        <is>
          <t>2012-12</t>
        </is>
      </c>
      <c r="D295" s="6">
        <f>D66</f>
        <v/>
      </c>
      <c r="E295" s="6">
        <f>J66</f>
        <v/>
      </c>
      <c r="F295" s="6">
        <f>K66</f>
        <v/>
      </c>
      <c r="G295" s="6">
        <f>L66</f>
        <v/>
      </c>
      <c r="H295" s="99" t="n"/>
      <c r="I295" s="99" t="n"/>
      <c r="J295" s="99" t="n"/>
      <c r="K295" s="99" t="n"/>
      <c r="L295" s="99" t="n"/>
      <c r="M295" s="99" t="n"/>
    </row>
    <row r="296">
      <c r="C296" s="6" t="inlineStr">
        <is>
          <t>2013-01</t>
        </is>
      </c>
      <c r="D296" s="6">
        <f>D67</f>
        <v/>
      </c>
      <c r="E296" s="6">
        <f>J67</f>
        <v/>
      </c>
      <c r="F296" s="6">
        <f>K67</f>
        <v/>
      </c>
      <c r="G296" s="6">
        <f>L67</f>
        <v/>
      </c>
      <c r="H296" s="99" t="n"/>
      <c r="I296" s="99" t="n"/>
      <c r="J296" s="99" t="n"/>
      <c r="K296" s="99" t="n"/>
      <c r="L296" s="99" t="n"/>
      <c r="M296" s="99" t="n"/>
    </row>
    <row r="297">
      <c r="C297" s="6" t="inlineStr">
        <is>
          <t>2013-02</t>
        </is>
      </c>
      <c r="D297" s="6">
        <f>D68</f>
        <v/>
      </c>
      <c r="E297" s="6">
        <f>J68</f>
        <v/>
      </c>
      <c r="F297" s="6">
        <f>K68</f>
        <v/>
      </c>
      <c r="G297" s="6">
        <f>L68</f>
        <v/>
      </c>
      <c r="H297" s="99" t="n"/>
      <c r="I297" s="99" t="n"/>
      <c r="J297" s="99" t="n"/>
      <c r="K297" s="99" t="n"/>
      <c r="L297" s="99" t="n"/>
      <c r="M297" s="99" t="n"/>
    </row>
    <row r="298">
      <c r="C298" s="6" t="inlineStr">
        <is>
          <t>2013-03</t>
        </is>
      </c>
      <c r="D298" s="6">
        <f>D69</f>
        <v/>
      </c>
      <c r="E298" s="6">
        <f>J69</f>
        <v/>
      </c>
      <c r="F298" s="6">
        <f>K69</f>
        <v/>
      </c>
      <c r="G298" s="6">
        <f>L69</f>
        <v/>
      </c>
      <c r="H298" s="99" t="n"/>
      <c r="I298" s="99" t="n"/>
      <c r="J298" s="99" t="n"/>
      <c r="K298" s="99" t="n"/>
      <c r="L298" s="99" t="n"/>
      <c r="M298" s="99" t="n"/>
    </row>
    <row r="299">
      <c r="C299" s="6" t="inlineStr">
        <is>
          <t>2013-04</t>
        </is>
      </c>
      <c r="D299" s="6">
        <f>D70</f>
        <v/>
      </c>
      <c r="E299" s="6">
        <f>J70</f>
        <v/>
      </c>
      <c r="F299" s="6">
        <f>K70</f>
        <v/>
      </c>
      <c r="G299" s="6">
        <f>L70</f>
        <v/>
      </c>
      <c r="H299" s="99" t="n"/>
      <c r="I299" s="99" t="n"/>
      <c r="J299" s="99" t="n"/>
      <c r="K299" s="99" t="n"/>
      <c r="L299" s="99" t="n"/>
      <c r="M299" s="99" t="n"/>
    </row>
    <row r="300">
      <c r="C300" s="6" t="inlineStr">
        <is>
          <t>2013-05</t>
        </is>
      </c>
      <c r="D300" s="6">
        <f>D71</f>
        <v/>
      </c>
      <c r="E300" s="6">
        <f>J71</f>
        <v/>
      </c>
      <c r="F300" s="6">
        <f>K71</f>
        <v/>
      </c>
      <c r="G300" s="6">
        <f>L71</f>
        <v/>
      </c>
      <c r="H300" s="99" t="n"/>
      <c r="I300" s="99" t="n"/>
      <c r="J300" s="99" t="n"/>
      <c r="K300" s="99" t="n"/>
      <c r="L300" s="99" t="n"/>
      <c r="M300" s="99" t="n"/>
    </row>
    <row r="301">
      <c r="C301" s="6" t="inlineStr">
        <is>
          <t>2013-06</t>
        </is>
      </c>
      <c r="D301" s="6">
        <f>D72</f>
        <v/>
      </c>
      <c r="E301" s="6">
        <f>J72</f>
        <v/>
      </c>
      <c r="F301" s="6">
        <f>K72</f>
        <v/>
      </c>
      <c r="G301" s="6">
        <f>L72</f>
        <v/>
      </c>
      <c r="H301" s="99" t="n"/>
      <c r="I301" s="99" t="n"/>
      <c r="J301" s="99" t="n"/>
      <c r="K301" s="99" t="n"/>
      <c r="L301" s="99" t="n"/>
      <c r="M301" s="99" t="n"/>
    </row>
    <row r="302">
      <c r="C302" s="6" t="inlineStr">
        <is>
          <t>2013-07</t>
        </is>
      </c>
      <c r="D302" s="6">
        <f>D73</f>
        <v/>
      </c>
      <c r="E302" s="6">
        <f>J73</f>
        <v/>
      </c>
      <c r="F302" s="6">
        <f>K73</f>
        <v/>
      </c>
      <c r="G302" s="6">
        <f>L73</f>
        <v/>
      </c>
      <c r="H302" s="99" t="n"/>
      <c r="I302" s="99" t="n"/>
      <c r="J302" s="99" t="n"/>
      <c r="K302" s="99" t="n"/>
      <c r="L302" s="99" t="n"/>
      <c r="M302" s="99" t="n"/>
    </row>
    <row r="303">
      <c r="C303" s="6" t="inlineStr">
        <is>
          <t>2013-08</t>
        </is>
      </c>
      <c r="D303" s="6">
        <f>D74</f>
        <v/>
      </c>
      <c r="E303" s="6">
        <f>J74</f>
        <v/>
      </c>
      <c r="F303" s="6">
        <f>K74</f>
        <v/>
      </c>
      <c r="G303" s="6">
        <f>L74</f>
        <v/>
      </c>
      <c r="H303" s="99" t="n"/>
      <c r="I303" s="99" t="n"/>
      <c r="J303" s="99" t="n"/>
      <c r="K303" s="99" t="n"/>
      <c r="L303" s="99" t="n"/>
      <c r="M303" s="99" t="n"/>
    </row>
    <row r="304">
      <c r="C304" s="6" t="inlineStr">
        <is>
          <t>2013-09</t>
        </is>
      </c>
      <c r="D304" s="6">
        <f>D75</f>
        <v/>
      </c>
      <c r="E304" s="6">
        <f>J75</f>
        <v/>
      </c>
      <c r="F304" s="6">
        <f>K75</f>
        <v/>
      </c>
      <c r="G304" s="6">
        <f>L75</f>
        <v/>
      </c>
      <c r="H304" s="99" t="n"/>
      <c r="I304" s="99" t="n"/>
      <c r="J304" s="99" t="n"/>
      <c r="K304" s="99" t="n"/>
      <c r="L304" s="99" t="n"/>
      <c r="M304" s="99" t="n"/>
    </row>
    <row r="305">
      <c r="C305" s="6" t="inlineStr">
        <is>
          <t>2013-10</t>
        </is>
      </c>
      <c r="D305" s="6">
        <f>D76</f>
        <v/>
      </c>
      <c r="E305" s="6">
        <f>J76</f>
        <v/>
      </c>
      <c r="F305" s="6">
        <f>K76</f>
        <v/>
      </c>
      <c r="G305" s="6">
        <f>L76</f>
        <v/>
      </c>
      <c r="H305" s="99" t="n"/>
      <c r="I305" s="99" t="n"/>
      <c r="J305" s="99" t="n"/>
      <c r="K305" s="99" t="n"/>
      <c r="L305" s="99" t="n"/>
      <c r="M305" s="99" t="n"/>
    </row>
    <row r="306">
      <c r="C306" s="6" t="inlineStr">
        <is>
          <t>2013-11</t>
        </is>
      </c>
      <c r="D306" s="6">
        <f>D77</f>
        <v/>
      </c>
      <c r="E306" s="6">
        <f>J77</f>
        <v/>
      </c>
      <c r="F306" s="6">
        <f>K77</f>
        <v/>
      </c>
      <c r="G306" s="6">
        <f>L77</f>
        <v/>
      </c>
      <c r="H306" s="99" t="n"/>
      <c r="I306" s="99" t="n"/>
      <c r="J306" s="99" t="n"/>
      <c r="K306" s="99" t="n"/>
      <c r="L306" s="99" t="n"/>
      <c r="M306" s="99" t="n"/>
    </row>
    <row r="307">
      <c r="C307" s="6" t="inlineStr">
        <is>
          <t>2013-12</t>
        </is>
      </c>
      <c r="D307" s="6">
        <f>D78</f>
        <v/>
      </c>
      <c r="E307" s="6">
        <f>J78</f>
        <v/>
      </c>
      <c r="F307" s="6">
        <f>K78</f>
        <v/>
      </c>
      <c r="G307" s="6">
        <f>L78</f>
        <v/>
      </c>
      <c r="H307" s="99" t="n"/>
      <c r="I307" s="99" t="n"/>
      <c r="J307" s="99" t="n"/>
      <c r="K307" s="99" t="n"/>
      <c r="L307" s="99" t="n"/>
      <c r="M307" s="99" t="n"/>
    </row>
    <row r="308">
      <c r="C308" s="6" t="inlineStr">
        <is>
          <t>2014-01</t>
        </is>
      </c>
      <c r="D308" s="6">
        <f>D79</f>
        <v/>
      </c>
      <c r="E308" s="6">
        <f>J79</f>
        <v/>
      </c>
      <c r="F308" s="6">
        <f>K79</f>
        <v/>
      </c>
      <c r="G308" s="6">
        <f>L79</f>
        <v/>
      </c>
      <c r="H308" s="99" t="n"/>
      <c r="I308" s="99" t="n"/>
      <c r="J308" s="99" t="n"/>
      <c r="K308" s="99" t="n"/>
      <c r="L308" s="99" t="n"/>
      <c r="M308" s="99" t="n"/>
    </row>
    <row r="309">
      <c r="C309" s="6" t="inlineStr">
        <is>
          <t>2014-02</t>
        </is>
      </c>
      <c r="D309" s="6">
        <f>D80</f>
        <v/>
      </c>
      <c r="E309" s="6">
        <f>J80</f>
        <v/>
      </c>
      <c r="F309" s="6">
        <f>K80</f>
        <v/>
      </c>
      <c r="G309" s="6">
        <f>L80</f>
        <v/>
      </c>
      <c r="H309" s="99" t="n"/>
      <c r="I309" s="99" t="n"/>
      <c r="J309" s="99" t="n"/>
      <c r="K309" s="99" t="n"/>
      <c r="L309" s="99" t="n"/>
      <c r="M309" s="99" t="n"/>
    </row>
    <row r="310">
      <c r="C310" s="6" t="inlineStr">
        <is>
          <t>2014-03</t>
        </is>
      </c>
      <c r="D310" s="6">
        <f>D81</f>
        <v/>
      </c>
      <c r="E310" s="6">
        <f>J81</f>
        <v/>
      </c>
      <c r="F310" s="6">
        <f>K81</f>
        <v/>
      </c>
      <c r="G310" s="6">
        <f>L81</f>
        <v/>
      </c>
      <c r="H310" s="99" t="n"/>
      <c r="I310" s="99" t="n"/>
      <c r="J310" s="99" t="n"/>
      <c r="K310" s="99" t="n"/>
      <c r="L310" s="99" t="n"/>
      <c r="M310" s="99" t="n"/>
    </row>
    <row r="311">
      <c r="C311" s="6" t="inlineStr">
        <is>
          <t>2014-04</t>
        </is>
      </c>
      <c r="D311" s="6">
        <f>D82</f>
        <v/>
      </c>
      <c r="E311" s="6">
        <f>J82</f>
        <v/>
      </c>
      <c r="F311" s="6">
        <f>K82</f>
        <v/>
      </c>
      <c r="G311" s="6">
        <f>L82</f>
        <v/>
      </c>
      <c r="H311" s="99" t="n"/>
      <c r="I311" s="99" t="n"/>
      <c r="J311" s="99" t="n"/>
      <c r="K311" s="99" t="n"/>
      <c r="L311" s="99" t="n"/>
      <c r="M311" s="99" t="n"/>
    </row>
    <row r="312">
      <c r="C312" s="6" t="inlineStr">
        <is>
          <t>2014-05</t>
        </is>
      </c>
      <c r="D312" s="6">
        <f>D83</f>
        <v/>
      </c>
      <c r="E312" s="6">
        <f>J83</f>
        <v/>
      </c>
      <c r="F312" s="6">
        <f>K83</f>
        <v/>
      </c>
      <c r="G312" s="6">
        <f>L83</f>
        <v/>
      </c>
      <c r="H312" s="99" t="n"/>
      <c r="I312" s="99" t="n"/>
      <c r="J312" s="99" t="n"/>
      <c r="K312" s="99" t="n"/>
      <c r="L312" s="99" t="n"/>
      <c r="M312" s="99" t="n"/>
    </row>
    <row r="313">
      <c r="C313" s="6" t="inlineStr">
        <is>
          <t>2014-06</t>
        </is>
      </c>
      <c r="D313" s="6">
        <f>D84</f>
        <v/>
      </c>
      <c r="E313" s="6">
        <f>J84</f>
        <v/>
      </c>
      <c r="F313" s="6">
        <f>K84</f>
        <v/>
      </c>
      <c r="G313" s="6">
        <f>L84</f>
        <v/>
      </c>
      <c r="H313" s="99" t="n"/>
      <c r="I313" s="99" t="n"/>
      <c r="J313" s="99" t="n"/>
      <c r="K313" s="99" t="n"/>
      <c r="L313" s="99" t="n"/>
      <c r="M313" s="99" t="n"/>
    </row>
    <row r="314">
      <c r="C314" s="6" t="inlineStr">
        <is>
          <t>2014-07</t>
        </is>
      </c>
      <c r="D314" s="6">
        <f>D85</f>
        <v/>
      </c>
      <c r="E314" s="6">
        <f>J85</f>
        <v/>
      </c>
      <c r="F314" s="6">
        <f>K85</f>
        <v/>
      </c>
      <c r="G314" s="6">
        <f>L85</f>
        <v/>
      </c>
      <c r="H314" s="99" t="n"/>
      <c r="I314" s="99" t="n"/>
      <c r="J314" s="99" t="n"/>
      <c r="K314" s="99" t="n"/>
      <c r="L314" s="99" t="n"/>
      <c r="M314" s="99" t="n"/>
    </row>
    <row r="315">
      <c r="C315" s="6" t="inlineStr">
        <is>
          <t>2014-08</t>
        </is>
      </c>
      <c r="D315" s="6">
        <f>D86</f>
        <v/>
      </c>
      <c r="E315" s="6">
        <f>J86</f>
        <v/>
      </c>
      <c r="F315" s="6">
        <f>K86</f>
        <v/>
      </c>
      <c r="G315" s="6">
        <f>L86</f>
        <v/>
      </c>
      <c r="H315" s="99" t="n"/>
      <c r="I315" s="99" t="n"/>
      <c r="J315" s="99" t="n"/>
      <c r="K315" s="99" t="n"/>
      <c r="L315" s="99" t="n"/>
      <c r="M315" s="99" t="n"/>
    </row>
    <row r="316">
      <c r="C316" s="6" t="inlineStr">
        <is>
          <t>2014-09</t>
        </is>
      </c>
      <c r="D316" s="6">
        <f>D87</f>
        <v/>
      </c>
      <c r="E316" s="6">
        <f>J87</f>
        <v/>
      </c>
      <c r="F316" s="6">
        <f>K87</f>
        <v/>
      </c>
      <c r="G316" s="6">
        <f>L87</f>
        <v/>
      </c>
      <c r="H316" s="99" t="n"/>
      <c r="I316" s="99" t="n"/>
      <c r="J316" s="99" t="n"/>
      <c r="K316" s="99" t="n"/>
      <c r="L316" s="99" t="n"/>
      <c r="M316" s="99" t="n"/>
    </row>
    <row r="317">
      <c r="C317" s="6" t="inlineStr">
        <is>
          <t>2014-10</t>
        </is>
      </c>
      <c r="D317" s="6">
        <f>D88</f>
        <v/>
      </c>
      <c r="E317" s="6">
        <f>J88</f>
        <v/>
      </c>
      <c r="F317" s="6">
        <f>K88</f>
        <v/>
      </c>
      <c r="G317" s="6">
        <f>L88</f>
        <v/>
      </c>
      <c r="H317" s="99" t="n"/>
      <c r="I317" s="99" t="n"/>
      <c r="J317" s="99" t="n"/>
      <c r="K317" s="99" t="n"/>
      <c r="L317" s="99" t="n"/>
      <c r="M317" s="99" t="n"/>
    </row>
    <row r="318">
      <c r="C318" s="6" t="inlineStr">
        <is>
          <t>2014-11</t>
        </is>
      </c>
      <c r="D318" s="6">
        <f>D89</f>
        <v/>
      </c>
      <c r="E318" s="6">
        <f>J89</f>
        <v/>
      </c>
      <c r="F318" s="6">
        <f>K89</f>
        <v/>
      </c>
      <c r="G318" s="6">
        <f>L89</f>
        <v/>
      </c>
      <c r="H318" s="99" t="n"/>
      <c r="I318" s="99" t="n"/>
      <c r="J318" s="99" t="n"/>
      <c r="K318" s="99" t="n"/>
      <c r="L318" s="99" t="n"/>
      <c r="M318" s="99" t="n"/>
    </row>
    <row r="319">
      <c r="C319" s="6" t="inlineStr">
        <is>
          <t>2014-12</t>
        </is>
      </c>
      <c r="D319" s="6">
        <f>D90</f>
        <v/>
      </c>
      <c r="E319" s="6">
        <f>J90</f>
        <v/>
      </c>
      <c r="F319" s="6">
        <f>K90</f>
        <v/>
      </c>
      <c r="G319" s="6">
        <f>L90</f>
        <v/>
      </c>
      <c r="H319" s="99" t="n"/>
      <c r="I319" s="99" t="n"/>
      <c r="J319" s="99" t="n"/>
      <c r="K319" s="99" t="n"/>
      <c r="L319" s="99" t="n"/>
      <c r="M319" s="99" t="n"/>
    </row>
    <row r="320">
      <c r="C320" s="6" t="inlineStr">
        <is>
          <t>2015-01</t>
        </is>
      </c>
      <c r="D320" s="6">
        <f>D91</f>
        <v/>
      </c>
      <c r="E320" s="6">
        <f>J91</f>
        <v/>
      </c>
      <c r="F320" s="6">
        <f>K91</f>
        <v/>
      </c>
      <c r="G320" s="6">
        <f>L91</f>
        <v/>
      </c>
      <c r="H320" s="99" t="n"/>
      <c r="I320" s="99" t="n"/>
      <c r="J320" s="99" t="n"/>
      <c r="K320" s="99" t="n"/>
      <c r="L320" s="99" t="n"/>
      <c r="M320" s="99" t="n"/>
    </row>
    <row r="321">
      <c r="C321" s="6" t="inlineStr">
        <is>
          <t>2015-02</t>
        </is>
      </c>
      <c r="D321" s="6">
        <f>D92</f>
        <v/>
      </c>
      <c r="E321" s="6">
        <f>J92</f>
        <v/>
      </c>
      <c r="F321" s="6">
        <f>K92</f>
        <v/>
      </c>
      <c r="G321" s="6">
        <f>L92</f>
        <v/>
      </c>
      <c r="H321" s="99" t="n"/>
      <c r="I321" s="99" t="n"/>
      <c r="J321" s="99" t="n"/>
      <c r="K321" s="99" t="n"/>
      <c r="L321" s="99" t="n"/>
      <c r="M321" s="99" t="n"/>
    </row>
    <row r="322">
      <c r="C322" s="6" t="inlineStr">
        <is>
          <t>2015-03</t>
        </is>
      </c>
      <c r="D322" s="6">
        <f>D93</f>
        <v/>
      </c>
      <c r="E322" s="6">
        <f>J93</f>
        <v/>
      </c>
      <c r="F322" s="6">
        <f>K93</f>
        <v/>
      </c>
      <c r="G322" s="6">
        <f>L93</f>
        <v/>
      </c>
      <c r="H322" s="99" t="n"/>
      <c r="I322" s="99" t="n"/>
      <c r="J322" s="99" t="n"/>
      <c r="K322" s="99" t="n"/>
      <c r="L322" s="99" t="n"/>
      <c r="M322" s="99" t="n"/>
    </row>
    <row r="323">
      <c r="C323" s="6" t="inlineStr">
        <is>
          <t>2015-04</t>
        </is>
      </c>
      <c r="D323" s="6">
        <f>D94</f>
        <v/>
      </c>
      <c r="E323" s="6">
        <f>J94</f>
        <v/>
      </c>
      <c r="F323" s="6">
        <f>K94</f>
        <v/>
      </c>
      <c r="G323" s="6">
        <f>L94</f>
        <v/>
      </c>
      <c r="H323" s="99" t="n"/>
      <c r="I323" s="99" t="n"/>
      <c r="J323" s="99" t="n"/>
      <c r="K323" s="99" t="n"/>
      <c r="L323" s="99" t="n"/>
      <c r="M323" s="99" t="n"/>
    </row>
    <row r="324">
      <c r="C324" s="6" t="inlineStr">
        <is>
          <t>2015-05</t>
        </is>
      </c>
      <c r="D324" s="6">
        <f>D95</f>
        <v/>
      </c>
      <c r="E324" s="6">
        <f>J95</f>
        <v/>
      </c>
      <c r="F324" s="6">
        <f>K95</f>
        <v/>
      </c>
      <c r="G324" s="6">
        <f>L95</f>
        <v/>
      </c>
      <c r="H324" s="99" t="n"/>
      <c r="I324" s="99" t="n"/>
      <c r="J324" s="99" t="n"/>
      <c r="K324" s="99" t="n"/>
      <c r="L324" s="99" t="n"/>
      <c r="M324" s="99" t="n"/>
    </row>
    <row r="325">
      <c r="C325" s="6" t="inlineStr">
        <is>
          <t>2015-06</t>
        </is>
      </c>
      <c r="D325" s="6">
        <f>D96</f>
        <v/>
      </c>
      <c r="E325" s="6">
        <f>J96</f>
        <v/>
      </c>
      <c r="F325" s="6">
        <f>K96</f>
        <v/>
      </c>
      <c r="G325" s="6">
        <f>L96</f>
        <v/>
      </c>
      <c r="H325" s="99" t="n"/>
      <c r="I325" s="99" t="n"/>
      <c r="J325" s="99" t="n"/>
      <c r="K325" s="99" t="n"/>
      <c r="L325" s="99" t="n"/>
      <c r="M325" s="99" t="n"/>
    </row>
    <row r="326">
      <c r="C326" s="6" t="inlineStr">
        <is>
          <t>2015-07</t>
        </is>
      </c>
      <c r="D326" s="6">
        <f>D97</f>
        <v/>
      </c>
      <c r="E326" s="6">
        <f>J97</f>
        <v/>
      </c>
      <c r="F326" s="6">
        <f>K97</f>
        <v/>
      </c>
      <c r="G326" s="6">
        <f>L97</f>
        <v/>
      </c>
      <c r="H326" s="99" t="n"/>
      <c r="I326" s="99" t="n"/>
      <c r="J326" s="99" t="n"/>
      <c r="K326" s="99" t="n"/>
      <c r="L326" s="99" t="n"/>
      <c r="M326" s="99" t="n"/>
    </row>
    <row r="327">
      <c r="C327" s="6" t="inlineStr">
        <is>
          <t>2015-08</t>
        </is>
      </c>
      <c r="D327" s="6">
        <f>D98</f>
        <v/>
      </c>
      <c r="E327" s="6">
        <f>J98</f>
        <v/>
      </c>
      <c r="F327" s="6">
        <f>K98</f>
        <v/>
      </c>
      <c r="G327" s="6">
        <f>L98</f>
        <v/>
      </c>
      <c r="H327" s="99" t="n"/>
      <c r="I327" s="99" t="n"/>
      <c r="J327" s="99" t="n"/>
      <c r="K327" s="99" t="n"/>
      <c r="L327" s="99" t="n"/>
      <c r="M327" s="99" t="n"/>
    </row>
    <row r="328">
      <c r="C328" s="6" t="inlineStr">
        <is>
          <t>2015-09</t>
        </is>
      </c>
      <c r="D328" s="6">
        <f>D99</f>
        <v/>
      </c>
      <c r="E328" s="6">
        <f>J99</f>
        <v/>
      </c>
      <c r="F328" s="6">
        <f>K99</f>
        <v/>
      </c>
      <c r="G328" s="6">
        <f>L99</f>
        <v/>
      </c>
      <c r="H328" s="99" t="n"/>
      <c r="I328" s="99" t="n"/>
      <c r="J328" s="99" t="n"/>
      <c r="K328" s="99" t="n"/>
      <c r="L328" s="99" t="n"/>
      <c r="M328" s="99" t="n"/>
    </row>
    <row r="329">
      <c r="C329" s="6" t="inlineStr">
        <is>
          <t>2015-10</t>
        </is>
      </c>
      <c r="D329" s="6">
        <f>D100</f>
        <v/>
      </c>
      <c r="E329" s="6">
        <f>J100</f>
        <v/>
      </c>
      <c r="F329" s="6">
        <f>K100</f>
        <v/>
      </c>
      <c r="G329" s="6">
        <f>L100</f>
        <v/>
      </c>
      <c r="H329" s="99" t="n"/>
      <c r="I329" s="99" t="n"/>
      <c r="J329" s="99" t="n"/>
      <c r="K329" s="99" t="n"/>
      <c r="L329" s="99" t="n"/>
      <c r="M329" s="99" t="n"/>
    </row>
    <row r="330">
      <c r="C330" s="6" t="inlineStr">
        <is>
          <t>2015-11</t>
        </is>
      </c>
      <c r="D330" s="6">
        <f>D101</f>
        <v/>
      </c>
      <c r="E330" s="6">
        <f>J101</f>
        <v/>
      </c>
      <c r="F330" s="6">
        <f>K101</f>
        <v/>
      </c>
      <c r="G330" s="6">
        <f>L101</f>
        <v/>
      </c>
      <c r="H330" s="99" t="n"/>
      <c r="I330" s="99" t="n"/>
      <c r="J330" s="99" t="n"/>
      <c r="K330" s="99" t="n"/>
      <c r="L330" s="99" t="n"/>
      <c r="M330" s="99" t="n"/>
    </row>
    <row r="331">
      <c r="C331" s="6" t="inlineStr">
        <is>
          <t>2015-12</t>
        </is>
      </c>
      <c r="D331" s="6">
        <f>D102</f>
        <v/>
      </c>
      <c r="E331" s="6">
        <f>J102</f>
        <v/>
      </c>
      <c r="F331" s="6">
        <f>K102</f>
        <v/>
      </c>
      <c r="G331" s="6">
        <f>L102</f>
        <v/>
      </c>
      <c r="H331" s="99" t="n"/>
      <c r="I331" s="99" t="n"/>
      <c r="J331" s="99" t="n"/>
      <c r="K331" s="99" t="n"/>
      <c r="L331" s="99" t="n"/>
      <c r="M331" s="99" t="n"/>
    </row>
    <row r="332">
      <c r="C332" s="6" t="inlineStr">
        <is>
          <t>2016-01</t>
        </is>
      </c>
      <c r="D332" s="6">
        <f>D103</f>
        <v/>
      </c>
      <c r="E332" s="6">
        <f>J103</f>
        <v/>
      </c>
      <c r="F332" s="6">
        <f>K103</f>
        <v/>
      </c>
      <c r="G332" s="6">
        <f>L103</f>
        <v/>
      </c>
      <c r="H332" s="99" t="n"/>
      <c r="I332" s="99" t="n"/>
      <c r="J332" s="99" t="n"/>
      <c r="K332" s="99" t="n"/>
      <c r="L332" s="99" t="n"/>
      <c r="M332" s="99" t="n"/>
    </row>
    <row r="333">
      <c r="C333" s="6" t="inlineStr">
        <is>
          <t>2016-02</t>
        </is>
      </c>
      <c r="D333" s="6">
        <f>D104</f>
        <v/>
      </c>
      <c r="E333" s="6">
        <f>J104</f>
        <v/>
      </c>
      <c r="F333" s="6">
        <f>K104</f>
        <v/>
      </c>
      <c r="G333" s="6">
        <f>L104</f>
        <v/>
      </c>
      <c r="H333" s="99" t="n"/>
      <c r="I333" s="99" t="n"/>
      <c r="J333" s="99" t="n"/>
      <c r="K333" s="99" t="n"/>
      <c r="L333" s="99" t="n"/>
      <c r="M333" s="99" t="n"/>
    </row>
    <row r="334">
      <c r="C334" s="6" t="inlineStr">
        <is>
          <t>2016-03</t>
        </is>
      </c>
      <c r="D334" s="6">
        <f>D105</f>
        <v/>
      </c>
      <c r="E334" s="6">
        <f>J105</f>
        <v/>
      </c>
      <c r="F334" s="6">
        <f>K105</f>
        <v/>
      </c>
      <c r="G334" s="6">
        <f>L105</f>
        <v/>
      </c>
      <c r="H334" s="99" t="n"/>
      <c r="I334" s="99" t="n"/>
      <c r="J334" s="99" t="n"/>
      <c r="K334" s="99" t="n"/>
      <c r="L334" s="99" t="n"/>
      <c r="M334" s="99" t="n"/>
    </row>
    <row r="335">
      <c r="C335" s="6" t="inlineStr">
        <is>
          <t>2016-04</t>
        </is>
      </c>
      <c r="D335" s="6">
        <f>D106</f>
        <v/>
      </c>
      <c r="E335" s="6">
        <f>J106</f>
        <v/>
      </c>
      <c r="F335" s="6">
        <f>K106</f>
        <v/>
      </c>
      <c r="G335" s="6">
        <f>L106</f>
        <v/>
      </c>
      <c r="H335" s="99" t="n"/>
      <c r="I335" s="99" t="n"/>
      <c r="J335" s="99" t="n"/>
      <c r="K335" s="99" t="n"/>
      <c r="L335" s="99" t="n"/>
      <c r="M335" s="99" t="n"/>
    </row>
    <row r="336">
      <c r="C336" s="6" t="inlineStr">
        <is>
          <t>2016-05</t>
        </is>
      </c>
      <c r="D336" s="6">
        <f>D107</f>
        <v/>
      </c>
      <c r="E336" s="6">
        <f>J107</f>
        <v/>
      </c>
      <c r="F336" s="6">
        <f>K107</f>
        <v/>
      </c>
      <c r="G336" s="6">
        <f>L107</f>
        <v/>
      </c>
      <c r="H336" s="99" t="n"/>
      <c r="I336" s="99" t="n"/>
      <c r="J336" s="99" t="n"/>
      <c r="K336" s="99" t="n"/>
      <c r="L336" s="99" t="n"/>
      <c r="M336" s="99" t="n"/>
    </row>
    <row r="337">
      <c r="C337" s="6" t="inlineStr">
        <is>
          <t>2016-06</t>
        </is>
      </c>
      <c r="D337" s="6">
        <f>D108</f>
        <v/>
      </c>
      <c r="E337" s="6">
        <f>J108</f>
        <v/>
      </c>
      <c r="F337" s="6">
        <f>K108</f>
        <v/>
      </c>
      <c r="G337" s="6">
        <f>L108</f>
        <v/>
      </c>
      <c r="H337" s="99" t="n"/>
      <c r="I337" s="99" t="n"/>
      <c r="J337" s="99" t="n"/>
      <c r="K337" s="99" t="n"/>
      <c r="L337" s="99" t="n"/>
      <c r="M337" s="99" t="n"/>
    </row>
    <row r="338">
      <c r="C338" s="6" t="inlineStr">
        <is>
          <t>2016-07</t>
        </is>
      </c>
      <c r="D338" s="6">
        <f>D109</f>
        <v/>
      </c>
      <c r="E338" s="6">
        <f>J109</f>
        <v/>
      </c>
      <c r="F338" s="6">
        <f>K109</f>
        <v/>
      </c>
      <c r="G338" s="6">
        <f>L109</f>
        <v/>
      </c>
      <c r="H338" s="99" t="n"/>
      <c r="I338" s="99" t="n"/>
      <c r="J338" s="99" t="n"/>
      <c r="K338" s="99" t="n"/>
      <c r="L338" s="99" t="n"/>
      <c r="M338" s="99" t="n"/>
    </row>
    <row r="339">
      <c r="C339" s="6" t="inlineStr">
        <is>
          <t>2016-08</t>
        </is>
      </c>
      <c r="D339" s="6">
        <f>D110</f>
        <v/>
      </c>
      <c r="E339" s="6">
        <f>J110</f>
        <v/>
      </c>
      <c r="F339" s="6">
        <f>K110</f>
        <v/>
      </c>
      <c r="G339" s="6">
        <f>L110</f>
        <v/>
      </c>
      <c r="H339" s="99" t="n"/>
      <c r="I339" s="99" t="n"/>
      <c r="J339" s="99" t="n"/>
      <c r="K339" s="99" t="n"/>
      <c r="L339" s="99" t="n"/>
      <c r="M339" s="99" t="n"/>
    </row>
    <row r="340">
      <c r="C340" s="6" t="inlineStr">
        <is>
          <t>2016-09</t>
        </is>
      </c>
      <c r="D340" s="6">
        <f>D111</f>
        <v/>
      </c>
      <c r="E340" s="6">
        <f>J111</f>
        <v/>
      </c>
      <c r="F340" s="6">
        <f>K111</f>
        <v/>
      </c>
      <c r="G340" s="6">
        <f>L111</f>
        <v/>
      </c>
      <c r="H340" s="99" t="n"/>
      <c r="I340" s="99" t="n"/>
      <c r="J340" s="99" t="n"/>
      <c r="K340" s="99" t="n"/>
      <c r="L340" s="99" t="n"/>
      <c r="M340" s="99" t="n"/>
    </row>
    <row r="341">
      <c r="C341" s="6" t="inlineStr">
        <is>
          <t>2016-10</t>
        </is>
      </c>
      <c r="D341" s="6">
        <f>D112</f>
        <v/>
      </c>
      <c r="E341" s="6">
        <f>J112</f>
        <v/>
      </c>
      <c r="F341" s="6">
        <f>K112</f>
        <v/>
      </c>
      <c r="G341" s="6">
        <f>L112</f>
        <v/>
      </c>
      <c r="H341" s="99" t="n"/>
      <c r="I341" s="99" t="n"/>
      <c r="J341" s="99" t="n"/>
      <c r="K341" s="99" t="n"/>
      <c r="L341" s="99" t="n"/>
      <c r="M341" s="99" t="n"/>
    </row>
    <row r="342">
      <c r="C342" s="6" t="inlineStr">
        <is>
          <t>2016-11</t>
        </is>
      </c>
      <c r="D342" s="6">
        <f>D113</f>
        <v/>
      </c>
      <c r="E342" s="6">
        <f>J113</f>
        <v/>
      </c>
      <c r="F342" s="6">
        <f>K113</f>
        <v/>
      </c>
      <c r="G342" s="6">
        <f>L113</f>
        <v/>
      </c>
      <c r="H342" s="99" t="n"/>
      <c r="I342" s="99" t="n"/>
      <c r="J342" s="99" t="n"/>
      <c r="K342" s="99" t="n"/>
      <c r="L342" s="99" t="n"/>
      <c r="M342" s="99" t="n"/>
    </row>
    <row r="343">
      <c r="C343" s="6" t="inlineStr">
        <is>
          <t>2016-12</t>
        </is>
      </c>
      <c r="D343" s="6">
        <f>D114</f>
        <v/>
      </c>
      <c r="E343" s="6">
        <f>J114</f>
        <v/>
      </c>
      <c r="F343" s="6">
        <f>K114</f>
        <v/>
      </c>
      <c r="G343" s="6">
        <f>L114</f>
        <v/>
      </c>
      <c r="H343" s="99" t="n"/>
      <c r="I343" s="99" t="n"/>
      <c r="J343" s="99" t="n"/>
      <c r="K343" s="99" t="n"/>
      <c r="L343" s="99" t="n"/>
      <c r="M343" s="99" t="n"/>
    </row>
    <row r="344">
      <c r="C344" s="6" t="inlineStr">
        <is>
          <t>2017-01</t>
        </is>
      </c>
      <c r="D344" s="6">
        <f>D115</f>
        <v/>
      </c>
      <c r="E344" s="6">
        <f>J115</f>
        <v/>
      </c>
      <c r="F344" s="6">
        <f>K115</f>
        <v/>
      </c>
      <c r="G344" s="6">
        <f>L115</f>
        <v/>
      </c>
      <c r="H344" s="99" t="n"/>
      <c r="I344" s="99" t="n"/>
      <c r="J344" s="99" t="n"/>
      <c r="K344" s="99" t="n"/>
      <c r="L344" s="99" t="n"/>
      <c r="M344" s="99" t="n"/>
    </row>
    <row r="345">
      <c r="C345" s="6" t="inlineStr">
        <is>
          <t>2017-02</t>
        </is>
      </c>
      <c r="D345" s="6">
        <f>D116</f>
        <v/>
      </c>
      <c r="E345" s="6">
        <f>J116</f>
        <v/>
      </c>
      <c r="F345" s="6">
        <f>K116</f>
        <v/>
      </c>
      <c r="G345" s="6">
        <f>L116</f>
        <v/>
      </c>
      <c r="H345" s="99" t="n"/>
      <c r="I345" s="99" t="n"/>
      <c r="J345" s="99" t="n"/>
      <c r="K345" s="99" t="n"/>
      <c r="L345" s="99" t="n"/>
      <c r="M345" s="99" t="n"/>
    </row>
    <row r="346">
      <c r="C346" s="6" t="inlineStr">
        <is>
          <t>2017-03</t>
        </is>
      </c>
      <c r="D346" s="6">
        <f>D117</f>
        <v/>
      </c>
      <c r="E346" s="6">
        <f>J117</f>
        <v/>
      </c>
      <c r="F346" s="6">
        <f>K117</f>
        <v/>
      </c>
      <c r="G346" s="6">
        <f>L117</f>
        <v/>
      </c>
      <c r="H346" s="99" t="n"/>
      <c r="I346" s="99" t="n"/>
      <c r="J346" s="99" t="n"/>
      <c r="K346" s="99" t="n"/>
      <c r="L346" s="99" t="n"/>
      <c r="M346" s="99" t="n"/>
    </row>
    <row r="347">
      <c r="C347" s="6" t="inlineStr">
        <is>
          <t>2017-04</t>
        </is>
      </c>
      <c r="D347" s="6">
        <f>D118</f>
        <v/>
      </c>
      <c r="E347" s="6">
        <f>J118</f>
        <v/>
      </c>
      <c r="F347" s="6">
        <f>K118</f>
        <v/>
      </c>
      <c r="G347" s="6">
        <f>L118</f>
        <v/>
      </c>
      <c r="H347" s="99" t="n"/>
      <c r="I347" s="99" t="n"/>
      <c r="J347" s="99" t="n"/>
      <c r="K347" s="99" t="n"/>
      <c r="L347" s="99" t="n"/>
      <c r="M347" s="99" t="n"/>
    </row>
    <row r="348">
      <c r="C348" s="6" t="inlineStr">
        <is>
          <t>2017-05</t>
        </is>
      </c>
      <c r="D348" s="6">
        <f>D119</f>
        <v/>
      </c>
      <c r="E348" s="6">
        <f>J119</f>
        <v/>
      </c>
      <c r="F348" s="6">
        <f>K119</f>
        <v/>
      </c>
      <c r="G348" s="6">
        <f>L119</f>
        <v/>
      </c>
      <c r="H348" s="99" t="n"/>
      <c r="I348" s="99" t="n"/>
      <c r="J348" s="99" t="n"/>
      <c r="K348" s="99" t="n"/>
      <c r="L348" s="99" t="n"/>
      <c r="M348" s="99" t="n"/>
    </row>
    <row r="349">
      <c r="C349" s="6" t="inlineStr">
        <is>
          <t>2017-06</t>
        </is>
      </c>
      <c r="D349" s="6">
        <f>D120</f>
        <v/>
      </c>
      <c r="E349" s="6">
        <f>J120</f>
        <v/>
      </c>
      <c r="F349" s="6">
        <f>K120</f>
        <v/>
      </c>
      <c r="G349" s="6">
        <f>L120</f>
        <v/>
      </c>
      <c r="H349" s="99" t="n"/>
      <c r="I349" s="99" t="n"/>
      <c r="J349" s="99" t="n"/>
      <c r="K349" s="99" t="n"/>
      <c r="L349" s="99" t="n"/>
      <c r="M349" s="99" t="n"/>
    </row>
    <row r="350">
      <c r="C350" s="6" t="inlineStr">
        <is>
          <t>2017-07</t>
        </is>
      </c>
      <c r="D350" s="6">
        <f>D121</f>
        <v/>
      </c>
      <c r="E350" s="6">
        <f>J121</f>
        <v/>
      </c>
      <c r="F350" s="6">
        <f>K121</f>
        <v/>
      </c>
      <c r="G350" s="6">
        <f>L121</f>
        <v/>
      </c>
      <c r="H350" s="99" t="n"/>
      <c r="I350" s="99" t="n"/>
      <c r="J350" s="99" t="n"/>
      <c r="K350" s="99" t="n"/>
      <c r="L350" s="99" t="n"/>
      <c r="M350" s="99" t="n"/>
    </row>
    <row r="351">
      <c r="C351" s="6" t="inlineStr">
        <is>
          <t>2017-08</t>
        </is>
      </c>
      <c r="D351" s="6">
        <f>D122</f>
        <v/>
      </c>
      <c r="E351" s="6">
        <f>J122</f>
        <v/>
      </c>
      <c r="F351" s="6">
        <f>K122</f>
        <v/>
      </c>
      <c r="G351" s="6">
        <f>L122</f>
        <v/>
      </c>
      <c r="H351" s="99" t="n"/>
      <c r="I351" s="99" t="n"/>
      <c r="J351" s="99" t="n"/>
      <c r="K351" s="99" t="n"/>
      <c r="L351" s="99" t="n"/>
      <c r="M351" s="99" t="n"/>
    </row>
    <row r="352">
      <c r="C352" s="6" t="inlineStr">
        <is>
          <t>2017-09</t>
        </is>
      </c>
      <c r="D352" s="6">
        <f>D123</f>
        <v/>
      </c>
      <c r="E352" s="6">
        <f>J123</f>
        <v/>
      </c>
      <c r="F352" s="6">
        <f>K123</f>
        <v/>
      </c>
      <c r="G352" s="6">
        <f>L123</f>
        <v/>
      </c>
      <c r="H352" s="99" t="n"/>
      <c r="I352" s="99" t="n"/>
      <c r="J352" s="99" t="n"/>
      <c r="K352" s="99" t="n"/>
      <c r="L352" s="99" t="n"/>
      <c r="M352" s="99" t="n"/>
    </row>
    <row r="353">
      <c r="C353" s="6" t="inlineStr">
        <is>
          <t>2017-10</t>
        </is>
      </c>
      <c r="D353" s="6">
        <f>D124</f>
        <v/>
      </c>
      <c r="E353" s="6">
        <f>J124</f>
        <v/>
      </c>
      <c r="F353" s="6">
        <f>K124</f>
        <v/>
      </c>
      <c r="G353" s="6">
        <f>L124</f>
        <v/>
      </c>
      <c r="H353" s="99" t="n"/>
      <c r="I353" s="99" t="n"/>
      <c r="J353" s="99" t="n"/>
      <c r="K353" s="99" t="n"/>
      <c r="L353" s="99" t="n"/>
      <c r="M353" s="99" t="n"/>
    </row>
    <row r="354">
      <c r="C354" s="6" t="inlineStr">
        <is>
          <t>2017-11</t>
        </is>
      </c>
      <c r="D354" s="6">
        <f>D125</f>
        <v/>
      </c>
      <c r="E354" s="6">
        <f>J125</f>
        <v/>
      </c>
      <c r="F354" s="6">
        <f>K125</f>
        <v/>
      </c>
      <c r="G354" s="6">
        <f>L125</f>
        <v/>
      </c>
      <c r="H354" s="99" t="n"/>
      <c r="I354" s="99" t="n"/>
      <c r="J354" s="99" t="n"/>
      <c r="K354" s="99" t="n"/>
      <c r="L354" s="99" t="n"/>
      <c r="M354" s="99" t="n"/>
    </row>
    <row r="355">
      <c r="C355" s="6" t="inlineStr">
        <is>
          <t>2017-12</t>
        </is>
      </c>
      <c r="D355" s="6">
        <f>D126</f>
        <v/>
      </c>
      <c r="E355" s="6">
        <f>J126</f>
        <v/>
      </c>
      <c r="F355" s="6">
        <f>K126</f>
        <v/>
      </c>
      <c r="G355" s="6">
        <f>L126</f>
        <v/>
      </c>
      <c r="H355" s="99" t="n"/>
      <c r="I355" s="99" t="n"/>
      <c r="J355" s="99" t="n"/>
      <c r="K355" s="99" t="n"/>
      <c r="L355" s="99" t="n"/>
      <c r="M355" s="99" t="n"/>
    </row>
    <row r="356">
      <c r="C356" s="6" t="inlineStr">
        <is>
          <t>2018-01</t>
        </is>
      </c>
      <c r="D356" s="6">
        <f>D127</f>
        <v/>
      </c>
      <c r="E356" s="6">
        <f>J127</f>
        <v/>
      </c>
      <c r="F356" s="6">
        <f>K127</f>
        <v/>
      </c>
      <c r="G356" s="6">
        <f>L127</f>
        <v/>
      </c>
      <c r="H356" s="99" t="n"/>
      <c r="I356" s="99" t="n"/>
      <c r="J356" s="99" t="n"/>
      <c r="K356" s="99" t="n"/>
      <c r="L356" s="99" t="n"/>
      <c r="M356" s="99" t="n"/>
    </row>
    <row r="357">
      <c r="C357" s="6" t="inlineStr">
        <is>
          <t>2018-02</t>
        </is>
      </c>
      <c r="D357" s="6">
        <f>D128</f>
        <v/>
      </c>
      <c r="E357" s="6">
        <f>J128</f>
        <v/>
      </c>
      <c r="F357" s="6">
        <f>K128</f>
        <v/>
      </c>
      <c r="G357" s="6">
        <f>L128</f>
        <v/>
      </c>
      <c r="H357" s="99" t="n"/>
      <c r="I357" s="99" t="n"/>
      <c r="J357" s="99" t="n"/>
      <c r="K357" s="99" t="n"/>
      <c r="L357" s="99" t="n"/>
      <c r="M357" s="99" t="n"/>
    </row>
    <row r="358">
      <c r="C358" s="6" t="inlineStr">
        <is>
          <t>2018-03</t>
        </is>
      </c>
      <c r="D358" s="6">
        <f>D129</f>
        <v/>
      </c>
      <c r="E358" s="6">
        <f>J129</f>
        <v/>
      </c>
      <c r="F358" s="6">
        <f>K129</f>
        <v/>
      </c>
      <c r="G358" s="6">
        <f>L129</f>
        <v/>
      </c>
      <c r="H358" s="99" t="n"/>
      <c r="I358" s="99" t="n"/>
      <c r="J358" s="99" t="n"/>
      <c r="K358" s="99" t="n"/>
      <c r="L358" s="99" t="n"/>
      <c r="M358" s="99" t="n"/>
    </row>
    <row r="359">
      <c r="C359" s="6" t="inlineStr">
        <is>
          <t>2018-04</t>
        </is>
      </c>
      <c r="D359" s="6">
        <f>D130</f>
        <v/>
      </c>
      <c r="E359" s="6">
        <f>J130</f>
        <v/>
      </c>
      <c r="F359" s="6">
        <f>K130</f>
        <v/>
      </c>
      <c r="G359" s="6">
        <f>L130</f>
        <v/>
      </c>
      <c r="H359" s="99" t="n"/>
      <c r="I359" s="99" t="n"/>
      <c r="J359" s="99" t="n"/>
      <c r="K359" s="99" t="n"/>
      <c r="L359" s="99" t="n"/>
      <c r="M359" s="99" t="n"/>
    </row>
    <row r="360">
      <c r="C360" s="6" t="inlineStr">
        <is>
          <t>2018-05</t>
        </is>
      </c>
      <c r="D360" s="6">
        <f>D131</f>
        <v/>
      </c>
      <c r="E360" s="6">
        <f>J131</f>
        <v/>
      </c>
      <c r="F360" s="6">
        <f>K131</f>
        <v/>
      </c>
      <c r="G360" s="6">
        <f>L131</f>
        <v/>
      </c>
      <c r="H360" s="99" t="n"/>
      <c r="I360" s="99" t="n"/>
      <c r="J360" s="99" t="n"/>
      <c r="K360" s="99" t="n"/>
      <c r="L360" s="99" t="n"/>
      <c r="M360" s="99" t="n"/>
    </row>
    <row r="361">
      <c r="C361" s="6" t="inlineStr">
        <is>
          <t>2018-06</t>
        </is>
      </c>
      <c r="D361" s="6">
        <f>D132</f>
        <v/>
      </c>
      <c r="E361" s="6">
        <f>J132</f>
        <v/>
      </c>
      <c r="F361" s="6">
        <f>K132</f>
        <v/>
      </c>
      <c r="G361" s="6">
        <f>L132</f>
        <v/>
      </c>
      <c r="H361" s="99" t="n"/>
      <c r="I361" s="99" t="n"/>
      <c r="J361" s="99" t="n"/>
      <c r="K361" s="99" t="n"/>
      <c r="L361" s="99" t="n"/>
      <c r="M361" s="99" t="n"/>
    </row>
    <row r="362">
      <c r="C362" s="6" t="inlineStr">
        <is>
          <t>2018-07</t>
        </is>
      </c>
      <c r="D362" s="6">
        <f>D133</f>
        <v/>
      </c>
      <c r="E362" s="6">
        <f>J133</f>
        <v/>
      </c>
      <c r="F362" s="6">
        <f>K133</f>
        <v/>
      </c>
      <c r="G362" s="6">
        <f>L133</f>
        <v/>
      </c>
      <c r="H362" s="99" t="n"/>
      <c r="I362" s="99" t="n"/>
      <c r="J362" s="99" t="n"/>
      <c r="K362" s="99" t="n"/>
      <c r="L362" s="99" t="n"/>
      <c r="M362" s="99" t="n"/>
    </row>
    <row r="363">
      <c r="C363" s="6" t="inlineStr">
        <is>
          <t>2018-08</t>
        </is>
      </c>
      <c r="D363" s="6">
        <f>D134</f>
        <v/>
      </c>
      <c r="E363" s="6">
        <f>J134</f>
        <v/>
      </c>
      <c r="F363" s="6">
        <f>K134</f>
        <v/>
      </c>
      <c r="G363" s="6">
        <f>L134</f>
        <v/>
      </c>
      <c r="H363" s="99" t="n"/>
      <c r="I363" s="99" t="n"/>
      <c r="J363" s="99" t="n"/>
      <c r="K363" s="99" t="n"/>
      <c r="L363" s="99" t="n"/>
      <c r="M363" s="99" t="n"/>
    </row>
    <row r="364">
      <c r="C364" s="6" t="inlineStr">
        <is>
          <t>2018-09</t>
        </is>
      </c>
      <c r="D364" s="6">
        <f>D135</f>
        <v/>
      </c>
      <c r="E364" s="6">
        <f>J135</f>
        <v/>
      </c>
      <c r="F364" s="6">
        <f>K135</f>
        <v/>
      </c>
      <c r="G364" s="6">
        <f>L135</f>
        <v/>
      </c>
      <c r="H364" s="99" t="n"/>
      <c r="I364" s="99" t="n"/>
      <c r="J364" s="99" t="n"/>
      <c r="K364" s="99" t="n"/>
      <c r="L364" s="99" t="n"/>
      <c r="M364" s="99" t="n"/>
    </row>
    <row r="365">
      <c r="C365" s="6" t="inlineStr">
        <is>
          <t>2018-10</t>
        </is>
      </c>
      <c r="D365" s="6">
        <f>D136</f>
        <v/>
      </c>
      <c r="E365" s="6">
        <f>J136</f>
        <v/>
      </c>
      <c r="F365" s="6">
        <f>K136</f>
        <v/>
      </c>
      <c r="G365" s="6">
        <f>L136</f>
        <v/>
      </c>
      <c r="H365" s="99" t="n"/>
      <c r="I365" s="99" t="n"/>
      <c r="J365" s="99" t="n"/>
      <c r="K365" s="99" t="n"/>
      <c r="L365" s="99" t="n"/>
      <c r="M365" s="99" t="n"/>
    </row>
    <row r="366">
      <c r="C366" s="6" t="inlineStr">
        <is>
          <t>2018-11</t>
        </is>
      </c>
      <c r="D366" s="6">
        <f>D137</f>
        <v/>
      </c>
      <c r="E366" s="6">
        <f>J137</f>
        <v/>
      </c>
      <c r="F366" s="6">
        <f>K137</f>
        <v/>
      </c>
      <c r="G366" s="6">
        <f>L137</f>
        <v/>
      </c>
      <c r="H366" s="99" t="n"/>
      <c r="I366" s="99" t="n"/>
      <c r="J366" s="99" t="n"/>
      <c r="K366" s="99" t="n"/>
      <c r="L366" s="99" t="n"/>
      <c r="M366" s="99" t="n"/>
    </row>
    <row r="367">
      <c r="C367" s="6" t="inlineStr">
        <is>
          <t>2018-12</t>
        </is>
      </c>
      <c r="D367" s="6">
        <f>D138</f>
        <v/>
      </c>
      <c r="E367" s="6">
        <f>J138</f>
        <v/>
      </c>
      <c r="F367" s="6">
        <f>K138</f>
        <v/>
      </c>
      <c r="G367" s="6">
        <f>L138</f>
        <v/>
      </c>
      <c r="H367" s="99" t="n"/>
      <c r="I367" s="99" t="n"/>
      <c r="J367" s="99" t="n"/>
      <c r="K367" s="99" t="n"/>
      <c r="L367" s="99" t="n"/>
      <c r="M367" s="99" t="n"/>
    </row>
    <row r="368">
      <c r="C368" s="6" t="inlineStr">
        <is>
          <t>2019-01</t>
        </is>
      </c>
      <c r="D368" s="6">
        <f>D139</f>
        <v/>
      </c>
      <c r="E368" s="6">
        <f>J139</f>
        <v/>
      </c>
      <c r="F368" s="6">
        <f>K139</f>
        <v/>
      </c>
      <c r="G368" s="6">
        <f>L139</f>
        <v/>
      </c>
      <c r="H368" s="99" t="n"/>
      <c r="I368" s="99" t="n"/>
      <c r="J368" s="99" t="n"/>
      <c r="K368" s="99" t="n"/>
      <c r="L368" s="99" t="n"/>
      <c r="M368" s="99" t="n"/>
    </row>
    <row r="369">
      <c r="C369" s="6" t="inlineStr">
        <is>
          <t>2019-02</t>
        </is>
      </c>
      <c r="D369" s="6">
        <f>D140</f>
        <v/>
      </c>
      <c r="E369" s="6">
        <f>J140</f>
        <v/>
      </c>
      <c r="F369" s="6">
        <f>K140</f>
        <v/>
      </c>
      <c r="G369" s="6">
        <f>L140</f>
        <v/>
      </c>
      <c r="H369" s="99" t="n"/>
      <c r="I369" s="99" t="n"/>
      <c r="J369" s="99" t="n"/>
      <c r="K369" s="99" t="n"/>
      <c r="L369" s="99" t="n"/>
      <c r="M369" s="99" t="n"/>
    </row>
    <row r="370">
      <c r="C370" s="6" t="inlineStr">
        <is>
          <t>2019-03</t>
        </is>
      </c>
      <c r="D370" s="6">
        <f>D141</f>
        <v/>
      </c>
      <c r="E370" s="6">
        <f>J141</f>
        <v/>
      </c>
      <c r="F370" s="6">
        <f>K141</f>
        <v/>
      </c>
      <c r="G370" s="6">
        <f>L141</f>
        <v/>
      </c>
      <c r="H370" s="99" t="n"/>
      <c r="I370" s="99" t="n"/>
      <c r="J370" s="99" t="n"/>
      <c r="K370" s="99" t="n"/>
      <c r="L370" s="99" t="n"/>
      <c r="M370" s="99" t="n"/>
    </row>
    <row r="371">
      <c r="C371" s="6" t="inlineStr">
        <is>
          <t>2019-04</t>
        </is>
      </c>
      <c r="D371" s="6">
        <f>D142</f>
        <v/>
      </c>
      <c r="E371" s="6">
        <f>J142</f>
        <v/>
      </c>
      <c r="F371" s="6">
        <f>K142</f>
        <v/>
      </c>
      <c r="G371" s="6">
        <f>L142</f>
        <v/>
      </c>
      <c r="H371" s="99" t="n"/>
      <c r="I371" s="99" t="n"/>
      <c r="J371" s="99" t="n"/>
      <c r="K371" s="99" t="n"/>
      <c r="L371" s="99" t="n"/>
      <c r="M371" s="99" t="n"/>
    </row>
    <row r="372">
      <c r="C372" s="6" t="inlineStr">
        <is>
          <t>2019-05</t>
        </is>
      </c>
      <c r="D372" s="6">
        <f>D143</f>
        <v/>
      </c>
      <c r="E372" s="6">
        <f>J143</f>
        <v/>
      </c>
      <c r="F372" s="6">
        <f>K143</f>
        <v/>
      </c>
      <c r="G372" s="6">
        <f>L143</f>
        <v/>
      </c>
      <c r="H372" s="99" t="n"/>
      <c r="I372" s="99" t="n"/>
      <c r="J372" s="99" t="n"/>
      <c r="K372" s="99" t="n"/>
      <c r="L372" s="99" t="n"/>
      <c r="M372" s="99" t="n"/>
    </row>
    <row r="373">
      <c r="C373" s="6" t="inlineStr">
        <is>
          <t>2019-06</t>
        </is>
      </c>
      <c r="D373" s="6">
        <f>D144</f>
        <v/>
      </c>
      <c r="E373" s="6">
        <f>J144</f>
        <v/>
      </c>
      <c r="F373" s="6">
        <f>K144</f>
        <v/>
      </c>
      <c r="G373" s="6">
        <f>L144</f>
        <v/>
      </c>
      <c r="H373" s="99" t="n"/>
      <c r="I373" s="99" t="n"/>
      <c r="J373" s="99" t="n"/>
      <c r="K373" s="99" t="n"/>
      <c r="L373" s="99" t="n"/>
      <c r="M373" s="99" t="n"/>
    </row>
    <row r="374">
      <c r="C374" s="6" t="inlineStr">
        <is>
          <t>2019-07</t>
        </is>
      </c>
      <c r="D374" s="6">
        <f>D145</f>
        <v/>
      </c>
      <c r="E374" s="6">
        <f>J145</f>
        <v/>
      </c>
      <c r="F374" s="6">
        <f>K145</f>
        <v/>
      </c>
      <c r="G374" s="6">
        <f>L145</f>
        <v/>
      </c>
      <c r="H374" s="99" t="n"/>
      <c r="I374" s="99" t="n"/>
      <c r="J374" s="99" t="n"/>
      <c r="K374" s="99" t="n"/>
      <c r="L374" s="99" t="n"/>
      <c r="M374" s="99" t="n"/>
    </row>
    <row r="375">
      <c r="C375" s="6" t="inlineStr">
        <is>
          <t>2019-08</t>
        </is>
      </c>
      <c r="D375" s="6">
        <f>D146</f>
        <v/>
      </c>
      <c r="E375" s="6">
        <f>J146</f>
        <v/>
      </c>
      <c r="F375" s="6">
        <f>K146</f>
        <v/>
      </c>
      <c r="G375" s="6">
        <f>L146</f>
        <v/>
      </c>
      <c r="H375" s="99" t="n"/>
      <c r="I375" s="99" t="n"/>
      <c r="J375" s="99" t="n"/>
      <c r="K375" s="99" t="n"/>
      <c r="L375" s="99" t="n"/>
      <c r="M375" s="99" t="n"/>
    </row>
    <row r="376">
      <c r="C376" s="6" t="inlineStr">
        <is>
          <t>2019-09</t>
        </is>
      </c>
      <c r="D376" s="6">
        <f>D147</f>
        <v/>
      </c>
      <c r="E376" s="6">
        <f>J147</f>
        <v/>
      </c>
      <c r="F376" s="6">
        <f>K147</f>
        <v/>
      </c>
      <c r="G376" s="6">
        <f>L147</f>
        <v/>
      </c>
      <c r="H376" s="99" t="n"/>
      <c r="I376" s="99" t="n"/>
      <c r="J376" s="99" t="n"/>
      <c r="K376" s="99" t="n"/>
      <c r="L376" s="99" t="n"/>
      <c r="M376" s="99" t="n"/>
    </row>
    <row r="377">
      <c r="C377" s="6" t="inlineStr">
        <is>
          <t>2019-10</t>
        </is>
      </c>
      <c r="D377" s="6">
        <f>D148</f>
        <v/>
      </c>
      <c r="E377" s="6">
        <f>J148</f>
        <v/>
      </c>
      <c r="F377" s="6">
        <f>K148</f>
        <v/>
      </c>
      <c r="G377" s="6">
        <f>L148</f>
        <v/>
      </c>
      <c r="H377" s="99" t="n"/>
      <c r="I377" s="99" t="n"/>
      <c r="J377" s="99" t="n"/>
      <c r="K377" s="99" t="n"/>
      <c r="L377" s="99" t="n"/>
      <c r="M377" s="99" t="n"/>
    </row>
    <row r="378">
      <c r="C378" s="6" t="inlineStr">
        <is>
          <t>2019-11</t>
        </is>
      </c>
      <c r="D378" s="6">
        <f>D149</f>
        <v/>
      </c>
      <c r="E378" s="6">
        <f>J149</f>
        <v/>
      </c>
      <c r="F378" s="6">
        <f>K149</f>
        <v/>
      </c>
      <c r="G378" s="6">
        <f>L149</f>
        <v/>
      </c>
      <c r="H378" s="99" t="n"/>
      <c r="I378" s="99" t="n"/>
      <c r="J378" s="99" t="n"/>
      <c r="K378" s="99" t="n"/>
      <c r="L378" s="99" t="n"/>
      <c r="M378" s="99" t="n"/>
    </row>
    <row r="379">
      <c r="C379" s="6" t="inlineStr">
        <is>
          <t>2019-12</t>
        </is>
      </c>
      <c r="D379" s="6">
        <f>D150</f>
        <v/>
      </c>
      <c r="E379" s="6">
        <f>J150</f>
        <v/>
      </c>
      <c r="F379" s="6">
        <f>K150</f>
        <v/>
      </c>
      <c r="G379" s="6">
        <f>L150</f>
        <v/>
      </c>
      <c r="H379" s="99" t="n"/>
      <c r="I379" s="99" t="n"/>
      <c r="J379" s="99" t="n"/>
      <c r="K379" s="99" t="n"/>
      <c r="L379" s="99" t="n"/>
      <c r="M379" s="99" t="n"/>
    </row>
    <row r="380">
      <c r="C380" s="6" t="inlineStr">
        <is>
          <t>2020-01</t>
        </is>
      </c>
      <c r="D380" s="6">
        <f>D151</f>
        <v/>
      </c>
      <c r="E380" s="6">
        <f>J151</f>
        <v/>
      </c>
      <c r="F380" s="6">
        <f>K151</f>
        <v/>
      </c>
      <c r="G380" s="6">
        <f>L151</f>
        <v/>
      </c>
      <c r="H380" s="99" t="n"/>
      <c r="I380" s="99" t="n"/>
      <c r="J380" s="99" t="n"/>
      <c r="K380" s="99" t="n"/>
      <c r="L380" s="99" t="n"/>
      <c r="M380" s="99" t="n"/>
    </row>
    <row r="381">
      <c r="C381" s="6" t="inlineStr">
        <is>
          <t>2020-02</t>
        </is>
      </c>
      <c r="D381" s="6">
        <f>D152</f>
        <v/>
      </c>
      <c r="E381" s="6">
        <f>J152</f>
        <v/>
      </c>
      <c r="F381" s="6">
        <f>K152</f>
        <v/>
      </c>
      <c r="G381" s="6">
        <f>L152</f>
        <v/>
      </c>
      <c r="H381" s="99" t="n"/>
      <c r="I381" s="99" t="n"/>
      <c r="J381" s="99" t="n"/>
      <c r="K381" s="99" t="n"/>
      <c r="L381" s="99" t="n"/>
      <c r="M381" s="99" t="n"/>
    </row>
    <row r="382">
      <c r="C382" s="6" t="inlineStr">
        <is>
          <t>2020-03</t>
        </is>
      </c>
      <c r="D382" s="6">
        <f>D153</f>
        <v/>
      </c>
      <c r="E382" s="6">
        <f>J153</f>
        <v/>
      </c>
      <c r="F382" s="6">
        <f>K153</f>
        <v/>
      </c>
      <c r="G382" s="6">
        <f>L153</f>
        <v/>
      </c>
      <c r="H382" s="99" t="n"/>
      <c r="I382" s="99" t="n"/>
      <c r="J382" s="99" t="n"/>
      <c r="K382" s="99" t="n"/>
      <c r="L382" s="99" t="n"/>
      <c r="M382" s="99" t="n"/>
    </row>
    <row r="383">
      <c r="C383" s="6" t="inlineStr">
        <is>
          <t>2020-04</t>
        </is>
      </c>
      <c r="D383" s="6">
        <f>D154</f>
        <v/>
      </c>
      <c r="E383" s="6">
        <f>J154</f>
        <v/>
      </c>
      <c r="F383" s="6">
        <f>K154</f>
        <v/>
      </c>
      <c r="G383" s="6">
        <f>L154</f>
        <v/>
      </c>
      <c r="H383" s="99" t="n"/>
      <c r="I383" s="99" t="n"/>
      <c r="J383" s="99" t="n"/>
      <c r="K383" s="99" t="n"/>
      <c r="L383" s="99" t="n"/>
      <c r="M383" s="99" t="n"/>
    </row>
    <row r="384">
      <c r="C384" s="6" t="inlineStr">
        <is>
          <t>2020-05</t>
        </is>
      </c>
      <c r="D384" s="6">
        <f>D155</f>
        <v/>
      </c>
      <c r="E384" s="6">
        <f>J155</f>
        <v/>
      </c>
      <c r="F384" s="6">
        <f>K155</f>
        <v/>
      </c>
      <c r="G384" s="6">
        <f>L155</f>
        <v/>
      </c>
      <c r="H384" s="99" t="n"/>
      <c r="I384" s="99" t="n"/>
      <c r="J384" s="99" t="n"/>
      <c r="K384" s="99" t="n"/>
      <c r="L384" s="99" t="n"/>
      <c r="M384" s="99" t="n"/>
    </row>
    <row r="385">
      <c r="C385" s="6" t="inlineStr">
        <is>
          <t>2020-06</t>
        </is>
      </c>
      <c r="D385" s="6">
        <f>D156</f>
        <v/>
      </c>
      <c r="E385" s="6">
        <f>J156</f>
        <v/>
      </c>
      <c r="F385" s="6">
        <f>K156</f>
        <v/>
      </c>
      <c r="G385" s="6">
        <f>L156</f>
        <v/>
      </c>
      <c r="H385" s="99" t="n"/>
      <c r="I385" s="99" t="n"/>
      <c r="J385" s="99" t="n"/>
      <c r="K385" s="99" t="n"/>
      <c r="L385" s="99" t="n"/>
      <c r="M385" s="99" t="n"/>
    </row>
    <row r="386">
      <c r="C386" s="6" t="inlineStr">
        <is>
          <t>2020-07</t>
        </is>
      </c>
      <c r="D386" s="6">
        <f>D157</f>
        <v/>
      </c>
      <c r="E386" s="6">
        <f>J157</f>
        <v/>
      </c>
      <c r="F386" s="6">
        <f>K157</f>
        <v/>
      </c>
      <c r="G386" s="6">
        <f>L157</f>
        <v/>
      </c>
      <c r="H386" s="99" t="n"/>
      <c r="I386" s="99" t="n"/>
      <c r="J386" s="99" t="n"/>
      <c r="K386" s="99" t="n"/>
      <c r="L386" s="99" t="n"/>
      <c r="M386" s="99" t="n"/>
    </row>
    <row r="387">
      <c r="C387" s="6" t="inlineStr">
        <is>
          <t>2020-08</t>
        </is>
      </c>
      <c r="D387" s="6">
        <f>D158</f>
        <v/>
      </c>
      <c r="E387" s="6">
        <f>J158</f>
        <v/>
      </c>
      <c r="F387" s="6">
        <f>K158</f>
        <v/>
      </c>
      <c r="G387" s="6">
        <f>L158</f>
        <v/>
      </c>
      <c r="H387" s="99" t="n"/>
      <c r="I387" s="99" t="n"/>
      <c r="J387" s="99" t="n"/>
      <c r="K387" s="99" t="n"/>
      <c r="L387" s="99" t="n"/>
      <c r="M387" s="99" t="n"/>
    </row>
    <row r="388">
      <c r="C388" s="6" t="inlineStr">
        <is>
          <t>2020-09</t>
        </is>
      </c>
      <c r="D388" s="6">
        <f>D159</f>
        <v/>
      </c>
      <c r="E388" s="6">
        <f>J159</f>
        <v/>
      </c>
      <c r="F388" s="6">
        <f>K159</f>
        <v/>
      </c>
      <c r="G388" s="6">
        <f>L159</f>
        <v/>
      </c>
      <c r="H388" s="99" t="n"/>
      <c r="I388" s="99" t="n"/>
      <c r="J388" s="99" t="n"/>
      <c r="K388" s="99" t="n"/>
      <c r="L388" s="99" t="n"/>
      <c r="M388" s="99" t="n"/>
    </row>
    <row r="389">
      <c r="C389" s="6" t="inlineStr">
        <is>
          <t>2020-10</t>
        </is>
      </c>
      <c r="D389" s="6">
        <f>D160</f>
        <v/>
      </c>
      <c r="E389" s="6">
        <f>J160</f>
        <v/>
      </c>
      <c r="F389" s="6">
        <f>K160</f>
        <v/>
      </c>
      <c r="G389" s="6">
        <f>L160</f>
        <v/>
      </c>
      <c r="H389" s="99" t="n"/>
      <c r="I389" s="99" t="n"/>
      <c r="J389" s="99" t="n"/>
      <c r="K389" s="99" t="n"/>
      <c r="L389" s="99" t="n"/>
      <c r="M389" s="99" t="n"/>
    </row>
    <row r="390">
      <c r="C390" s="6" t="inlineStr">
        <is>
          <t>2020-11</t>
        </is>
      </c>
      <c r="D390" s="6">
        <f>D161</f>
        <v/>
      </c>
      <c r="E390" s="6">
        <f>J161</f>
        <v/>
      </c>
      <c r="F390" s="6">
        <f>K161</f>
        <v/>
      </c>
      <c r="G390" s="6">
        <f>L161</f>
        <v/>
      </c>
      <c r="H390" s="99" t="n"/>
      <c r="I390" s="99" t="n"/>
      <c r="J390" s="99" t="n"/>
      <c r="K390" s="99" t="n"/>
      <c r="L390" s="99" t="n"/>
      <c r="M390" s="99" t="n"/>
    </row>
    <row r="391">
      <c r="C391" s="6" t="inlineStr">
        <is>
          <t>2020-12</t>
        </is>
      </c>
      <c r="D391" s="6">
        <f>D162</f>
        <v/>
      </c>
      <c r="E391" s="6">
        <f>J162</f>
        <v/>
      </c>
      <c r="F391" s="6">
        <f>K162</f>
        <v/>
      </c>
      <c r="G391" s="6">
        <f>L162</f>
        <v/>
      </c>
      <c r="H391" s="99" t="n"/>
      <c r="I391" s="99" t="n"/>
      <c r="J391" s="99" t="n"/>
      <c r="K391" s="99" t="n"/>
      <c r="L391" s="99" t="n"/>
      <c r="M391" s="99" t="n"/>
    </row>
    <row r="392">
      <c r="C392" s="6" t="inlineStr">
        <is>
          <t>2021-01</t>
        </is>
      </c>
      <c r="D392" s="6">
        <f>D163</f>
        <v/>
      </c>
      <c r="E392" s="6">
        <f>J163</f>
        <v/>
      </c>
      <c r="F392" s="6">
        <f>K163</f>
        <v/>
      </c>
      <c r="G392" s="6">
        <f>L163</f>
        <v/>
      </c>
      <c r="H392" s="99" t="n"/>
      <c r="I392" s="99" t="n"/>
      <c r="J392" s="99" t="n"/>
      <c r="K392" s="99" t="n"/>
      <c r="L392" s="99" t="n"/>
      <c r="M392" s="99" t="n"/>
    </row>
    <row r="393">
      <c r="C393" s="6" t="inlineStr">
        <is>
          <t>2021-02</t>
        </is>
      </c>
      <c r="D393" s="6">
        <f>D164</f>
        <v/>
      </c>
      <c r="E393" s="6">
        <f>J164</f>
        <v/>
      </c>
      <c r="F393" s="6">
        <f>K164</f>
        <v/>
      </c>
      <c r="G393" s="6">
        <f>L164</f>
        <v/>
      </c>
      <c r="H393" s="99" t="n"/>
      <c r="I393" s="99" t="n"/>
      <c r="J393" s="99" t="n"/>
      <c r="K393" s="99" t="n"/>
      <c r="L393" s="99" t="n"/>
      <c r="M393" s="99" t="n"/>
    </row>
    <row r="394">
      <c r="C394" s="6" t="inlineStr">
        <is>
          <t>2021-03</t>
        </is>
      </c>
      <c r="D394" s="6">
        <f>D165</f>
        <v/>
      </c>
      <c r="E394" s="6">
        <f>J165</f>
        <v/>
      </c>
      <c r="F394" s="6">
        <f>K165</f>
        <v/>
      </c>
      <c r="G394" s="6">
        <f>L165</f>
        <v/>
      </c>
      <c r="H394" s="99" t="n"/>
      <c r="I394" s="99" t="n"/>
      <c r="J394" s="99" t="n"/>
      <c r="K394" s="99" t="n"/>
      <c r="L394" s="99" t="n"/>
      <c r="M394" s="99" t="n"/>
    </row>
    <row r="395">
      <c r="C395" s="6" t="inlineStr">
        <is>
          <t>2021-04</t>
        </is>
      </c>
      <c r="D395" s="6">
        <f>D166</f>
        <v/>
      </c>
      <c r="E395" s="6">
        <f>J166</f>
        <v/>
      </c>
      <c r="F395" s="6">
        <f>K166</f>
        <v/>
      </c>
      <c r="G395" s="6">
        <f>L166</f>
        <v/>
      </c>
      <c r="H395" s="99" t="n"/>
      <c r="I395" s="99" t="n"/>
      <c r="J395" s="99" t="n"/>
      <c r="K395" s="99" t="n"/>
      <c r="L395" s="99" t="n"/>
      <c r="M395" s="99" t="n"/>
    </row>
    <row r="396">
      <c r="C396" s="6" t="inlineStr">
        <is>
          <t>2021-05</t>
        </is>
      </c>
      <c r="D396" s="6">
        <f>D167</f>
        <v/>
      </c>
      <c r="E396" s="6">
        <f>J167</f>
        <v/>
      </c>
      <c r="F396" s="6">
        <f>K167</f>
        <v/>
      </c>
      <c r="G396" s="6">
        <f>L167</f>
        <v/>
      </c>
      <c r="H396" s="99" t="n"/>
      <c r="I396" s="99" t="n"/>
      <c r="J396" s="99" t="n"/>
      <c r="K396" s="99" t="n"/>
      <c r="L396" s="99" t="n"/>
      <c r="M396" s="99" t="n"/>
    </row>
    <row r="397">
      <c r="C397" s="6" t="inlineStr">
        <is>
          <t>2021-06</t>
        </is>
      </c>
      <c r="D397" s="6">
        <f>D168</f>
        <v/>
      </c>
      <c r="E397" s="6">
        <f>J168</f>
        <v/>
      </c>
      <c r="F397" s="6">
        <f>K168</f>
        <v/>
      </c>
      <c r="G397" s="6">
        <f>L168</f>
        <v/>
      </c>
      <c r="H397" s="99" t="n"/>
      <c r="I397" s="99" t="n"/>
      <c r="J397" s="99" t="n"/>
      <c r="K397" s="99" t="n"/>
      <c r="L397" s="99" t="n"/>
      <c r="M397" s="99" t="n"/>
    </row>
    <row r="398">
      <c r="C398" s="6" t="inlineStr">
        <is>
          <t>2021-07</t>
        </is>
      </c>
      <c r="D398" s="6">
        <f>D169</f>
        <v/>
      </c>
      <c r="E398" s="6">
        <f>J169</f>
        <v/>
      </c>
      <c r="F398" s="6">
        <f>K169</f>
        <v/>
      </c>
      <c r="G398" s="6">
        <f>L169</f>
        <v/>
      </c>
      <c r="H398" s="99" t="n"/>
      <c r="I398" s="99" t="n"/>
      <c r="J398" s="99" t="n"/>
      <c r="K398" s="99" t="n"/>
      <c r="L398" s="99" t="n"/>
      <c r="M398" s="99" t="n"/>
    </row>
    <row r="399">
      <c r="C399" s="6" t="inlineStr">
        <is>
          <t>2021-08</t>
        </is>
      </c>
      <c r="D399" s="6">
        <f>D170</f>
        <v/>
      </c>
      <c r="E399" s="6">
        <f>J170</f>
        <v/>
      </c>
      <c r="F399" s="6">
        <f>K170</f>
        <v/>
      </c>
      <c r="G399" s="6">
        <f>L170</f>
        <v/>
      </c>
      <c r="H399" s="99" t="n"/>
      <c r="I399" s="99" t="n"/>
      <c r="J399" s="99" t="n"/>
      <c r="K399" s="99" t="n"/>
      <c r="L399" s="99" t="n"/>
      <c r="M399" s="99" t="n"/>
    </row>
    <row r="400">
      <c r="C400" s="6" t="inlineStr">
        <is>
          <t>2021-09</t>
        </is>
      </c>
      <c r="D400" s="6">
        <f>D171</f>
        <v/>
      </c>
      <c r="E400" s="6">
        <f>J171</f>
        <v/>
      </c>
      <c r="F400" s="6">
        <f>K171</f>
        <v/>
      </c>
      <c r="G400" s="6">
        <f>L171</f>
        <v/>
      </c>
      <c r="H400" s="99" t="n"/>
      <c r="I400" s="99" t="n"/>
      <c r="J400" s="99" t="n"/>
      <c r="K400" s="99" t="n"/>
      <c r="L400" s="99" t="n"/>
      <c r="M400" s="99" t="n"/>
    </row>
    <row r="401">
      <c r="C401" s="6" t="inlineStr">
        <is>
          <t>2021-10</t>
        </is>
      </c>
      <c r="D401" s="6">
        <f>D172</f>
        <v/>
      </c>
      <c r="E401" s="6">
        <f>J172</f>
        <v/>
      </c>
      <c r="F401" s="6">
        <f>K172</f>
        <v/>
      </c>
      <c r="G401" s="6">
        <f>L172</f>
        <v/>
      </c>
      <c r="H401" s="99" t="n"/>
      <c r="I401" s="99" t="n"/>
      <c r="J401" s="99" t="n"/>
      <c r="K401" s="99" t="n"/>
      <c r="L401" s="99" t="n"/>
      <c r="M401" s="99" t="n"/>
    </row>
    <row r="402">
      <c r="C402" s="6" t="inlineStr">
        <is>
          <t>2021-11</t>
        </is>
      </c>
      <c r="D402" s="6">
        <f>D173</f>
        <v/>
      </c>
      <c r="E402" s="6">
        <f>J173</f>
        <v/>
      </c>
      <c r="F402" s="6">
        <f>K173</f>
        <v/>
      </c>
      <c r="G402" s="6">
        <f>L173</f>
        <v/>
      </c>
      <c r="H402" s="99" t="n"/>
      <c r="I402" s="99" t="n"/>
      <c r="J402" s="99" t="n"/>
      <c r="K402" s="99" t="n"/>
      <c r="L402" s="99" t="n"/>
      <c r="M402" s="99" t="n"/>
    </row>
    <row r="403">
      <c r="C403" s="6" t="inlineStr">
        <is>
          <t>2021-12</t>
        </is>
      </c>
      <c r="D403" s="6">
        <f>D174</f>
        <v/>
      </c>
      <c r="E403" s="6">
        <f>J174</f>
        <v/>
      </c>
      <c r="F403" s="6">
        <f>K174</f>
        <v/>
      </c>
      <c r="G403" s="6">
        <f>L174</f>
        <v/>
      </c>
      <c r="H403" s="99" t="n"/>
      <c r="I403" s="99" t="n"/>
      <c r="J403" s="99" t="n"/>
      <c r="K403" s="99" t="n"/>
      <c r="L403" s="99" t="n"/>
      <c r="M403" s="99" t="n"/>
    </row>
    <row r="404">
      <c r="C404" s="6" t="inlineStr">
        <is>
          <t>2022-01</t>
        </is>
      </c>
      <c r="D404" s="6">
        <f>D175</f>
        <v/>
      </c>
      <c r="E404" s="6">
        <f>J175</f>
        <v/>
      </c>
      <c r="F404" s="6">
        <f>K175</f>
        <v/>
      </c>
      <c r="G404" s="6">
        <f>L175</f>
        <v/>
      </c>
      <c r="H404" s="99" t="n"/>
      <c r="I404" s="99" t="n"/>
      <c r="J404" s="99" t="n"/>
      <c r="K404" s="99" t="n"/>
      <c r="L404" s="99" t="n"/>
      <c r="M404" s="99" t="n"/>
    </row>
    <row r="405">
      <c r="C405" s="6" t="inlineStr">
        <is>
          <t>2022-02</t>
        </is>
      </c>
      <c r="D405" s="6">
        <f>D176</f>
        <v/>
      </c>
      <c r="E405" s="6">
        <f>J176</f>
        <v/>
      </c>
      <c r="F405" s="6">
        <f>K176</f>
        <v/>
      </c>
      <c r="G405" s="6">
        <f>L176</f>
        <v/>
      </c>
      <c r="H405" s="99" t="n"/>
      <c r="I405" s="99" t="n"/>
      <c r="J405" s="99" t="n"/>
      <c r="K405" s="99" t="n"/>
      <c r="L405" s="99" t="n"/>
      <c r="M405" s="99" t="n"/>
    </row>
    <row r="406">
      <c r="C406" s="6" t="inlineStr">
        <is>
          <t>2022-03</t>
        </is>
      </c>
      <c r="D406" s="6">
        <f>D177</f>
        <v/>
      </c>
      <c r="E406" s="6">
        <f>J177</f>
        <v/>
      </c>
      <c r="F406" s="6">
        <f>K177</f>
        <v/>
      </c>
      <c r="G406" s="6">
        <f>L177</f>
        <v/>
      </c>
      <c r="H406" s="99" t="n"/>
      <c r="I406" s="99" t="n"/>
      <c r="J406" s="99" t="n"/>
      <c r="K406" s="99" t="n"/>
      <c r="L406" s="99" t="n"/>
      <c r="M406" s="99" t="n"/>
    </row>
    <row r="407">
      <c r="C407" s="6" t="inlineStr">
        <is>
          <t>2022-04</t>
        </is>
      </c>
      <c r="D407" s="6">
        <f>D178</f>
        <v/>
      </c>
      <c r="E407" s="6">
        <f>J178</f>
        <v/>
      </c>
      <c r="F407" s="6">
        <f>K178</f>
        <v/>
      </c>
      <c r="G407" s="6">
        <f>L178</f>
        <v/>
      </c>
      <c r="H407" s="99" t="n"/>
      <c r="I407" s="99" t="n"/>
      <c r="J407" s="99" t="n"/>
      <c r="K407" s="99" t="n"/>
      <c r="L407" s="99" t="n"/>
      <c r="M407" s="99" t="n"/>
    </row>
    <row r="408">
      <c r="C408" s="6" t="inlineStr">
        <is>
          <t>2022-05</t>
        </is>
      </c>
      <c r="D408" s="6">
        <f>D179</f>
        <v/>
      </c>
      <c r="E408" s="6">
        <f>J179</f>
        <v/>
      </c>
      <c r="F408" s="6">
        <f>K179</f>
        <v/>
      </c>
      <c r="G408" s="6">
        <f>L179</f>
        <v/>
      </c>
      <c r="H408" s="99" t="n"/>
      <c r="I408" s="99" t="n"/>
      <c r="J408" s="99" t="n"/>
      <c r="K408" s="99" t="n"/>
      <c r="L408" s="99" t="n"/>
      <c r="M408" s="99" t="n"/>
    </row>
    <row r="409">
      <c r="C409" s="6" t="inlineStr">
        <is>
          <t>2022-06</t>
        </is>
      </c>
      <c r="D409" s="6">
        <f>D180</f>
        <v/>
      </c>
      <c r="E409" s="6">
        <f>J180</f>
        <v/>
      </c>
      <c r="F409" s="6">
        <f>K180</f>
        <v/>
      </c>
      <c r="G409" s="6">
        <f>L180</f>
        <v/>
      </c>
      <c r="H409" s="99" t="n"/>
      <c r="I409" s="99" t="n"/>
      <c r="J409" s="99" t="n"/>
      <c r="K409" s="99" t="n"/>
      <c r="L409" s="99" t="n"/>
      <c r="M409" s="99" t="n"/>
    </row>
    <row r="410">
      <c r="C410" s="6" t="inlineStr">
        <is>
          <t>2022-07</t>
        </is>
      </c>
      <c r="D410" s="6">
        <f>D181</f>
        <v/>
      </c>
      <c r="E410" s="6">
        <f>J181</f>
        <v/>
      </c>
      <c r="F410" s="6">
        <f>K181</f>
        <v/>
      </c>
      <c r="G410" s="6">
        <f>L181</f>
        <v/>
      </c>
      <c r="H410" s="99" t="n"/>
      <c r="I410" s="99" t="n"/>
      <c r="J410" s="99" t="n"/>
      <c r="K410" s="99" t="n"/>
      <c r="L410" s="99" t="n"/>
      <c r="M410" s="99" t="n"/>
    </row>
    <row r="411">
      <c r="C411" s="6" t="inlineStr">
        <is>
          <t>2022-08</t>
        </is>
      </c>
      <c r="D411" s="6">
        <f>D182</f>
        <v/>
      </c>
      <c r="E411" s="6">
        <f>J182</f>
        <v/>
      </c>
      <c r="F411" s="6">
        <f>K182</f>
        <v/>
      </c>
      <c r="G411" s="6">
        <f>L182</f>
        <v/>
      </c>
      <c r="H411" s="99" t="n"/>
      <c r="I411" s="99" t="n"/>
      <c r="J411" s="99" t="n"/>
      <c r="K411" s="99" t="n"/>
      <c r="L411" s="99" t="n"/>
      <c r="M411" s="99" t="n"/>
    </row>
    <row r="412">
      <c r="C412" s="6" t="inlineStr">
        <is>
          <t>2022-09</t>
        </is>
      </c>
      <c r="D412" s="6">
        <f>D183</f>
        <v/>
      </c>
      <c r="E412" s="6">
        <f>J183</f>
        <v/>
      </c>
      <c r="F412" s="6">
        <f>K183</f>
        <v/>
      </c>
      <c r="G412" s="6">
        <f>L183</f>
        <v/>
      </c>
      <c r="H412" s="99" t="n"/>
      <c r="I412" s="99" t="n"/>
      <c r="J412" s="99" t="n"/>
      <c r="K412" s="99" t="n"/>
      <c r="L412" s="99" t="n"/>
      <c r="M412" s="99" t="n"/>
    </row>
    <row r="413">
      <c r="C413" s="6" t="inlineStr">
        <is>
          <t>2022-10</t>
        </is>
      </c>
      <c r="D413" s="6">
        <f>D184</f>
        <v/>
      </c>
      <c r="E413" s="6">
        <f>J184</f>
        <v/>
      </c>
      <c r="F413" s="6">
        <f>K184</f>
        <v/>
      </c>
      <c r="G413" s="6">
        <f>L184</f>
        <v/>
      </c>
      <c r="H413" s="99" t="n"/>
      <c r="I413" s="99" t="n"/>
      <c r="J413" s="99" t="n"/>
      <c r="K413" s="99" t="n"/>
      <c r="L413" s="99" t="n"/>
      <c r="M413" s="99" t="n"/>
    </row>
    <row r="414">
      <c r="C414" s="6" t="inlineStr">
        <is>
          <t>2022-11</t>
        </is>
      </c>
      <c r="D414" s="6">
        <f>D185</f>
        <v/>
      </c>
      <c r="E414" s="6">
        <f>J185</f>
        <v/>
      </c>
      <c r="F414" s="6">
        <f>K185</f>
        <v/>
      </c>
      <c r="G414" s="6">
        <f>L185</f>
        <v/>
      </c>
      <c r="H414" s="99" t="n"/>
      <c r="I414" s="99" t="n"/>
      <c r="J414" s="99" t="n"/>
      <c r="K414" s="99" t="n"/>
      <c r="L414" s="99" t="n"/>
      <c r="M414" s="99" t="n"/>
    </row>
    <row r="415">
      <c r="C415" s="6" t="inlineStr">
        <is>
          <t>2022-12</t>
        </is>
      </c>
      <c r="D415" s="6">
        <f>D186</f>
        <v/>
      </c>
      <c r="E415" s="6">
        <f>J186</f>
        <v/>
      </c>
      <c r="F415" s="6">
        <f>K186</f>
        <v/>
      </c>
      <c r="G415" s="6">
        <f>L186</f>
        <v/>
      </c>
      <c r="H415" s="99" t="n"/>
      <c r="I415" s="99" t="n"/>
      <c r="J415" s="99" t="n"/>
      <c r="K415" s="99" t="n"/>
      <c r="L415" s="99" t="n"/>
      <c r="M415" s="99" t="n"/>
    </row>
    <row r="416">
      <c r="C416" s="6" t="inlineStr">
        <is>
          <t>2023-01</t>
        </is>
      </c>
      <c r="D416" s="6">
        <f>D187</f>
        <v/>
      </c>
      <c r="E416" s="6">
        <f>J187</f>
        <v/>
      </c>
      <c r="F416" s="6">
        <f>K187</f>
        <v/>
      </c>
      <c r="G416" s="6">
        <f>L187</f>
        <v/>
      </c>
      <c r="H416" s="99" t="n"/>
      <c r="I416" s="99" t="n"/>
      <c r="J416" s="99" t="n"/>
      <c r="K416" s="99" t="n"/>
      <c r="L416" s="99" t="n"/>
      <c r="M416" s="99" t="n"/>
    </row>
    <row r="417">
      <c r="C417" s="6" t="inlineStr">
        <is>
          <t>2023-02</t>
        </is>
      </c>
      <c r="D417" s="6">
        <f>D188</f>
        <v/>
      </c>
      <c r="E417" s="6">
        <f>J188</f>
        <v/>
      </c>
      <c r="F417" s="6">
        <f>K188</f>
        <v/>
      </c>
      <c r="G417" s="6">
        <f>L188</f>
        <v/>
      </c>
      <c r="H417" s="99" t="n"/>
      <c r="I417" s="99" t="n"/>
      <c r="J417" s="99" t="n"/>
      <c r="K417" s="99" t="n"/>
      <c r="L417" s="99" t="n"/>
      <c r="M417" s="99" t="n"/>
    </row>
    <row r="418">
      <c r="C418" s="6" t="inlineStr">
        <is>
          <t>2023-03</t>
        </is>
      </c>
      <c r="D418" s="6">
        <f>D189</f>
        <v/>
      </c>
      <c r="E418" s="6">
        <f>J189</f>
        <v/>
      </c>
      <c r="F418" s="6">
        <f>K189</f>
        <v/>
      </c>
      <c r="G418" s="6">
        <f>L189</f>
        <v/>
      </c>
      <c r="H418" s="99" t="n"/>
      <c r="I418" s="99" t="n"/>
      <c r="J418" s="99" t="n"/>
      <c r="K418" s="99" t="n"/>
      <c r="L418" s="99" t="n"/>
      <c r="M418" s="99" t="n"/>
    </row>
    <row r="419">
      <c r="C419" s="6" t="inlineStr">
        <is>
          <t>2023-04</t>
        </is>
      </c>
      <c r="D419" s="6">
        <f>D190</f>
        <v/>
      </c>
      <c r="E419" s="6">
        <f>J190</f>
        <v/>
      </c>
      <c r="F419" s="6">
        <f>K190</f>
        <v/>
      </c>
      <c r="G419" s="6">
        <f>L190</f>
        <v/>
      </c>
      <c r="H419" s="99" t="n"/>
      <c r="I419" s="99" t="n"/>
      <c r="J419" s="99" t="n"/>
      <c r="K419" s="99" t="n"/>
      <c r="L419" s="99" t="n"/>
      <c r="M419" s="99" t="n"/>
    </row>
    <row r="420">
      <c r="C420" s="6" t="inlineStr">
        <is>
          <t>2023-05</t>
        </is>
      </c>
      <c r="D420" s="6">
        <f>D191</f>
        <v/>
      </c>
      <c r="E420" s="6">
        <f>J191</f>
        <v/>
      </c>
      <c r="F420" s="6">
        <f>K191</f>
        <v/>
      </c>
      <c r="G420" s="6">
        <f>L191</f>
        <v/>
      </c>
      <c r="H420" s="99" t="n"/>
      <c r="I420" s="99" t="n"/>
      <c r="J420" s="99" t="n"/>
      <c r="K420" s="99" t="n"/>
      <c r="L420" s="99" t="n"/>
      <c r="M420" s="99" t="n"/>
    </row>
    <row r="421">
      <c r="C421" s="6" t="inlineStr">
        <is>
          <t>2023-06</t>
        </is>
      </c>
      <c r="D421" s="6">
        <f>D192</f>
        <v/>
      </c>
      <c r="E421" s="6">
        <f>J192</f>
        <v/>
      </c>
      <c r="F421" s="6">
        <f>K192</f>
        <v/>
      </c>
      <c r="G421" s="6">
        <f>L192</f>
        <v/>
      </c>
      <c r="H421" s="99" t="n"/>
      <c r="I421" s="99" t="n"/>
      <c r="J421" s="99" t="n"/>
      <c r="K421" s="99" t="n"/>
      <c r="L421" s="99" t="n"/>
      <c r="M421" s="99" t="n"/>
    </row>
    <row r="422">
      <c r="C422" s="6" t="inlineStr">
        <is>
          <t>2023-07</t>
        </is>
      </c>
      <c r="D422" s="6">
        <f>D193</f>
        <v/>
      </c>
      <c r="E422" s="6">
        <f>J193</f>
        <v/>
      </c>
      <c r="F422" s="6">
        <f>K193</f>
        <v/>
      </c>
      <c r="G422" s="6">
        <f>L193</f>
        <v/>
      </c>
      <c r="H422" s="99" t="n"/>
      <c r="I422" s="99" t="n"/>
      <c r="J422" s="99" t="n"/>
      <c r="K422" s="99" t="n"/>
      <c r="L422" s="99" t="n"/>
      <c r="M422" s="99" t="n"/>
    </row>
    <row r="423">
      <c r="C423" s="6" t="inlineStr">
        <is>
          <t>2023-08</t>
        </is>
      </c>
      <c r="D423" s="6">
        <f>D194</f>
        <v/>
      </c>
      <c r="E423" s="6">
        <f>J194</f>
        <v/>
      </c>
      <c r="F423" s="6">
        <f>K194</f>
        <v/>
      </c>
      <c r="G423" s="6">
        <f>L194</f>
        <v/>
      </c>
      <c r="H423" s="99" t="n"/>
      <c r="I423" s="99" t="n"/>
      <c r="J423" s="99" t="n"/>
      <c r="K423" s="99" t="n"/>
      <c r="L423" s="99" t="n"/>
      <c r="M423" s="99" t="n"/>
    </row>
    <row r="424">
      <c r="C424" s="6" t="inlineStr">
        <is>
          <t>2023-09</t>
        </is>
      </c>
      <c r="D424" s="6">
        <f>D195</f>
        <v/>
      </c>
      <c r="E424" s="6">
        <f>J195</f>
        <v/>
      </c>
      <c r="F424" s="6">
        <f>K195</f>
        <v/>
      </c>
      <c r="G424" s="6">
        <f>L195</f>
        <v/>
      </c>
      <c r="H424" s="99" t="n"/>
      <c r="I424" s="99" t="n"/>
      <c r="J424" s="99" t="n"/>
      <c r="K424" s="99" t="n"/>
      <c r="L424" s="99" t="n"/>
      <c r="M424" s="99" t="n"/>
    </row>
    <row r="425">
      <c r="C425" s="6" t="inlineStr">
        <is>
          <t>2023-10</t>
        </is>
      </c>
      <c r="D425" s="6">
        <f>D196</f>
        <v/>
      </c>
      <c r="E425" s="6">
        <f>J196</f>
        <v/>
      </c>
      <c r="F425" s="6">
        <f>K196</f>
        <v/>
      </c>
      <c r="G425" s="6">
        <f>L196</f>
        <v/>
      </c>
      <c r="H425" s="99" t="n"/>
      <c r="I425" s="99" t="n"/>
      <c r="J425" s="99" t="n"/>
      <c r="K425" s="99" t="n"/>
      <c r="L425" s="99" t="n"/>
      <c r="M425" s="99" t="n"/>
    </row>
    <row r="426">
      <c r="C426" s="6" t="inlineStr">
        <is>
          <t>2023-11</t>
        </is>
      </c>
      <c r="D426" s="6">
        <f>D197</f>
        <v/>
      </c>
      <c r="E426" s="6">
        <f>J197</f>
        <v/>
      </c>
      <c r="F426" s="6">
        <f>K197</f>
        <v/>
      </c>
      <c r="G426" s="6">
        <f>L197</f>
        <v/>
      </c>
      <c r="H426" s="99" t="n"/>
      <c r="I426" s="99" t="n"/>
      <c r="J426" s="99" t="n"/>
      <c r="K426" s="99" t="n"/>
      <c r="L426" s="99" t="n"/>
      <c r="M426" s="99" t="n"/>
    </row>
    <row r="427">
      <c r="C427" s="6" t="inlineStr">
        <is>
          <t>2023-12</t>
        </is>
      </c>
      <c r="D427" s="6">
        <f>D198</f>
        <v/>
      </c>
      <c r="E427" s="6">
        <f>J198</f>
        <v/>
      </c>
      <c r="F427" s="6">
        <f>K198</f>
        <v/>
      </c>
      <c r="G427" s="6">
        <f>L198</f>
        <v/>
      </c>
      <c r="H427" s="99" t="n"/>
      <c r="I427" s="99" t="n"/>
      <c r="J427" s="99" t="n"/>
      <c r="K427" s="99" t="n"/>
      <c r="L427" s="99" t="n"/>
      <c r="M427" s="99" t="n"/>
    </row>
    <row r="428">
      <c r="C428" s="6" t="inlineStr">
        <is>
          <t>2024-01</t>
        </is>
      </c>
      <c r="D428" s="6">
        <f>D199</f>
        <v/>
      </c>
      <c r="E428" s="6">
        <f>J199</f>
        <v/>
      </c>
      <c r="F428" s="6">
        <f>K199</f>
        <v/>
      </c>
      <c r="G428" s="6">
        <f>L199</f>
        <v/>
      </c>
      <c r="H428" s="99" t="n"/>
      <c r="I428" s="99" t="n"/>
      <c r="J428" s="99" t="n"/>
      <c r="K428" s="99" t="n"/>
      <c r="L428" s="99" t="n"/>
      <c r="M428" s="99" t="n"/>
    </row>
    <row r="429">
      <c r="C429" s="6" t="inlineStr">
        <is>
          <t>2024-02</t>
        </is>
      </c>
      <c r="D429" s="6">
        <f>D200</f>
        <v/>
      </c>
      <c r="E429" s="6">
        <f>J200</f>
        <v/>
      </c>
      <c r="F429" s="6">
        <f>K200</f>
        <v/>
      </c>
      <c r="G429" s="6">
        <f>L200</f>
        <v/>
      </c>
      <c r="H429" s="99" t="n"/>
      <c r="I429" s="99" t="n"/>
      <c r="J429" s="99" t="n"/>
      <c r="K429" s="99" t="n"/>
      <c r="L429" s="99" t="n"/>
      <c r="M429" s="99" t="n"/>
    </row>
    <row r="430">
      <c r="C430" s="6" t="inlineStr">
        <is>
          <t>2024-03</t>
        </is>
      </c>
      <c r="D430" s="6">
        <f>D201</f>
        <v/>
      </c>
      <c r="E430" s="6">
        <f>J201</f>
        <v/>
      </c>
      <c r="F430" s="6">
        <f>K201</f>
        <v/>
      </c>
      <c r="G430" s="6">
        <f>L201</f>
        <v/>
      </c>
      <c r="H430" s="99" t="n"/>
      <c r="I430" s="99" t="n"/>
      <c r="J430" s="99" t="n"/>
      <c r="K430" s="99" t="n"/>
      <c r="L430" s="99" t="n"/>
      <c r="M430" s="99" t="n"/>
    </row>
    <row r="431">
      <c r="C431" s="6" t="inlineStr">
        <is>
          <t>2024-04</t>
        </is>
      </c>
      <c r="D431" s="6">
        <f>D202</f>
        <v/>
      </c>
      <c r="E431" s="6">
        <f>J202</f>
        <v/>
      </c>
      <c r="F431" s="6">
        <f>K202</f>
        <v/>
      </c>
      <c r="G431" s="6">
        <f>L202</f>
        <v/>
      </c>
      <c r="H431" s="99" t="n"/>
      <c r="I431" s="99" t="n"/>
      <c r="J431" s="99" t="n"/>
      <c r="K431" s="99" t="n"/>
      <c r="L431" s="99" t="n"/>
      <c r="M431" s="99" t="n"/>
    </row>
    <row r="432">
      <c r="C432" s="6" t="inlineStr">
        <is>
          <t>2024-05</t>
        </is>
      </c>
      <c r="D432" s="6">
        <f>D203</f>
        <v/>
      </c>
      <c r="E432" s="6">
        <f>J203</f>
        <v/>
      </c>
      <c r="F432" s="6">
        <f>K203</f>
        <v/>
      </c>
      <c r="G432" s="6">
        <f>L203</f>
        <v/>
      </c>
      <c r="H432" s="99" t="n"/>
      <c r="I432" s="99" t="n"/>
      <c r="J432" s="99" t="n"/>
      <c r="K432" s="99" t="n"/>
      <c r="L432" s="99" t="n"/>
      <c r="M432" s="99" t="n"/>
    </row>
    <row r="433">
      <c r="C433" s="6" t="inlineStr">
        <is>
          <t>2024-06</t>
        </is>
      </c>
      <c r="D433" s="6">
        <f>D204</f>
        <v/>
      </c>
      <c r="E433" s="6">
        <f>J204</f>
        <v/>
      </c>
      <c r="F433" s="6">
        <f>K204</f>
        <v/>
      </c>
      <c r="G433" s="6">
        <f>L204</f>
        <v/>
      </c>
      <c r="H433" s="99" t="n"/>
      <c r="I433" s="99" t="n"/>
      <c r="J433" s="99" t="n"/>
      <c r="K433" s="99" t="n"/>
      <c r="L433" s="99" t="n"/>
      <c r="M433" s="99" t="n"/>
    </row>
    <row r="434">
      <c r="C434" s="6" t="inlineStr">
        <is>
          <t>2024-07</t>
        </is>
      </c>
      <c r="D434" s="6">
        <f>D205</f>
        <v/>
      </c>
      <c r="E434" s="6">
        <f>J205</f>
        <v/>
      </c>
      <c r="F434" s="6">
        <f>K205</f>
        <v/>
      </c>
      <c r="G434" s="6">
        <f>L205</f>
        <v/>
      </c>
      <c r="H434" s="99" t="n"/>
      <c r="I434" s="99" t="n"/>
      <c r="J434" s="99" t="n"/>
      <c r="K434" s="99" t="n"/>
      <c r="L434" s="99" t="n"/>
      <c r="M434" s="99" t="n"/>
    </row>
    <row r="435">
      <c r="C435" s="6" t="inlineStr">
        <is>
          <t>2024-08</t>
        </is>
      </c>
      <c r="D435" s="6">
        <f>D206</f>
        <v/>
      </c>
      <c r="E435" s="6">
        <f>J206</f>
        <v/>
      </c>
      <c r="F435" s="6">
        <f>K206</f>
        <v/>
      </c>
      <c r="G435" s="6">
        <f>L206</f>
        <v/>
      </c>
      <c r="H435" s="99" t="n"/>
      <c r="I435" s="99" t="n"/>
      <c r="J435" s="99" t="n"/>
      <c r="K435" s="99" t="n"/>
      <c r="L435" s="99" t="n"/>
      <c r="M435" s="99" t="n"/>
    </row>
    <row r="436">
      <c r="C436" s="6" t="inlineStr">
        <is>
          <t>2024-09</t>
        </is>
      </c>
      <c r="D436" s="6">
        <f>D207</f>
        <v/>
      </c>
      <c r="E436" s="6">
        <f>J207</f>
        <v/>
      </c>
      <c r="F436" s="6">
        <f>K207</f>
        <v/>
      </c>
      <c r="G436" s="6">
        <f>L207</f>
        <v/>
      </c>
      <c r="H436" s="99" t="n"/>
      <c r="I436" s="99" t="n"/>
      <c r="J436" s="99" t="n"/>
      <c r="K436" s="99" t="n"/>
      <c r="L436" s="99" t="n"/>
      <c r="M436" s="99" t="n"/>
    </row>
    <row r="437">
      <c r="C437" s="6" t="inlineStr">
        <is>
          <t>2024-10</t>
        </is>
      </c>
      <c r="D437" s="6">
        <f>D208</f>
        <v/>
      </c>
      <c r="E437" s="6">
        <f>J208</f>
        <v/>
      </c>
      <c r="F437" s="6">
        <f>K208</f>
        <v/>
      </c>
      <c r="G437" s="6">
        <f>L208</f>
        <v/>
      </c>
      <c r="H437" s="99" t="n"/>
      <c r="I437" s="99" t="n"/>
      <c r="J437" s="99" t="n"/>
      <c r="K437" s="99" t="n"/>
      <c r="L437" s="99" t="n"/>
      <c r="M437" s="99" t="n"/>
    </row>
    <row r="438">
      <c r="C438" s="6" t="inlineStr">
        <is>
          <t>2024-11</t>
        </is>
      </c>
      <c r="D438" s="6">
        <f>D209</f>
        <v/>
      </c>
      <c r="E438" s="6">
        <f>J209</f>
        <v/>
      </c>
      <c r="F438" s="6">
        <f>K209</f>
        <v/>
      </c>
      <c r="G438" s="6">
        <f>L209</f>
        <v/>
      </c>
      <c r="H438" s="99" t="n"/>
      <c r="I438" s="99" t="n"/>
      <c r="J438" s="99" t="n"/>
      <c r="K438" s="99" t="n"/>
      <c r="L438" s="99" t="n"/>
      <c r="M438" s="99" t="n"/>
    </row>
    <row r="439">
      <c r="C439" s="6" t="inlineStr">
        <is>
          <t>2024-12</t>
        </is>
      </c>
      <c r="D439" s="6">
        <f>D210</f>
        <v/>
      </c>
      <c r="E439" s="6">
        <f>J210</f>
        <v/>
      </c>
      <c r="F439" s="6">
        <f>K210</f>
        <v/>
      </c>
      <c r="G439" s="6">
        <f>L210</f>
        <v/>
      </c>
      <c r="H439" s="99" t="n"/>
      <c r="I439" s="99" t="n"/>
      <c r="J439" s="99" t="n"/>
      <c r="K439" s="99" t="n"/>
      <c r="L439" s="99" t="n"/>
      <c r="M439" s="99" t="n"/>
    </row>
    <row r="440">
      <c r="C440" s="6" t="inlineStr">
        <is>
          <t>2025-01</t>
        </is>
      </c>
      <c r="D440" s="6">
        <f>D211</f>
        <v/>
      </c>
      <c r="E440" s="6">
        <f>J211</f>
        <v/>
      </c>
      <c r="F440" s="6">
        <f>K211</f>
        <v/>
      </c>
      <c r="G440" s="6">
        <f>L211</f>
        <v/>
      </c>
      <c r="H440" s="99" t="n"/>
      <c r="I440" s="99" t="n"/>
      <c r="J440" s="99" t="n"/>
      <c r="K440" s="99" t="n"/>
      <c r="L440" s="99" t="n"/>
      <c r="M440" s="99" t="n"/>
    </row>
    <row r="441">
      <c r="C441" s="6" t="inlineStr">
        <is>
          <t>2025-02</t>
        </is>
      </c>
      <c r="D441" s="6">
        <f>D212</f>
        <v/>
      </c>
      <c r="E441" s="6">
        <f>J212</f>
        <v/>
      </c>
      <c r="F441" s="6">
        <f>K212</f>
        <v/>
      </c>
      <c r="G441" s="6">
        <f>L212</f>
        <v/>
      </c>
      <c r="H441" s="99" t="n"/>
      <c r="I441" s="99" t="n"/>
      <c r="J441" s="99" t="n"/>
      <c r="K441" s="99" t="n"/>
      <c r="L441" s="99" t="n"/>
      <c r="M441" s="99" t="n"/>
    </row>
    <row r="442">
      <c r="C442" s="6" t="inlineStr">
        <is>
          <t>2025-03</t>
        </is>
      </c>
      <c r="D442" s="6">
        <f>D213</f>
        <v/>
      </c>
      <c r="E442" s="6">
        <f>J213</f>
        <v/>
      </c>
      <c r="F442" s="6">
        <f>K213</f>
        <v/>
      </c>
      <c r="G442" s="6">
        <f>L213</f>
        <v/>
      </c>
      <c r="H442" s="99" t="n"/>
      <c r="I442" s="99" t="n"/>
      <c r="J442" s="99" t="n"/>
      <c r="K442" s="99" t="n"/>
      <c r="L442" s="99" t="n"/>
      <c r="M442" s="99" t="n"/>
    </row>
    <row r="443">
      <c r="C443" s="6" t="inlineStr">
        <is>
          <t>2025-04</t>
        </is>
      </c>
      <c r="D443" s="6">
        <f>D214</f>
        <v/>
      </c>
      <c r="E443" s="6">
        <f>J214</f>
        <v/>
      </c>
      <c r="F443" s="6">
        <f>K214</f>
        <v/>
      </c>
      <c r="G443" s="6">
        <f>L214</f>
        <v/>
      </c>
      <c r="H443" s="99" t="n"/>
      <c r="I443" s="99" t="n"/>
      <c r="J443" s="99" t="n"/>
      <c r="K443" s="99" t="n"/>
      <c r="L443" s="99" t="n"/>
      <c r="M443" s="99" t="n"/>
    </row>
    <row r="444">
      <c r="C444" s="6" t="inlineStr">
        <is>
          <t>2025-05</t>
        </is>
      </c>
      <c r="D444" s="6">
        <f>D215</f>
        <v/>
      </c>
      <c r="E444" s="6">
        <f>J215</f>
        <v/>
      </c>
      <c r="F444" s="6">
        <f>K215</f>
        <v/>
      </c>
      <c r="G444" s="6">
        <f>L215</f>
        <v/>
      </c>
      <c r="H444" s="99" t="n"/>
      <c r="I444" s="99" t="n"/>
      <c r="J444" s="99" t="n"/>
      <c r="K444" s="99" t="n"/>
      <c r="L444" s="99" t="n"/>
      <c r="M444" s="99" t="n"/>
    </row>
    <row r="445">
      <c r="C445" s="6" t="inlineStr">
        <is>
          <t>2025-06</t>
        </is>
      </c>
      <c r="D445" s="6">
        <f>D216</f>
        <v/>
      </c>
      <c r="E445" s="6">
        <f>J216</f>
        <v/>
      </c>
      <c r="F445" s="6">
        <f>K216</f>
        <v/>
      </c>
      <c r="G445" s="6">
        <f>L216</f>
        <v/>
      </c>
      <c r="H445" s="99" t="n"/>
      <c r="I445" s="99" t="n"/>
      <c r="J445" s="99" t="n"/>
      <c r="K445" s="99" t="n"/>
      <c r="L445" s="99" t="n"/>
      <c r="M445" s="99" t="n"/>
    </row>
    <row r="446">
      <c r="C446" s="6" t="inlineStr">
        <is>
          <t>2025-07</t>
        </is>
      </c>
      <c r="D446" s="6">
        <f>D217</f>
        <v/>
      </c>
      <c r="E446" s="6">
        <f>J217</f>
        <v/>
      </c>
      <c r="F446" s="6">
        <f>K217</f>
        <v/>
      </c>
      <c r="G446" s="6">
        <f>L217</f>
        <v/>
      </c>
      <c r="H446" s="99" t="n"/>
      <c r="I446" s="99" t="n"/>
      <c r="J446" s="99" t="n"/>
      <c r="K446" s="99" t="n"/>
      <c r="L446" s="99" t="n"/>
      <c r="M446" s="99" t="n"/>
    </row>
    <row r="447">
      <c r="C447" s="6" t="inlineStr">
        <is>
          <t>2025-08</t>
        </is>
      </c>
      <c r="D447" s="6">
        <f>D218</f>
        <v/>
      </c>
      <c r="E447" s="6">
        <f>J218</f>
        <v/>
      </c>
      <c r="F447" s="6">
        <f>K218</f>
        <v/>
      </c>
      <c r="G447" s="6">
        <f>L218</f>
        <v/>
      </c>
      <c r="H447" s="99" t="n"/>
      <c r="I447" s="99" t="n"/>
      <c r="J447" s="99" t="n"/>
      <c r="K447" s="99" t="n"/>
      <c r="L447" s="99" t="n"/>
      <c r="M447" s="99" t="n"/>
    </row>
    <row r="448">
      <c r="C448" s="6" t="inlineStr">
        <is>
          <t>2025-09</t>
        </is>
      </c>
      <c r="D448" s="6">
        <f>D219</f>
        <v/>
      </c>
      <c r="E448" s="6">
        <f>J219</f>
        <v/>
      </c>
      <c r="F448" s="6">
        <f>K219</f>
        <v/>
      </c>
      <c r="G448" s="6">
        <f>L219</f>
        <v/>
      </c>
      <c r="H448" s="99" t="n"/>
      <c r="I448" s="99" t="n"/>
      <c r="J448" s="99" t="n"/>
      <c r="K448" s="99" t="n"/>
      <c r="L448" s="99" t="n"/>
      <c r="M448" s="99" t="n"/>
    </row>
    <row r="449">
      <c r="C449" s="6" t="inlineStr">
        <is>
          <t>2025-10</t>
        </is>
      </c>
      <c r="D449" s="6">
        <f>D220</f>
        <v/>
      </c>
      <c r="E449" s="6">
        <f>J220</f>
        <v/>
      </c>
      <c r="F449" s="6">
        <f>K220</f>
        <v/>
      </c>
      <c r="G449" s="6">
        <f>L220</f>
        <v/>
      </c>
      <c r="H449" s="99" t="n"/>
      <c r="I449" s="99" t="n"/>
      <c r="J449" s="99" t="n"/>
      <c r="K449" s="99" t="n"/>
      <c r="L449" s="99" t="n"/>
      <c r="M449" s="99" t="n"/>
    </row>
    <row r="450">
      <c r="C450" s="6" t="inlineStr">
        <is>
          <t>2025-11</t>
        </is>
      </c>
      <c r="D450" s="6">
        <f>D221</f>
        <v/>
      </c>
      <c r="E450" s="6">
        <f>J221</f>
        <v/>
      </c>
      <c r="F450" s="6">
        <f>K221</f>
        <v/>
      </c>
      <c r="G450" s="6">
        <f>L221</f>
        <v/>
      </c>
      <c r="H450" s="99" t="n"/>
      <c r="I450" s="99" t="n"/>
      <c r="J450" s="99" t="n"/>
      <c r="K450" s="99" t="n"/>
      <c r="L450" s="99" t="n"/>
      <c r="M450" s="99" t="n"/>
    </row>
    <row r="451">
      <c r="C451" s="6" t="inlineStr">
        <is>
          <t>2025-12</t>
        </is>
      </c>
      <c r="D451" s="6">
        <f>D222</f>
        <v/>
      </c>
      <c r="E451" s="6">
        <f>J222</f>
        <v/>
      </c>
      <c r="F451" s="6">
        <f>K222</f>
        <v/>
      </c>
      <c r="G451" s="6">
        <f>L222</f>
        <v/>
      </c>
      <c r="H451" s="99" t="n"/>
      <c r="I451" s="99" t="n"/>
      <c r="J451" s="99" t="n"/>
      <c r="K451" s="99" t="n"/>
      <c r="L451" s="99" t="n"/>
      <c r="M451" s="99" t="n"/>
    </row>
    <row r="452">
      <c r="C452" s="6" t="inlineStr">
        <is>
          <t>2026-01</t>
        </is>
      </c>
      <c r="D452" s="6">
        <f>D223</f>
        <v/>
      </c>
      <c r="E452" s="6">
        <f>J223</f>
        <v/>
      </c>
      <c r="F452" s="6">
        <f>K223</f>
        <v/>
      </c>
      <c r="G452" s="6">
        <f>L223</f>
        <v/>
      </c>
      <c r="H452" s="99" t="n"/>
      <c r="I452" s="99" t="n"/>
      <c r="J452" s="99" t="n"/>
      <c r="K452" s="99" t="n"/>
      <c r="L452" s="99" t="n"/>
      <c r="M452" s="99" t="n"/>
    </row>
    <row r="453">
      <c r="C453" s="6" t="inlineStr">
        <is>
          <t>2026-02</t>
        </is>
      </c>
      <c r="D453" s="6">
        <f>D224</f>
        <v/>
      </c>
      <c r="E453" s="6">
        <f>J224</f>
        <v/>
      </c>
      <c r="F453" s="6">
        <f>K224</f>
        <v/>
      </c>
      <c r="G453" s="6">
        <f>L224</f>
        <v/>
      </c>
      <c r="H453" s="99" t="n"/>
      <c r="I453" s="99" t="n"/>
      <c r="J453" s="99" t="n"/>
      <c r="K453" s="99" t="n"/>
      <c r="L453" s="99" t="n"/>
      <c r="M453" s="99" t="n"/>
    </row>
    <row r="454">
      <c r="C454" s="6" t="inlineStr">
        <is>
          <t>2026-03</t>
        </is>
      </c>
      <c r="D454" s="6">
        <f>D225</f>
        <v/>
      </c>
      <c r="E454" s="6">
        <f>J225</f>
        <v/>
      </c>
      <c r="F454" s="6">
        <f>K225</f>
        <v/>
      </c>
      <c r="G454" s="6">
        <f>L225</f>
        <v/>
      </c>
      <c r="H454" s="99" t="n"/>
      <c r="I454" s="99" t="n"/>
      <c r="J454" s="99" t="n"/>
      <c r="K454" s="99" t="n"/>
      <c r="L454" s="99" t="n"/>
      <c r="M454" s="99" t="n"/>
    </row>
    <row r="455">
      <c r="C455" s="6" t="inlineStr">
        <is>
          <t>2026-04</t>
        </is>
      </c>
      <c r="D455" s="6">
        <f>D226</f>
        <v/>
      </c>
      <c r="E455" s="6">
        <f>J226</f>
        <v/>
      </c>
      <c r="F455" s="6">
        <f>K226</f>
        <v/>
      </c>
      <c r="G455" s="6">
        <f>L226</f>
        <v/>
      </c>
      <c r="H455" s="99" t="n"/>
      <c r="I455" s="99" t="n"/>
      <c r="J455" s="99" t="n"/>
      <c r="K455" s="99" t="n"/>
      <c r="L455" s="99" t="n"/>
      <c r="M455" s="99" t="n"/>
    </row>
    <row r="456">
      <c r="C456" s="6" t="inlineStr">
        <is>
          <t>2026-05</t>
        </is>
      </c>
      <c r="D456" s="6">
        <f>D227</f>
        <v/>
      </c>
      <c r="E456" s="6">
        <f>J227</f>
        <v/>
      </c>
      <c r="F456" s="6">
        <f>K227</f>
        <v/>
      </c>
      <c r="G456" s="6">
        <f>L227</f>
        <v/>
      </c>
      <c r="H456" s="99" t="n"/>
      <c r="I456" s="99" t="n"/>
      <c r="J456" s="99" t="n"/>
      <c r="K456" s="99" t="n"/>
      <c r="L456" s="99" t="n"/>
      <c r="M456" s="99" t="n"/>
    </row>
    <row r="457">
      <c r="C457" s="6" t="inlineStr">
        <is>
          <t>2026-06</t>
        </is>
      </c>
      <c r="D457" s="6">
        <f>D228</f>
        <v/>
      </c>
      <c r="E457" s="6">
        <f>J228</f>
        <v/>
      </c>
      <c r="F457" s="6">
        <f>K228</f>
        <v/>
      </c>
      <c r="G457" s="6">
        <f>L228</f>
        <v/>
      </c>
      <c r="H457" s="99" t="n"/>
      <c r="I457" s="99" t="n"/>
      <c r="J457" s="99" t="n"/>
      <c r="K457" s="99" t="n"/>
      <c r="L457" s="99" t="n"/>
      <c r="M457" s="99" t="n"/>
    </row>
    <row r="458">
      <c r="C458" s="6" t="inlineStr">
        <is>
          <t>2026-07</t>
        </is>
      </c>
      <c r="D458" s="6">
        <f>D229</f>
        <v/>
      </c>
      <c r="E458" s="6">
        <f>J229</f>
        <v/>
      </c>
      <c r="F458" s="6">
        <f>K229</f>
        <v/>
      </c>
      <c r="G458" s="6">
        <f>L229</f>
        <v/>
      </c>
      <c r="H458" s="99" t="n"/>
      <c r="I458" s="99" t="n"/>
      <c r="J458" s="99" t="n"/>
      <c r="K458" s="99" t="n"/>
      <c r="L458" s="99" t="n"/>
      <c r="M458" s="99" t="n"/>
    </row>
    <row r="459">
      <c r="C459" s="6" t="inlineStr">
        <is>
          <t>2026-08</t>
        </is>
      </c>
      <c r="D459" s="6">
        <f>D230</f>
        <v/>
      </c>
      <c r="E459" s="6">
        <f>J230</f>
        <v/>
      </c>
      <c r="F459" s="6">
        <f>K230</f>
        <v/>
      </c>
      <c r="G459" s="6">
        <f>L230</f>
        <v/>
      </c>
      <c r="H459" s="99" t="n"/>
      <c r="I459" s="99" t="n"/>
      <c r="J459" s="99" t="n"/>
      <c r="K459" s="99" t="n"/>
      <c r="L459" s="99" t="n"/>
      <c r="M459" s="99" t="n"/>
    </row>
    <row r="460">
      <c r="C460" s="6" t="inlineStr">
        <is>
          <t>2026-09</t>
        </is>
      </c>
      <c r="D460" s="6">
        <f>D231</f>
        <v/>
      </c>
      <c r="E460" s="6">
        <f>J231</f>
        <v/>
      </c>
      <c r="F460" s="6">
        <f>K231</f>
        <v/>
      </c>
      <c r="G460" s="6">
        <f>L231</f>
        <v/>
      </c>
      <c r="H460" s="99" t="n"/>
      <c r="I460" s="99" t="n"/>
      <c r="J460" s="99" t="n"/>
      <c r="K460" s="99" t="n"/>
      <c r="L460" s="99" t="n"/>
      <c r="M460" s="99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2:X319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2">
      <c r="C2" s="2" t="inlineStr">
        <is>
          <t>Base macroeconômica e earnings do IBOV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</row>
    <row r="3">
      <c r="C3" s="4" t="inlineStr">
        <is>
          <t>Variáveis contemporâneas, transformações de três meses e BEst EPS do índice.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</row>
    <row r="6" ht="36" customHeight="1">
      <c r="C6" s="11" t="inlineStr">
        <is>
          <t>month</t>
        </is>
      </c>
      <c r="D6" s="11" t="inlineStr">
        <is>
          <t>eps</t>
        </is>
      </c>
      <c r="E6" s="11" t="inlineStr">
        <is>
          <t>y_rev3</t>
        </is>
      </c>
      <c r="F6" s="11" t="inlineStr">
        <is>
          <t>ibov_constant_basket</t>
        </is>
      </c>
      <c r="G6" s="11" t="inlineStr">
        <is>
          <t>y_constant_basket_rev3</t>
        </is>
      </c>
      <c r="H6" s="11" t="inlineStr">
        <is>
          <t>focus_pib</t>
        </is>
      </c>
      <c r="I6" s="11" t="inlineStr">
        <is>
          <t>d_focus_pib3</t>
        </is>
      </c>
      <c r="J6" s="11" t="inlineStr">
        <is>
          <t>focus_ipca</t>
        </is>
      </c>
      <c r="K6" s="11" t="inlineStr">
        <is>
          <t>d_focus_ipca3</t>
        </is>
      </c>
      <c r="L6" s="11" t="inlineStr">
        <is>
          <t>ipca12_available</t>
        </is>
      </c>
      <c r="M6" s="11" t="inlineStr">
        <is>
          <t>d_ipca12_3_available</t>
        </is>
      </c>
      <c r="N6" s="11" t="inlineStr">
        <is>
          <t>ipca3_flow_available</t>
        </is>
      </c>
      <c r="O6" s="11" t="inlineStr">
        <is>
          <t>bcom_usd</t>
        </is>
      </c>
      <c r="P6" s="11" t="inlineStr">
        <is>
          <t>d_bcom_usd3</t>
        </is>
      </c>
      <c r="Q6" s="11" t="inlineStr">
        <is>
          <t>bcom_brl</t>
        </is>
      </c>
      <c r="R6" s="11" t="inlineStr">
        <is>
          <t>d_bcom_brl3</t>
        </is>
      </c>
      <c r="S6" s="11" t="inlineStr">
        <is>
          <t>usdbrl</t>
        </is>
      </c>
      <c r="T6" s="11" t="inlineStr">
        <is>
          <t>d_usdbrl3</t>
        </is>
      </c>
      <c r="U6" s="11" t="inlineStr">
        <is>
          <t>swap360</t>
        </is>
      </c>
      <c r="V6" s="11" t="inlineStr">
        <is>
          <t>d_swap360_3</t>
        </is>
      </c>
      <c r="W6" s="11" t="inlineStr">
        <is>
          <t>brent_usd</t>
        </is>
      </c>
      <c r="X6" s="11" t="inlineStr">
        <is>
          <t>d_brent3</t>
        </is>
      </c>
    </row>
    <row r="7">
      <c r="C7" s="109" t="n">
        <v>36739</v>
      </c>
      <c r="D7" s="125" t="n"/>
      <c r="E7" s="130" t="n"/>
      <c r="F7" s="125" t="n"/>
      <c r="G7" s="125" t="n"/>
      <c r="H7" s="130" t="n"/>
      <c r="I7" s="130" t="n"/>
      <c r="J7" s="130" t="n"/>
      <c r="K7" s="130" t="n"/>
      <c r="L7" s="130" t="n"/>
      <c r="M7" s="130" t="n"/>
      <c r="N7" s="130" t="n"/>
      <c r="O7" s="125" t="n">
        <v>108.1696</v>
      </c>
      <c r="P7" s="130" t="n"/>
      <c r="Q7" s="125" t="n"/>
      <c r="R7" s="130" t="n"/>
      <c r="S7" s="131" t="n"/>
      <c r="T7" s="130" t="n"/>
      <c r="U7" s="130" t="n">
        <v>17.058</v>
      </c>
      <c r="V7" s="130" t="n">
        <v>-4.251999999999999</v>
      </c>
      <c r="W7" s="125" t="n">
        <v>35.08</v>
      </c>
      <c r="X7" s="130" t="n">
        <v>16.85063670760961</v>
      </c>
    </row>
    <row r="8">
      <c r="C8" s="112" t="n">
        <v>36770</v>
      </c>
      <c r="D8" s="127" t="n"/>
      <c r="E8" s="132" t="n"/>
      <c r="F8" s="127" t="n"/>
      <c r="G8" s="127" t="n"/>
      <c r="H8" s="132" t="n"/>
      <c r="I8" s="132" t="n"/>
      <c r="J8" s="132" t="n"/>
      <c r="K8" s="132" t="n"/>
      <c r="L8" s="132" t="n"/>
      <c r="M8" s="132" t="n"/>
      <c r="N8" s="132" t="n"/>
      <c r="O8" s="127" t="n">
        <v>106.975</v>
      </c>
      <c r="P8" s="132" t="n"/>
      <c r="Q8" s="127" t="n"/>
      <c r="R8" s="132" t="n"/>
      <c r="S8" s="133" t="n"/>
      <c r="T8" s="132" t="n"/>
      <c r="U8" s="132" t="n">
        <v>16.94</v>
      </c>
      <c r="V8" s="132" t="n">
        <v>-1.919</v>
      </c>
      <c r="W8" s="127" t="n">
        <v>28.42</v>
      </c>
      <c r="X8" s="132" t="n">
        <v>-10.54308861585413</v>
      </c>
    </row>
    <row r="9">
      <c r="C9" s="112" t="n">
        <v>36800</v>
      </c>
      <c r="D9" s="127" t="n"/>
      <c r="E9" s="132" t="n"/>
      <c r="F9" s="127" t="n"/>
      <c r="G9" s="127" t="n"/>
      <c r="H9" s="132" t="n"/>
      <c r="I9" s="132" t="n"/>
      <c r="J9" s="132" t="n"/>
      <c r="K9" s="132" t="n"/>
      <c r="L9" s="132" t="n"/>
      <c r="M9" s="132" t="n"/>
      <c r="N9" s="132" t="n"/>
      <c r="O9" s="127" t="n">
        <v>103.8204</v>
      </c>
      <c r="P9" s="132" t="n"/>
      <c r="Q9" s="127" t="n"/>
      <c r="R9" s="132" t="n"/>
      <c r="S9" s="133" t="n"/>
      <c r="T9" s="132" t="n"/>
      <c r="U9" s="132" t="n">
        <v>17.61</v>
      </c>
      <c r="V9" s="132" t="n">
        <v>-0.240000000000002</v>
      </c>
      <c r="W9" s="127" t="n">
        <v>30.15</v>
      </c>
      <c r="X9" s="132" t="n">
        <v>17.53805274397199</v>
      </c>
    </row>
    <row r="10">
      <c r="C10" s="112" t="n">
        <v>36831</v>
      </c>
      <c r="D10" s="127" t="n"/>
      <c r="E10" s="132" t="n"/>
      <c r="F10" s="127" t="n"/>
      <c r="G10" s="127" t="n"/>
      <c r="H10" s="132" t="n"/>
      <c r="I10" s="132" t="n"/>
      <c r="J10" s="132" t="n"/>
      <c r="K10" s="132" t="n"/>
      <c r="L10" s="132" t="n"/>
      <c r="M10" s="132" t="n"/>
      <c r="N10" s="132" t="n"/>
      <c r="O10" s="127" t="n">
        <v>111.5902</v>
      </c>
      <c r="P10" s="132" t="n">
        <v>3.113286671889825</v>
      </c>
      <c r="Q10" s="127" t="n"/>
      <c r="R10" s="132" t="n"/>
      <c r="S10" s="133" t="n"/>
      <c r="T10" s="132" t="n"/>
      <c r="U10" s="132" t="n">
        <v>18.39</v>
      </c>
      <c r="V10" s="132" t="n">
        <v>1.332000000000001</v>
      </c>
      <c r="W10" s="127" t="n">
        <v>32.53</v>
      </c>
      <c r="X10" s="132" t="n">
        <v>-7.54684270187221</v>
      </c>
    </row>
    <row r="11">
      <c r="C11" s="112" t="n">
        <v>36861</v>
      </c>
      <c r="D11" s="127" t="n"/>
      <c r="E11" s="132" t="n"/>
      <c r="F11" s="127" t="n"/>
      <c r="G11" s="127" t="n"/>
      <c r="H11" s="132" t="n"/>
      <c r="I11" s="132" t="n"/>
      <c r="J11" s="132" t="n"/>
      <c r="K11" s="132" t="n"/>
      <c r="L11" s="132" t="n"/>
      <c r="M11" s="132" t="n"/>
      <c r="N11" s="132" t="n"/>
      <c r="O11" s="127" t="n">
        <v>114.6134</v>
      </c>
      <c r="P11" s="132" t="n">
        <v>6.896956358893201</v>
      </c>
      <c r="Q11" s="127" t="n"/>
      <c r="R11" s="132" t="n"/>
      <c r="S11" s="133" t="n"/>
      <c r="T11" s="132" t="n"/>
      <c r="U11" s="132" t="n">
        <v>16.66</v>
      </c>
      <c r="V11" s="132" t="n">
        <v>-0.2800000000000011</v>
      </c>
      <c r="W11" s="127" t="n">
        <v>22.58</v>
      </c>
      <c r="X11" s="132" t="n">
        <v>-23.00285639474387</v>
      </c>
    </row>
    <row r="12">
      <c r="C12" s="112" t="n">
        <v>36892</v>
      </c>
      <c r="D12" s="127" t="n"/>
      <c r="E12" s="132" t="n"/>
      <c r="F12" s="127" t="n"/>
      <c r="G12" s="127" t="n"/>
      <c r="H12" s="132" t="n"/>
      <c r="I12" s="132" t="n"/>
      <c r="J12" s="132" t="n"/>
      <c r="K12" s="132" t="n"/>
      <c r="L12" s="132" t="n"/>
      <c r="M12" s="132" t="n"/>
      <c r="N12" s="132" t="n"/>
      <c r="O12" s="127" t="n">
        <v>111.3745</v>
      </c>
      <c r="P12" s="132" t="n">
        <v>7.023591322922031</v>
      </c>
      <c r="Q12" s="127" t="n"/>
      <c r="R12" s="132" t="n"/>
      <c r="S12" s="133" t="n"/>
      <c r="T12" s="132" t="n"/>
      <c r="U12" s="132" t="n">
        <v>15.44</v>
      </c>
      <c r="V12" s="132" t="n">
        <v>-2.17</v>
      </c>
      <c r="W12" s="127" t="n">
        <v>26.59</v>
      </c>
      <c r="X12" s="132" t="n">
        <v>-12.5649717918266</v>
      </c>
    </row>
    <row r="13">
      <c r="C13" s="112" t="n">
        <v>36923</v>
      </c>
      <c r="D13" s="127" t="n"/>
      <c r="E13" s="132" t="n"/>
      <c r="F13" s="127" t="n"/>
      <c r="G13" s="127" t="n"/>
      <c r="H13" s="132" t="n"/>
      <c r="I13" s="132" t="n"/>
      <c r="J13" s="132" t="n"/>
      <c r="K13" s="132" t="n"/>
      <c r="L13" s="132" t="n"/>
      <c r="M13" s="132" t="n"/>
      <c r="N13" s="132" t="n"/>
      <c r="O13" s="127" t="n">
        <v>110.4787</v>
      </c>
      <c r="P13" s="132" t="n">
        <v>-1.001049027511656</v>
      </c>
      <c r="Q13" s="127" t="n"/>
      <c r="R13" s="132" t="n"/>
      <c r="S13" s="133" t="n"/>
      <c r="T13" s="132" t="n"/>
      <c r="U13" s="132" t="n">
        <v>16.44</v>
      </c>
      <c r="V13" s="132" t="n">
        <v>-1.949999999999999</v>
      </c>
      <c r="W13" s="127" t="n">
        <v>25.16</v>
      </c>
      <c r="X13" s="132" t="n">
        <v>-25.69073086530204</v>
      </c>
    </row>
    <row r="14">
      <c r="C14" s="112" t="n">
        <v>36951</v>
      </c>
      <c r="D14" s="127" t="n"/>
      <c r="E14" s="132" t="n"/>
      <c r="F14" s="127" t="n"/>
      <c r="G14" s="127" t="n"/>
      <c r="H14" s="132" t="n"/>
      <c r="I14" s="132" t="n"/>
      <c r="J14" s="132" t="n"/>
      <c r="K14" s="132" t="n"/>
      <c r="L14" s="132" t="n"/>
      <c r="M14" s="132" t="n"/>
      <c r="N14" s="132" t="n"/>
      <c r="O14" s="127" t="n">
        <v>105.3717</v>
      </c>
      <c r="P14" s="132" t="n">
        <v>-8.407062678615059</v>
      </c>
      <c r="Q14" s="127" t="n"/>
      <c r="R14" s="132" t="n"/>
      <c r="S14" s="133" t="n"/>
      <c r="T14" s="132" t="n"/>
      <c r="U14" s="132" t="n">
        <v>19.82</v>
      </c>
      <c r="V14" s="132" t="n">
        <v>3.16</v>
      </c>
      <c r="W14" s="127" t="n">
        <v>23.5</v>
      </c>
      <c r="X14" s="132" t="n">
        <v>3.993586242859743</v>
      </c>
    </row>
    <row r="15">
      <c r="C15" s="112" t="n">
        <v>36982</v>
      </c>
      <c r="D15" s="127" t="n"/>
      <c r="E15" s="132" t="n"/>
      <c r="F15" s="127" t="n"/>
      <c r="G15" s="127" t="n"/>
      <c r="H15" s="132" t="n"/>
      <c r="I15" s="132" t="n"/>
      <c r="J15" s="132" t="n"/>
      <c r="K15" s="132" t="n"/>
      <c r="L15" s="132" t="n"/>
      <c r="M15" s="132" t="n"/>
      <c r="N15" s="132" t="n"/>
      <c r="O15" s="127" t="n">
        <v>108.7085</v>
      </c>
      <c r="P15" s="132" t="n">
        <v>-2.422840850100071</v>
      </c>
      <c r="Q15" s="127" t="n"/>
      <c r="R15" s="132" t="n"/>
      <c r="S15" s="133" t="n"/>
      <c r="T15" s="132" t="n"/>
      <c r="U15" s="132" t="n">
        <v>21.49</v>
      </c>
      <c r="V15" s="132" t="n">
        <v>6.049999999999999</v>
      </c>
      <c r="W15" s="127" t="n">
        <v>27.21</v>
      </c>
      <c r="X15" s="132" t="n">
        <v>2.304934754022642</v>
      </c>
    </row>
    <row r="16">
      <c r="C16" s="112" t="n">
        <v>37012</v>
      </c>
      <c r="D16" s="127" t="n"/>
      <c r="E16" s="132" t="n"/>
      <c r="F16" s="127" t="n"/>
      <c r="G16" s="127" t="n"/>
      <c r="H16" s="132" t="n"/>
      <c r="I16" s="132" t="n"/>
      <c r="J16" s="132" t="n"/>
      <c r="K16" s="132" t="n"/>
      <c r="L16" s="132" t="n"/>
      <c r="M16" s="132" t="n"/>
      <c r="N16" s="132" t="n"/>
      <c r="O16" s="127" t="n">
        <v>106.0908</v>
      </c>
      <c r="P16" s="132" t="n">
        <v>-4.052741098615876</v>
      </c>
      <c r="Q16" s="127" t="n"/>
      <c r="R16" s="132" t="n"/>
      <c r="S16" s="133" t="n"/>
      <c r="T16" s="132" t="n"/>
      <c r="U16" s="132" t="n">
        <v>22.99</v>
      </c>
      <c r="V16" s="132" t="n">
        <v>6.549999999999997</v>
      </c>
      <c r="W16" s="127" t="n">
        <v>28.55</v>
      </c>
      <c r="X16" s="132" t="n">
        <v>12.64015042697794</v>
      </c>
    </row>
    <row r="17">
      <c r="C17" s="112" t="n">
        <v>37043</v>
      </c>
      <c r="D17" s="127" t="n"/>
      <c r="E17" s="132" t="n"/>
      <c r="F17" s="127" t="n"/>
      <c r="G17" s="127" t="n"/>
      <c r="H17" s="132" t="n"/>
      <c r="I17" s="132" t="n"/>
      <c r="J17" s="132" t="n"/>
      <c r="K17" s="132" t="n"/>
      <c r="L17" s="132" t="n"/>
      <c r="M17" s="132" t="n"/>
      <c r="N17" s="132" t="n"/>
      <c r="O17" s="127" t="n">
        <v>101.5707</v>
      </c>
      <c r="P17" s="132" t="n">
        <v>-3.673899137924103</v>
      </c>
      <c r="Q17" s="127" t="n"/>
      <c r="R17" s="132" t="n"/>
      <c r="S17" s="133" t="n"/>
      <c r="T17" s="132" t="n"/>
      <c r="U17" s="132" t="n">
        <v>24.03</v>
      </c>
      <c r="V17" s="132" t="n">
        <v>4.210000000000001</v>
      </c>
      <c r="W17" s="127" t="n">
        <v>26.21</v>
      </c>
      <c r="X17" s="132" t="n">
        <v>10.91405961852017</v>
      </c>
    </row>
    <row r="18">
      <c r="C18" s="112" t="n">
        <v>37073</v>
      </c>
      <c r="D18" s="127" t="n"/>
      <c r="E18" s="132" t="n"/>
      <c r="F18" s="127" t="n"/>
      <c r="G18" s="127" t="n"/>
      <c r="H18" s="132" t="n"/>
      <c r="I18" s="132" t="n"/>
      <c r="J18" s="132" t="n"/>
      <c r="K18" s="132" t="n"/>
      <c r="L18" s="132" t="n"/>
      <c r="M18" s="132" t="n"/>
      <c r="N18" s="132" t="n"/>
      <c r="O18" s="127" t="n">
        <v>102.5699</v>
      </c>
      <c r="P18" s="132" t="n">
        <v>-5.812547056716917</v>
      </c>
      <c r="Q18" s="127" t="n"/>
      <c r="R18" s="132" t="n"/>
      <c r="S18" s="133" t="n"/>
      <c r="T18" s="132" t="n"/>
      <c r="U18" s="132" t="n">
        <v>25.65</v>
      </c>
      <c r="V18" s="132" t="n">
        <v>4.16</v>
      </c>
      <c r="W18" s="127" t="n">
        <v>24.35</v>
      </c>
      <c r="X18" s="132" t="n">
        <v>-11.10527032665561</v>
      </c>
    </row>
    <row r="19">
      <c r="C19" s="112" t="n">
        <v>37104</v>
      </c>
      <c r="D19" s="127" t="n"/>
      <c r="E19" s="132" t="n"/>
      <c r="F19" s="127" t="n"/>
      <c r="G19" s="127" t="n"/>
      <c r="H19" s="132" t="n"/>
      <c r="I19" s="132" t="n"/>
      <c r="J19" s="132" t="n"/>
      <c r="K19" s="132" t="n"/>
      <c r="L19" s="132" t="n"/>
      <c r="M19" s="132" t="n"/>
      <c r="N19" s="132" t="n"/>
      <c r="O19" s="127" t="n">
        <v>102.2247</v>
      </c>
      <c r="P19" s="132" t="n">
        <v>-3.712199966648337</v>
      </c>
      <c r="Q19" s="127" t="n"/>
      <c r="R19" s="132" t="n"/>
      <c r="S19" s="133" t="n"/>
      <c r="T19" s="132" t="n"/>
      <c r="U19" s="132" t="n">
        <v>24.56</v>
      </c>
      <c r="V19" s="132" t="n">
        <v>1.57</v>
      </c>
      <c r="W19" s="127" t="n">
        <v>26.8</v>
      </c>
      <c r="X19" s="132" t="n">
        <v>-6.325504858520828</v>
      </c>
    </row>
    <row r="20">
      <c r="C20" s="112" t="n">
        <v>37135</v>
      </c>
      <c r="D20" s="127" t="n"/>
      <c r="E20" s="132" t="n"/>
      <c r="F20" s="127" t="n"/>
      <c r="G20" s="127" t="n"/>
      <c r="H20" s="132" t="n"/>
      <c r="I20" s="132" t="n"/>
      <c r="J20" s="132" t="n"/>
      <c r="K20" s="132" t="n"/>
      <c r="L20" s="132" t="n"/>
      <c r="M20" s="132" t="n"/>
      <c r="N20" s="132" t="n"/>
      <c r="O20" s="127" t="n">
        <v>95.1071</v>
      </c>
      <c r="P20" s="132" t="n">
        <v>-6.57514827073961</v>
      </c>
      <c r="Q20" s="127" t="n"/>
      <c r="R20" s="132" t="n"/>
      <c r="S20" s="133" t="n"/>
      <c r="T20" s="132" t="n"/>
      <c r="U20" s="132" t="n">
        <v>25.92</v>
      </c>
      <c r="V20" s="132" t="n">
        <v>1.890000000000001</v>
      </c>
      <c r="W20" s="127" t="n">
        <v>21.87</v>
      </c>
      <c r="X20" s="132" t="n">
        <v>-18.10251826466386</v>
      </c>
    </row>
    <row r="21">
      <c r="C21" s="112" t="n">
        <v>37165</v>
      </c>
      <c r="D21" s="127" t="n"/>
      <c r="E21" s="132" t="n"/>
      <c r="F21" s="127" t="n"/>
      <c r="G21" s="127" t="n"/>
      <c r="H21" s="132" t="n"/>
      <c r="I21" s="132" t="n"/>
      <c r="J21" s="132" t="n"/>
      <c r="K21" s="132" t="n"/>
      <c r="L21" s="132" t="n"/>
      <c r="M21" s="132" t="n"/>
      <c r="N21" s="132" t="n"/>
      <c r="O21" s="127" t="n">
        <v>90.4071</v>
      </c>
      <c r="P21" s="132" t="n">
        <v>-12.62217132378544</v>
      </c>
      <c r="Q21" s="127" t="n"/>
      <c r="R21" s="132" t="n"/>
      <c r="S21" s="133" t="n"/>
      <c r="T21" s="132" t="n"/>
      <c r="U21" s="132" t="n">
        <v>24.55</v>
      </c>
      <c r="V21" s="132" t="n">
        <v>-1.099999999999998</v>
      </c>
      <c r="W21" s="127" t="n">
        <v>19.63</v>
      </c>
      <c r="X21" s="132" t="n">
        <v>-21.54728412402293</v>
      </c>
    </row>
    <row r="22">
      <c r="C22" s="112" t="n">
        <v>37196</v>
      </c>
      <c r="D22" s="127" t="n"/>
      <c r="E22" s="132" t="n"/>
      <c r="F22" s="127" t="n"/>
      <c r="G22" s="127" t="n"/>
      <c r="H22" s="132" t="n"/>
      <c r="I22" s="132" t="n"/>
      <c r="J22" s="132" t="n"/>
      <c r="K22" s="132" t="n"/>
      <c r="L22" s="132" t="n"/>
      <c r="M22" s="132" t="n"/>
      <c r="N22" s="132" t="n"/>
      <c r="O22" s="127" t="n">
        <v>90.9585</v>
      </c>
      <c r="P22" s="132" t="n">
        <v>-11.67699730024035</v>
      </c>
      <c r="Q22" s="127" t="n"/>
      <c r="R22" s="132" t="n"/>
      <c r="S22" s="133" t="n"/>
      <c r="T22" s="132" t="n"/>
      <c r="U22" s="132" t="n">
        <v>22.95</v>
      </c>
      <c r="V22" s="132" t="n">
        <v>-1.609999999999999</v>
      </c>
      <c r="W22" s="127" t="n">
        <v>18.92</v>
      </c>
      <c r="X22" s="132" t="n">
        <v>-34.81823238930787</v>
      </c>
    </row>
    <row r="23">
      <c r="C23" s="112" t="n">
        <v>37226</v>
      </c>
      <c r="D23" s="127" t="n"/>
      <c r="E23" s="132" t="n"/>
      <c r="F23" s="127" t="n"/>
      <c r="G23" s="127" t="n"/>
      <c r="H23" s="132" t="n"/>
      <c r="I23" s="132" t="n"/>
      <c r="J23" s="132" t="n"/>
      <c r="K23" s="132" t="n"/>
      <c r="L23" s="132" t="n"/>
      <c r="M23" s="132" t="n"/>
      <c r="N23" s="132" t="n"/>
      <c r="O23" s="127" t="n">
        <v>89.0333</v>
      </c>
      <c r="P23" s="132" t="n">
        <v>-6.599316796290315</v>
      </c>
      <c r="Q23" s="127" t="n"/>
      <c r="R23" s="132" t="n"/>
      <c r="S23" s="133" t="n"/>
      <c r="T23" s="132" t="n"/>
      <c r="U23" s="132" t="n">
        <v>20.23</v>
      </c>
      <c r="V23" s="132" t="n">
        <v>-5.690000000000001</v>
      </c>
      <c r="W23" s="127" t="n">
        <v>19.35</v>
      </c>
      <c r="X23" s="132" t="n">
        <v>-12.24234152128857</v>
      </c>
    </row>
    <row r="24">
      <c r="C24" s="112" t="n">
        <v>37257</v>
      </c>
      <c r="D24" s="127" t="n"/>
      <c r="E24" s="132" t="n"/>
      <c r="F24" s="127" t="n"/>
      <c r="G24" s="127" t="n"/>
      <c r="H24" s="132" t="n"/>
      <c r="I24" s="132" t="n"/>
      <c r="J24" s="132" t="n"/>
      <c r="K24" s="132" t="n"/>
      <c r="L24" s="132" t="n"/>
      <c r="M24" s="132" t="n"/>
      <c r="N24" s="132" t="n"/>
      <c r="O24" s="127" t="n">
        <v>88.30889999999999</v>
      </c>
      <c r="P24" s="132" t="n">
        <v>-2.348190885440123</v>
      </c>
      <c r="Q24" s="127" t="n"/>
      <c r="R24" s="132" t="n"/>
      <c r="S24" s="133" t="n"/>
      <c r="T24" s="132" t="n"/>
      <c r="U24" s="132" t="n">
        <v>20.21</v>
      </c>
      <c r="V24" s="132" t="n">
        <v>-4.34</v>
      </c>
      <c r="W24" s="127" t="n">
        <v>19.07</v>
      </c>
      <c r="X24" s="132" t="n">
        <v>-2.894258867604192</v>
      </c>
    </row>
    <row r="25">
      <c r="C25" s="112" t="n">
        <v>37288</v>
      </c>
      <c r="D25" s="127" t="n"/>
      <c r="E25" s="132" t="n"/>
      <c r="F25" s="127" t="n"/>
      <c r="G25" s="127" t="n"/>
      <c r="H25" s="132" t="n"/>
      <c r="I25" s="132" t="n"/>
      <c r="J25" s="132" t="n"/>
      <c r="K25" s="132" t="n"/>
      <c r="L25" s="132" t="n"/>
      <c r="M25" s="132" t="n"/>
      <c r="N25" s="132" t="n"/>
      <c r="O25" s="127" t="n">
        <v>90.4756</v>
      </c>
      <c r="P25" s="132" t="n">
        <v>-0.5323157447112052</v>
      </c>
      <c r="Q25" s="127" t="n"/>
      <c r="R25" s="132" t="n"/>
      <c r="S25" s="133" t="n"/>
      <c r="T25" s="132" t="n"/>
      <c r="U25" s="132" t="n">
        <v>18.72</v>
      </c>
      <c r="V25" s="132" t="n">
        <v>-4.23</v>
      </c>
      <c r="W25" s="127" t="n">
        <v>20.73</v>
      </c>
      <c r="X25" s="132" t="n">
        <v>9.136236282395602</v>
      </c>
    </row>
    <row r="26">
      <c r="C26" s="112" t="n">
        <v>37316</v>
      </c>
      <c r="D26" s="127" t="n"/>
      <c r="E26" s="132" t="n"/>
      <c r="F26" s="127" t="n"/>
      <c r="G26" s="127" t="n"/>
      <c r="H26" s="132" t="n"/>
      <c r="I26" s="132" t="n"/>
      <c r="J26" s="132" t="n"/>
      <c r="K26" s="132" t="n"/>
      <c r="L26" s="132" t="n"/>
      <c r="M26" s="132" t="n"/>
      <c r="N26" s="132" t="n"/>
      <c r="O26" s="127" t="n">
        <v>99.5878</v>
      </c>
      <c r="P26" s="132" t="n">
        <v>11.20292100720837</v>
      </c>
      <c r="Q26" s="127" t="n"/>
      <c r="R26" s="132" t="n"/>
      <c r="S26" s="133" t="n"/>
      <c r="T26" s="132" t="n"/>
      <c r="U26" s="132" t="n">
        <v>18.33</v>
      </c>
      <c r="V26" s="132" t="n">
        <v>-1.900000000000002</v>
      </c>
      <c r="W26" s="127" t="n">
        <v>25.34</v>
      </c>
      <c r="X26" s="132" t="n">
        <v>26.9691755417202</v>
      </c>
    </row>
    <row r="27">
      <c r="C27" s="112" t="n">
        <v>37347</v>
      </c>
      <c r="D27" s="127" t="n"/>
      <c r="E27" s="132" t="n"/>
      <c r="F27" s="127" t="n"/>
      <c r="G27" s="127" t="n"/>
      <c r="H27" s="132" t="n"/>
      <c r="I27" s="132" t="n"/>
      <c r="J27" s="132" t="n"/>
      <c r="K27" s="132" t="n"/>
      <c r="L27" s="132" t="n"/>
      <c r="M27" s="132" t="n"/>
      <c r="N27" s="132" t="n"/>
      <c r="O27" s="127" t="n">
        <v>99.4308</v>
      </c>
      <c r="P27" s="132" t="n">
        <v>11.86210295383765</v>
      </c>
      <c r="Q27" s="127" t="n"/>
      <c r="R27" s="132" t="n"/>
      <c r="S27" s="133" t="n"/>
      <c r="T27" s="132" t="n"/>
      <c r="U27" s="132" t="n">
        <v>19.79</v>
      </c>
      <c r="V27" s="132" t="n">
        <v>-0.4200000000000017</v>
      </c>
      <c r="W27" s="127" t="n">
        <v>26.98</v>
      </c>
      <c r="X27" s="132" t="n">
        <v>34.69794311672821</v>
      </c>
    </row>
    <row r="28">
      <c r="C28" s="112" t="n">
        <v>37377</v>
      </c>
      <c r="D28" s="127" t="n"/>
      <c r="E28" s="132" t="n"/>
      <c r="F28" s="127" t="n"/>
      <c r="G28" s="127" t="n"/>
      <c r="H28" s="132" t="n"/>
      <c r="I28" s="132" t="n"/>
      <c r="J28" s="132" t="n"/>
      <c r="K28" s="132" t="n"/>
      <c r="L28" s="132" t="n"/>
      <c r="M28" s="132" t="n"/>
      <c r="N28" s="132" t="n"/>
      <c r="O28" s="127" t="n">
        <v>97.7548</v>
      </c>
      <c r="P28" s="132" t="n">
        <v>7.738210142518325</v>
      </c>
      <c r="Q28" s="127" t="n"/>
      <c r="R28" s="132" t="n"/>
      <c r="S28" s="133" t="n"/>
      <c r="T28" s="132" t="n"/>
      <c r="U28" s="132" t="n">
        <v>19.9</v>
      </c>
      <c r="V28" s="132" t="n">
        <v>1.18</v>
      </c>
      <c r="W28" s="127" t="n">
        <v>23.87</v>
      </c>
      <c r="X28" s="132" t="n">
        <v>14.10405139030506</v>
      </c>
    </row>
    <row r="29">
      <c r="C29" s="112" t="n">
        <v>37408</v>
      </c>
      <c r="D29" s="127" t="n"/>
      <c r="E29" s="132" t="n"/>
      <c r="F29" s="127" t="n"/>
      <c r="G29" s="127" t="n"/>
      <c r="H29" s="132" t="n"/>
      <c r="I29" s="132" t="n"/>
      <c r="J29" s="132" t="n"/>
      <c r="K29" s="132" t="n"/>
      <c r="L29" s="132" t="n"/>
      <c r="M29" s="132" t="n"/>
      <c r="N29" s="132" t="n"/>
      <c r="O29" s="127" t="n">
        <v>99.5183</v>
      </c>
      <c r="P29" s="132" t="n">
        <v>-0.06981202768041418</v>
      </c>
      <c r="Q29" s="127" t="n"/>
      <c r="R29" s="132" t="n"/>
      <c r="S29" s="133" t="n"/>
      <c r="T29" s="132" t="n"/>
      <c r="U29" s="132" t="n">
        <v>26.21</v>
      </c>
      <c r="V29" s="132" t="n">
        <v>7.880000000000003</v>
      </c>
      <c r="W29" s="127" t="n">
        <v>25.33</v>
      </c>
      <c r="X29" s="132" t="n">
        <v>-0.03947108794092105</v>
      </c>
    </row>
    <row r="30">
      <c r="C30" s="112" t="n">
        <v>37438</v>
      </c>
      <c r="D30" s="127" t="n"/>
      <c r="E30" s="132" t="n"/>
      <c r="F30" s="127" t="n"/>
      <c r="G30" s="127" t="n"/>
      <c r="H30" s="132" t="n"/>
      <c r="I30" s="132" t="n"/>
      <c r="J30" s="132" t="n"/>
      <c r="K30" s="132" t="n"/>
      <c r="L30" s="132" t="n"/>
      <c r="M30" s="132" t="n"/>
      <c r="N30" s="132" t="n"/>
      <c r="O30" s="127" t="n">
        <v>98.8263</v>
      </c>
      <c r="P30" s="132" t="n">
        <v>-0.6098161158643539</v>
      </c>
      <c r="Q30" s="127" t="n"/>
      <c r="R30" s="132" t="n"/>
      <c r="S30" s="133" t="n"/>
      <c r="T30" s="132" t="n"/>
      <c r="U30" s="132" t="n">
        <v>29.01</v>
      </c>
      <c r="V30" s="132" t="n">
        <v>9.220000000000002</v>
      </c>
      <c r="W30" s="127" t="n">
        <v>26.28</v>
      </c>
      <c r="X30" s="132" t="n">
        <v>-2.628765716320005</v>
      </c>
    </row>
    <row r="31">
      <c r="C31" s="112" t="n">
        <v>37469</v>
      </c>
      <c r="D31" s="127" t="n"/>
      <c r="E31" s="132" t="n"/>
      <c r="F31" s="127" t="n"/>
      <c r="G31" s="127" t="n"/>
      <c r="H31" s="132" t="n"/>
      <c r="I31" s="132" t="n"/>
      <c r="J31" s="132" t="n"/>
      <c r="K31" s="132" t="n"/>
      <c r="L31" s="132" t="n"/>
      <c r="M31" s="132" t="n"/>
      <c r="N31" s="132" t="n"/>
      <c r="O31" s="127" t="n">
        <v>102.5808</v>
      </c>
      <c r="P31" s="132" t="n">
        <v>4.81884782026932</v>
      </c>
      <c r="Q31" s="127" t="n"/>
      <c r="R31" s="132" t="n"/>
      <c r="S31" s="133" t="n"/>
      <c r="T31" s="132" t="n"/>
      <c r="U31" s="132" t="n">
        <v>23.42</v>
      </c>
      <c r="V31" s="132" t="n">
        <v>3.520000000000003</v>
      </c>
      <c r="W31" s="127" t="n">
        <v>27.56</v>
      </c>
      <c r="X31" s="132" t="n">
        <v>14.3743005794719</v>
      </c>
    </row>
    <row r="32">
      <c r="C32" s="112" t="n">
        <v>37500</v>
      </c>
      <c r="D32" s="127" t="n"/>
      <c r="E32" s="132" t="n"/>
      <c r="F32" s="127" t="n"/>
      <c r="G32" s="127" t="n"/>
      <c r="H32" s="132" t="n"/>
      <c r="I32" s="132" t="n"/>
      <c r="J32" s="132" t="n"/>
      <c r="K32" s="132" t="n"/>
      <c r="L32" s="132" t="n"/>
      <c r="M32" s="132" t="n"/>
      <c r="N32" s="132" t="n"/>
      <c r="O32" s="127" t="n">
        <v>106.2943</v>
      </c>
      <c r="P32" s="132" t="n">
        <v>6.587011523377612</v>
      </c>
      <c r="Q32" s="127" t="n"/>
      <c r="R32" s="132" t="n"/>
      <c r="S32" s="133" t="n"/>
      <c r="T32" s="132" t="n"/>
      <c r="U32" s="132" t="n">
        <v>29.94</v>
      </c>
      <c r="V32" s="132" t="n">
        <v>3.73</v>
      </c>
      <c r="W32" s="127" t="n">
        <v>29.11</v>
      </c>
      <c r="X32" s="132" t="n">
        <v>13.9092293743948</v>
      </c>
    </row>
    <row r="33">
      <c r="C33" s="112" t="n">
        <v>37530</v>
      </c>
      <c r="D33" s="127" t="n"/>
      <c r="E33" s="132" t="n"/>
      <c r="F33" s="127" t="n"/>
      <c r="G33" s="127" t="n"/>
      <c r="H33" s="132" t="n"/>
      <c r="I33" s="132" t="n"/>
      <c r="J33" s="132" t="n"/>
      <c r="K33" s="132" t="n"/>
      <c r="L33" s="132" t="n"/>
      <c r="M33" s="132" t="n"/>
      <c r="N33" s="132" t="n"/>
      <c r="O33" s="127" t="n">
        <v>105.0528</v>
      </c>
      <c r="P33" s="132" t="n">
        <v>6.109931724771562</v>
      </c>
      <c r="Q33" s="127" t="n"/>
      <c r="R33" s="132" t="n"/>
      <c r="S33" s="133" t="n"/>
      <c r="T33" s="132" t="n"/>
      <c r="U33" s="132" t="n">
        <v>29.7</v>
      </c>
      <c r="V33" s="132" t="n">
        <v>0.6899999999999977</v>
      </c>
      <c r="W33" s="127" t="n">
        <v>25.51</v>
      </c>
      <c r="X33" s="132" t="n">
        <v>-2.973766146268969</v>
      </c>
    </row>
    <row r="34">
      <c r="C34" s="112" t="n">
        <v>37561</v>
      </c>
      <c r="D34" s="127" t="n"/>
      <c r="E34" s="132" t="n"/>
      <c r="F34" s="127" t="n"/>
      <c r="G34" s="127" t="n"/>
      <c r="H34" s="132" t="n"/>
      <c r="I34" s="132" t="n"/>
      <c r="J34" s="132" t="n"/>
      <c r="K34" s="132" t="n"/>
      <c r="L34" s="132" t="n"/>
      <c r="M34" s="132" t="n"/>
      <c r="N34" s="132" t="n"/>
      <c r="O34" s="127" t="n">
        <v>105.2467</v>
      </c>
      <c r="P34" s="132" t="n">
        <v>2.565633742980724</v>
      </c>
      <c r="Q34" s="127" t="n"/>
      <c r="R34" s="132" t="n"/>
      <c r="S34" s="133" t="n"/>
      <c r="T34" s="132" t="n"/>
      <c r="U34" s="132" t="n">
        <v>30.9</v>
      </c>
      <c r="V34" s="132" t="n">
        <v>7.479999999999997</v>
      </c>
      <c r="W34" s="127" t="n">
        <v>25.74</v>
      </c>
      <c r="X34" s="132" t="n">
        <v>-6.83192439774772</v>
      </c>
    </row>
    <row r="35">
      <c r="C35" s="112" t="n">
        <v>37591</v>
      </c>
      <c r="D35" s="127" t="n"/>
      <c r="E35" s="132" t="n"/>
      <c r="F35" s="127" t="n"/>
      <c r="G35" s="127" t="n"/>
      <c r="H35" s="132" t="n"/>
      <c r="I35" s="132" t="n"/>
      <c r="J35" s="132" t="n"/>
      <c r="K35" s="132" t="n"/>
      <c r="L35" s="132" t="n"/>
      <c r="M35" s="132" t="n"/>
      <c r="N35" s="132" t="n"/>
      <c r="O35" s="127" t="n">
        <v>110.2756</v>
      </c>
      <c r="P35" s="132" t="n">
        <v>3.677102483412097</v>
      </c>
      <c r="Q35" s="127" t="n"/>
      <c r="R35" s="132" t="n"/>
      <c r="S35" s="133" t="n"/>
      <c r="T35" s="132" t="n"/>
      <c r="U35" s="132" t="n">
        <v>29.07</v>
      </c>
      <c r="V35" s="132" t="n">
        <v>-0.870000000000001</v>
      </c>
      <c r="W35" s="127" t="n">
        <v>30.12</v>
      </c>
      <c r="X35" s="132" t="n">
        <v>3.410764517416103</v>
      </c>
    </row>
    <row r="36">
      <c r="C36" s="112" t="n">
        <v>37622</v>
      </c>
      <c r="D36" s="127" t="n"/>
      <c r="E36" s="132" t="n"/>
      <c r="F36" s="127" t="n"/>
      <c r="G36" s="127" t="n"/>
      <c r="H36" s="132" t="n"/>
      <c r="I36" s="132" t="n"/>
      <c r="J36" s="132" t="n"/>
      <c r="K36" s="132" t="n"/>
      <c r="L36" s="132" t="n"/>
      <c r="M36" s="132" t="n"/>
      <c r="N36" s="132" t="n"/>
      <c r="O36" s="127" t="n">
        <v>118.6439</v>
      </c>
      <c r="P36" s="132" t="n">
        <v>12.166348893492</v>
      </c>
      <c r="Q36" s="127" t="n"/>
      <c r="R36" s="132" t="n"/>
      <c r="S36" s="133" t="n"/>
      <c r="T36" s="132" t="n"/>
      <c r="U36" s="132" t="n">
        <v>29.13</v>
      </c>
      <c r="V36" s="132" t="n">
        <v>-0.5700000000000003</v>
      </c>
      <c r="W36" s="127" t="n">
        <v>31.57</v>
      </c>
      <c r="X36" s="132" t="n">
        <v>21.31367704161801</v>
      </c>
    </row>
    <row r="37">
      <c r="C37" s="112" t="n">
        <v>37653</v>
      </c>
      <c r="D37" s="127" t="n"/>
      <c r="E37" s="132" t="n"/>
      <c r="F37" s="127" t="n"/>
      <c r="G37" s="127" t="n"/>
      <c r="H37" s="132" t="n"/>
      <c r="I37" s="132" t="n"/>
      <c r="J37" s="132" t="n"/>
      <c r="K37" s="132" t="n"/>
      <c r="L37" s="132" t="n"/>
      <c r="M37" s="132" t="n"/>
      <c r="N37" s="132" t="n"/>
      <c r="O37" s="127" t="n">
        <v>122.5258</v>
      </c>
      <c r="P37" s="132" t="n">
        <v>15.20145019023278</v>
      </c>
      <c r="Q37" s="127" t="n"/>
      <c r="R37" s="132" t="n"/>
      <c r="S37" s="133" t="n"/>
      <c r="T37" s="132" t="n"/>
      <c r="U37" s="132" t="n">
        <v>29.24</v>
      </c>
      <c r="V37" s="132" t="n">
        <v>-1.66</v>
      </c>
      <c r="W37" s="127" t="n">
        <v>34</v>
      </c>
      <c r="X37" s="132" t="n">
        <v>27.83143224481808</v>
      </c>
    </row>
    <row r="38">
      <c r="C38" s="112" t="n">
        <v>37681</v>
      </c>
      <c r="D38" s="127" t="n"/>
      <c r="E38" s="132" t="n"/>
      <c r="F38" s="127" t="n"/>
      <c r="G38" s="127" t="n"/>
      <c r="H38" s="132" t="n"/>
      <c r="I38" s="132" t="n"/>
      <c r="J38" s="132" t="n"/>
      <c r="K38" s="132" t="n"/>
      <c r="L38" s="132" t="n"/>
      <c r="M38" s="132" t="n"/>
      <c r="N38" s="132" t="n"/>
      <c r="O38" s="127" t="n">
        <v>113.1709</v>
      </c>
      <c r="P38" s="132" t="n">
        <v>2.591637866455467</v>
      </c>
      <c r="Q38" s="127" t="n"/>
      <c r="R38" s="132" t="n"/>
      <c r="S38" s="133" t="n"/>
      <c r="T38" s="132" t="n"/>
      <c r="U38" s="132" t="n">
        <v>27.14</v>
      </c>
      <c r="V38" s="132" t="n">
        <v>-1.93</v>
      </c>
      <c r="W38" s="127" t="n">
        <v>28.05</v>
      </c>
      <c r="X38" s="132" t="n">
        <v>-7.120077096298756</v>
      </c>
    </row>
    <row r="39">
      <c r="C39" s="112" t="n">
        <v>37712</v>
      </c>
      <c r="D39" s="127" t="n"/>
      <c r="E39" s="132" t="n"/>
      <c r="F39" s="127" t="n"/>
      <c r="G39" s="127" t="n"/>
      <c r="H39" s="132" t="n"/>
      <c r="I39" s="132" t="n"/>
      <c r="J39" s="132" t="n"/>
      <c r="K39" s="132" t="n"/>
      <c r="L39" s="132" t="n"/>
      <c r="M39" s="132" t="n"/>
      <c r="N39" s="132" t="n"/>
      <c r="O39" s="127" t="n">
        <v>112.3595</v>
      </c>
      <c r="P39" s="132" t="n">
        <v>-5.442301760107497</v>
      </c>
      <c r="Q39" s="127" t="n"/>
      <c r="R39" s="132" t="n"/>
      <c r="S39" s="133" t="n"/>
      <c r="T39" s="132" t="n"/>
      <c r="U39" s="132" t="n">
        <v>23.96</v>
      </c>
      <c r="V39" s="132" t="n">
        <v>-5.169999999999998</v>
      </c>
      <c r="W39" s="127" t="n">
        <v>23.6</v>
      </c>
      <c r="X39" s="132" t="n">
        <v>-29.09605905383358</v>
      </c>
    </row>
    <row r="40">
      <c r="C40" s="112" t="n">
        <v>37742</v>
      </c>
      <c r="D40" s="127" t="n"/>
      <c r="E40" s="132" t="n"/>
      <c r="F40" s="127" t="n"/>
      <c r="G40" s="127" t="n"/>
      <c r="H40" s="132" t="n"/>
      <c r="I40" s="132" t="n"/>
      <c r="J40" s="132" t="n"/>
      <c r="K40" s="132" t="n"/>
      <c r="L40" s="132" t="n"/>
      <c r="M40" s="132" t="n"/>
      <c r="N40" s="132" t="n"/>
      <c r="O40" s="127" t="n">
        <v>118.8213</v>
      </c>
      <c r="P40" s="132" t="n">
        <v>-3.070093626725335</v>
      </c>
      <c r="Q40" s="127" t="n"/>
      <c r="R40" s="132" t="n"/>
      <c r="S40" s="133" t="n"/>
      <c r="T40" s="132" t="n"/>
      <c r="U40" s="132" t="n">
        <v>23.53</v>
      </c>
      <c r="V40" s="132" t="n">
        <v>-5.709999999999997</v>
      </c>
      <c r="W40" s="127" t="n">
        <v>26.58</v>
      </c>
      <c r="X40" s="132" t="n">
        <v>-24.62014713310622</v>
      </c>
    </row>
    <row r="41">
      <c r="C41" s="112" t="n">
        <v>37773</v>
      </c>
      <c r="D41" s="127" t="n"/>
      <c r="E41" s="132" t="n"/>
      <c r="F41" s="127" t="n"/>
      <c r="G41" s="127" t="n"/>
      <c r="H41" s="132" t="n"/>
      <c r="I41" s="132" t="n"/>
      <c r="J41" s="132" t="n"/>
      <c r="K41" s="132" t="n"/>
      <c r="L41" s="132" t="n"/>
      <c r="M41" s="132" t="n"/>
      <c r="N41" s="132" t="n"/>
      <c r="O41" s="127" t="n">
        <v>115.7878</v>
      </c>
      <c r="P41" s="132" t="n">
        <v>2.286013994619121</v>
      </c>
      <c r="Q41" s="127" t="n"/>
      <c r="R41" s="132" t="n"/>
      <c r="S41" s="133" t="n"/>
      <c r="T41" s="132" t="n"/>
      <c r="U41" s="132" t="n">
        <v>21.98</v>
      </c>
      <c r="V41" s="132" t="n">
        <v>-5.16</v>
      </c>
      <c r="W41" s="127" t="n">
        <v>28.88</v>
      </c>
      <c r="X41" s="132" t="n">
        <v>2.916068205592012</v>
      </c>
    </row>
    <row r="42">
      <c r="C42" s="112" t="n">
        <v>37803</v>
      </c>
      <c r="D42" s="127" t="n"/>
      <c r="E42" s="132" t="n"/>
      <c r="F42" s="127" t="n"/>
      <c r="G42" s="127" t="n"/>
      <c r="H42" s="132" t="n"/>
      <c r="I42" s="132" t="n"/>
      <c r="J42" s="132" t="n"/>
      <c r="K42" s="132" t="n"/>
      <c r="L42" s="132" t="n"/>
      <c r="M42" s="132" t="n"/>
      <c r="N42" s="132" t="n"/>
      <c r="O42" s="127" t="n">
        <v>116.3948</v>
      </c>
      <c r="P42" s="132" t="n">
        <v>3.528430851598471</v>
      </c>
      <c r="Q42" s="127" t="n"/>
      <c r="R42" s="132" t="n"/>
      <c r="S42" s="133" t="n"/>
      <c r="T42" s="132" t="n"/>
      <c r="U42" s="132" t="n">
        <v>21.32</v>
      </c>
      <c r="V42" s="132" t="n">
        <v>-2.640000000000001</v>
      </c>
      <c r="W42" s="127" t="n">
        <v>28.68</v>
      </c>
      <c r="X42" s="132" t="n">
        <v>19.49533036998551</v>
      </c>
    </row>
    <row r="43">
      <c r="C43" s="112" t="n">
        <v>37834</v>
      </c>
      <c r="D43" s="127" t="n"/>
      <c r="E43" s="132" t="n"/>
      <c r="F43" s="127" t="n"/>
      <c r="G43" s="127" t="n"/>
      <c r="H43" s="132" t="n"/>
      <c r="I43" s="132" t="n"/>
      <c r="J43" s="132" t="n"/>
      <c r="K43" s="132" t="n"/>
      <c r="L43" s="132" t="n"/>
      <c r="M43" s="132" t="n"/>
      <c r="N43" s="132" t="n"/>
      <c r="O43" s="127" t="n">
        <v>120.8984</v>
      </c>
      <c r="P43" s="132" t="n">
        <v>1.73298396686444</v>
      </c>
      <c r="Q43" s="127" t="n"/>
      <c r="R43" s="132" t="n"/>
      <c r="S43" s="133" t="n"/>
      <c r="T43" s="132" t="n"/>
      <c r="U43" s="132" t="n">
        <v>18.99</v>
      </c>
      <c r="V43" s="132" t="n">
        <v>-4.540000000000003</v>
      </c>
      <c r="W43" s="127" t="n">
        <v>30.38</v>
      </c>
      <c r="X43" s="132" t="n">
        <v>13.36254438825276</v>
      </c>
    </row>
    <row r="44">
      <c r="C44" s="112" t="n">
        <v>37865</v>
      </c>
      <c r="D44" s="127" t="n"/>
      <c r="E44" s="132" t="n"/>
      <c r="F44" s="127" t="n"/>
      <c r="G44" s="127" t="n"/>
      <c r="H44" s="132" t="n"/>
      <c r="I44" s="132" t="n"/>
      <c r="J44" s="132" t="n"/>
      <c r="K44" s="132" t="n"/>
      <c r="L44" s="132" t="n"/>
      <c r="M44" s="132" t="n"/>
      <c r="N44" s="132" t="n"/>
      <c r="O44" s="127" t="n">
        <v>120.8978</v>
      </c>
      <c r="P44" s="132" t="n">
        <v>4.318635506823145</v>
      </c>
      <c r="Q44" s="127" t="n"/>
      <c r="R44" s="132" t="n"/>
      <c r="S44" s="133" t="n"/>
      <c r="T44" s="132" t="n"/>
      <c r="U44" s="132" t="n">
        <v>18.06</v>
      </c>
      <c r="V44" s="132" t="n">
        <v>-3.920000000000002</v>
      </c>
      <c r="W44" s="127" t="n">
        <v>28.09</v>
      </c>
      <c r="X44" s="132" t="n">
        <v>-2.773567290847317</v>
      </c>
    </row>
    <row r="45">
      <c r="C45" s="112" t="n">
        <v>37895</v>
      </c>
      <c r="D45" s="127" t="n"/>
      <c r="E45" s="132" t="n"/>
      <c r="F45" s="127" t="n"/>
      <c r="G45" s="127" t="n"/>
      <c r="H45" s="132" t="n"/>
      <c r="I45" s="132" t="n"/>
      <c r="J45" s="132" t="n"/>
      <c r="K45" s="132" t="n"/>
      <c r="L45" s="132" t="n"/>
      <c r="M45" s="132" t="n"/>
      <c r="N45" s="132" t="n"/>
      <c r="O45" s="127" t="n">
        <v>126.5708</v>
      </c>
      <c r="P45" s="132" t="n">
        <v>8.381397463755521</v>
      </c>
      <c r="Q45" s="127" t="n"/>
      <c r="R45" s="132" t="n"/>
      <c r="S45" s="133" t="n"/>
      <c r="T45" s="132" t="n"/>
      <c r="U45" s="132" t="n">
        <v>17.59</v>
      </c>
      <c r="V45" s="132" t="n">
        <v>-3.73</v>
      </c>
      <c r="W45" s="127" t="n">
        <v>27.88</v>
      </c>
      <c r="X45" s="132" t="n">
        <v>-2.829042983909655</v>
      </c>
    </row>
    <row r="46">
      <c r="C46" s="112" t="n">
        <v>37926</v>
      </c>
      <c r="D46" s="127" t="n"/>
      <c r="E46" s="132" t="n"/>
      <c r="F46" s="127" t="n"/>
      <c r="G46" s="127" t="n"/>
      <c r="H46" s="132" t="n"/>
      <c r="I46" s="132" t="n"/>
      <c r="J46" s="132" t="n"/>
      <c r="K46" s="132" t="n"/>
      <c r="L46" s="132" t="n"/>
      <c r="M46" s="132" t="n"/>
      <c r="N46" s="132" t="n"/>
      <c r="O46" s="127" t="n">
        <v>126.0868</v>
      </c>
      <c r="P46" s="132" t="n">
        <v>4.202003520990921</v>
      </c>
      <c r="Q46" s="127" t="n"/>
      <c r="R46" s="132" t="n"/>
      <c r="S46" s="133" t="n"/>
      <c r="T46" s="132" t="n"/>
      <c r="U46" s="132" t="n">
        <v>16.02</v>
      </c>
      <c r="V46" s="132" t="n">
        <v>-2.969999999999999</v>
      </c>
      <c r="W46" s="127" t="n">
        <v>28.95</v>
      </c>
      <c r="X46" s="132" t="n">
        <v>-4.821429314862251</v>
      </c>
    </row>
    <row r="47">
      <c r="C47" s="112" t="n">
        <v>37956</v>
      </c>
      <c r="D47" s="127" t="n"/>
      <c r="E47" s="132" t="n"/>
      <c r="F47" s="127" t="n"/>
      <c r="G47" s="127" t="n"/>
      <c r="H47" s="132" t="n"/>
      <c r="I47" s="132" t="n"/>
      <c r="J47" s="132" t="n"/>
      <c r="K47" s="132" t="n"/>
      <c r="L47" s="132" t="n"/>
      <c r="M47" s="132" t="n"/>
      <c r="N47" s="132" t="n"/>
      <c r="O47" s="127" t="n">
        <v>135.2686</v>
      </c>
      <c r="P47" s="132" t="n">
        <v>11.23168707782403</v>
      </c>
      <c r="Q47" s="127" t="n"/>
      <c r="R47" s="132" t="n"/>
      <c r="S47" s="133" t="n"/>
      <c r="T47" s="132" t="n"/>
      <c r="U47" s="132" t="n">
        <v>15.88</v>
      </c>
      <c r="V47" s="132" t="n">
        <v>-2.179999999999998</v>
      </c>
      <c r="W47" s="127" t="n">
        <v>30.3</v>
      </c>
      <c r="X47" s="132" t="n">
        <v>7.573407139917111</v>
      </c>
    </row>
    <row r="48">
      <c r="C48" s="112" t="n">
        <v>37987</v>
      </c>
      <c r="D48" s="127" t="n"/>
      <c r="E48" s="132" t="n"/>
      <c r="F48" s="127" t="n"/>
      <c r="G48" s="127" t="n"/>
      <c r="H48" s="132" t="n"/>
      <c r="I48" s="132" t="n"/>
      <c r="J48" s="132" t="n"/>
      <c r="K48" s="132" t="n"/>
      <c r="L48" s="132" t="n"/>
      <c r="M48" s="132" t="n"/>
      <c r="N48" s="132" t="n"/>
      <c r="O48" s="127" t="n">
        <v>137.6197</v>
      </c>
      <c r="P48" s="132" t="n">
        <v>8.369224845876621</v>
      </c>
      <c r="Q48" s="127" t="n"/>
      <c r="R48" s="132" t="n"/>
      <c r="S48" s="133" t="n"/>
      <c r="T48" s="132" t="n"/>
      <c r="U48" s="132" t="n">
        <v>15.73</v>
      </c>
      <c r="V48" s="132" t="n">
        <v>-1.859999999999999</v>
      </c>
      <c r="W48" s="127" t="n">
        <v>29.53</v>
      </c>
      <c r="X48" s="132" t="n">
        <v>5.749710986350829</v>
      </c>
    </row>
    <row r="49">
      <c r="C49" s="112" t="n">
        <v>38018</v>
      </c>
      <c r="D49" s="127" t="n"/>
      <c r="E49" s="132" t="n"/>
      <c r="F49" s="127" t="n"/>
      <c r="G49" s="127" t="n"/>
      <c r="H49" s="132" t="n"/>
      <c r="I49" s="132" t="n"/>
      <c r="J49" s="132" t="n"/>
      <c r="K49" s="132" t="n"/>
      <c r="L49" s="132" t="n"/>
      <c r="M49" s="132" t="n"/>
      <c r="N49" s="132" t="n"/>
      <c r="O49" s="127" t="n">
        <v>146.4448</v>
      </c>
      <c r="P49" s="132" t="n">
        <v>14.96780069790435</v>
      </c>
      <c r="Q49" s="127" t="n"/>
      <c r="R49" s="132" t="n"/>
      <c r="S49" s="133" t="n"/>
      <c r="T49" s="132" t="n"/>
      <c r="U49" s="132" t="n">
        <v>15.73</v>
      </c>
      <c r="V49" s="132" t="n">
        <v>-0.2899999999999991</v>
      </c>
      <c r="W49" s="127" t="n">
        <v>32.94</v>
      </c>
      <c r="X49" s="132" t="n">
        <v>12.911752073049</v>
      </c>
    </row>
    <row r="50">
      <c r="C50" s="112" t="n">
        <v>38047</v>
      </c>
      <c r="D50" s="127" t="n"/>
      <c r="E50" s="132" t="n"/>
      <c r="F50" s="127" t="n"/>
      <c r="G50" s="127" t="n"/>
      <c r="H50" s="132" t="n"/>
      <c r="I50" s="132" t="n"/>
      <c r="J50" s="132" t="n"/>
      <c r="K50" s="132" t="n"/>
      <c r="L50" s="132" t="n"/>
      <c r="M50" s="132" t="n"/>
      <c r="N50" s="132" t="n"/>
      <c r="O50" s="127" t="n">
        <v>150.8372</v>
      </c>
      <c r="P50" s="132" t="n">
        <v>10.89386781258909</v>
      </c>
      <c r="Q50" s="127" t="n"/>
      <c r="R50" s="132" t="n"/>
      <c r="S50" s="133" t="n"/>
      <c r="T50" s="132" t="n"/>
      <c r="U50" s="132" t="n">
        <v>15.24</v>
      </c>
      <c r="V50" s="132" t="n">
        <v>-0.6400000000000006</v>
      </c>
      <c r="W50" s="127" t="n">
        <v>32.29</v>
      </c>
      <c r="X50" s="132" t="n">
        <v>6.360987225486038</v>
      </c>
    </row>
    <row r="51">
      <c r="C51" s="112" t="n">
        <v>38078</v>
      </c>
      <c r="D51" s="127" t="n"/>
      <c r="E51" s="132" t="n"/>
      <c r="F51" s="127" t="n"/>
      <c r="G51" s="127" t="n"/>
      <c r="H51" s="132" t="n"/>
      <c r="I51" s="132" t="n"/>
      <c r="J51" s="132" t="n"/>
      <c r="K51" s="132" t="n"/>
      <c r="L51" s="132" t="n"/>
      <c r="M51" s="132" t="n"/>
      <c r="N51" s="132" t="n"/>
      <c r="O51" s="127" t="n">
        <v>148.0462</v>
      </c>
      <c r="P51" s="132" t="n">
        <v>7.30303033575589</v>
      </c>
      <c r="Q51" s="127" t="n"/>
      <c r="R51" s="132" t="n"/>
      <c r="S51" s="133" t="n"/>
      <c r="T51" s="132" t="n"/>
      <c r="U51" s="132" t="n">
        <v>15.83</v>
      </c>
      <c r="V51" s="132" t="n">
        <v>0.09999999999999964</v>
      </c>
      <c r="W51" s="127" t="n">
        <v>35.23</v>
      </c>
      <c r="X51" s="132" t="n">
        <v>17.64912965973149</v>
      </c>
    </row>
    <row r="52">
      <c r="C52" s="112" t="n">
        <v>38108</v>
      </c>
      <c r="D52" s="127" t="n"/>
      <c r="E52" s="132" t="n"/>
      <c r="F52" s="127" t="n"/>
      <c r="G52" s="127" t="n"/>
      <c r="H52" s="132" t="n"/>
      <c r="I52" s="132" t="n"/>
      <c r="J52" s="132" t="n"/>
      <c r="K52" s="132" t="n"/>
      <c r="L52" s="132" t="n"/>
      <c r="M52" s="132" t="n"/>
      <c r="N52" s="132" t="n"/>
      <c r="O52" s="127" t="n">
        <v>150.4365</v>
      </c>
      <c r="P52" s="132" t="n">
        <v>2.689250259804893</v>
      </c>
      <c r="Q52" s="127" t="n"/>
      <c r="R52" s="132" t="n"/>
      <c r="S52" s="133" t="n"/>
      <c r="T52" s="132" t="n"/>
      <c r="U52" s="132" t="n">
        <v>18.8</v>
      </c>
      <c r="V52" s="132" t="n">
        <v>3.07</v>
      </c>
      <c r="W52" s="127" t="n">
        <v>37</v>
      </c>
      <c r="X52" s="132" t="n">
        <v>11.62301878947303</v>
      </c>
    </row>
    <row r="53">
      <c r="C53" s="112" t="n">
        <v>38139</v>
      </c>
      <c r="D53" s="127" t="n"/>
      <c r="E53" s="132" t="n"/>
      <c r="F53" s="127" t="n"/>
      <c r="G53" s="127" t="n"/>
      <c r="H53" s="132" t="n"/>
      <c r="I53" s="132" t="n"/>
      <c r="J53" s="132" t="n"/>
      <c r="K53" s="132" t="n"/>
      <c r="L53" s="132" t="n"/>
      <c r="M53" s="132" t="n"/>
      <c r="N53" s="132" t="n"/>
      <c r="O53" s="127" t="n">
        <v>144.0336</v>
      </c>
      <c r="P53" s="132" t="n">
        <v>-4.615450381106135</v>
      </c>
      <c r="Q53" s="127" t="n"/>
      <c r="R53" s="132" t="n"/>
      <c r="S53" s="133" t="n"/>
      <c r="T53" s="132" t="n"/>
      <c r="U53" s="132" t="n">
        <v>17.04</v>
      </c>
      <c r="V53" s="132" t="n">
        <v>1.799999999999999</v>
      </c>
      <c r="W53" s="127" t="n">
        <v>33.22</v>
      </c>
      <c r="X53" s="132" t="n">
        <v>2.839451941496505</v>
      </c>
    </row>
    <row r="54">
      <c r="C54" s="112" t="n">
        <v>38169</v>
      </c>
      <c r="D54" s="127" t="n"/>
      <c r="E54" s="132" t="n"/>
      <c r="F54" s="127" t="n"/>
      <c r="G54" s="127" t="n"/>
      <c r="H54" s="132" t="n"/>
      <c r="I54" s="132" t="n"/>
      <c r="J54" s="132" t="n"/>
      <c r="K54" s="132" t="n"/>
      <c r="L54" s="132" t="n"/>
      <c r="M54" s="132" t="n"/>
      <c r="N54" s="132" t="n"/>
      <c r="O54" s="127" t="n">
        <v>146.4138</v>
      </c>
      <c r="P54" s="132" t="n">
        <v>-1.108752783392438</v>
      </c>
      <c r="Q54" s="127" t="n"/>
      <c r="R54" s="132" t="n"/>
      <c r="S54" s="133" t="n"/>
      <c r="T54" s="132" t="n"/>
      <c r="U54" s="132" t="n">
        <v>17.61</v>
      </c>
      <c r="V54" s="132" t="n">
        <v>1.779999999999999</v>
      </c>
      <c r="W54" s="127" t="n">
        <v>41.47</v>
      </c>
      <c r="X54" s="132" t="n">
        <v>16.30722819051437</v>
      </c>
    </row>
    <row r="55">
      <c r="C55" s="112" t="n">
        <v>38200</v>
      </c>
      <c r="D55" s="127" t="n"/>
      <c r="E55" s="132" t="n"/>
      <c r="F55" s="127" t="n"/>
      <c r="G55" s="127" t="n"/>
      <c r="H55" s="132" t="n"/>
      <c r="I55" s="132" t="n"/>
      <c r="J55" s="132" t="n"/>
      <c r="K55" s="132" t="n"/>
      <c r="L55" s="132" t="n"/>
      <c r="M55" s="132" t="n"/>
      <c r="N55" s="132" t="n"/>
      <c r="O55" s="127" t="n">
        <v>143.5561</v>
      </c>
      <c r="P55" s="132" t="n">
        <v>-4.68151686736318</v>
      </c>
      <c r="Q55" s="127" t="n"/>
      <c r="R55" s="132" t="n"/>
      <c r="S55" s="133" t="n"/>
      <c r="T55" s="132" t="n"/>
      <c r="U55" s="132" t="n">
        <v>17.97</v>
      </c>
      <c r="V55" s="132" t="n">
        <v>-0.8300000000000018</v>
      </c>
      <c r="W55" s="127" t="n">
        <v>39.8</v>
      </c>
      <c r="X55" s="132" t="n">
        <v>7.294899964616748</v>
      </c>
    </row>
    <row r="56">
      <c r="C56" s="112" t="n">
        <v>38231</v>
      </c>
      <c r="D56" s="127" t="n"/>
      <c r="E56" s="132" t="n"/>
      <c r="F56" s="127" t="n"/>
      <c r="G56" s="127" t="n"/>
      <c r="H56" s="132" t="n"/>
      <c r="I56" s="132" t="n"/>
      <c r="J56" s="132" t="n"/>
      <c r="K56" s="132" t="n"/>
      <c r="L56" s="132" t="n"/>
      <c r="M56" s="132" t="n"/>
      <c r="N56" s="132" t="n"/>
      <c r="O56" s="127" t="n">
        <v>153.1752</v>
      </c>
      <c r="P56" s="132" t="n">
        <v>6.153575861561939</v>
      </c>
      <c r="Q56" s="127" t="n"/>
      <c r="R56" s="132" t="n"/>
      <c r="S56" s="133" t="n"/>
      <c r="T56" s="132" t="n"/>
      <c r="U56" s="132" t="n">
        <v>17.41</v>
      </c>
      <c r="V56" s="132" t="n">
        <v>0.370000000000001</v>
      </c>
      <c r="W56" s="127" t="n">
        <v>47.76</v>
      </c>
      <c r="X56" s="132" t="n">
        <v>36.30363648991978</v>
      </c>
    </row>
    <row r="57">
      <c r="C57" s="112" t="n">
        <v>38261</v>
      </c>
      <c r="D57" s="127" t="n"/>
      <c r="E57" s="132" t="n"/>
      <c r="F57" s="127" t="n"/>
      <c r="G57" s="127" t="n"/>
      <c r="H57" s="132" t="n"/>
      <c r="I57" s="132" t="n"/>
      <c r="J57" s="132" t="n"/>
      <c r="K57" s="132" t="n"/>
      <c r="L57" s="132" t="n"/>
      <c r="M57" s="132" t="n"/>
      <c r="N57" s="132" t="n"/>
      <c r="O57" s="127" t="n">
        <v>155.5494</v>
      </c>
      <c r="P57" s="132" t="n">
        <v>6.052650667570724</v>
      </c>
      <c r="Q57" s="127" t="n"/>
      <c r="R57" s="132" t="n"/>
      <c r="S57" s="133" t="n"/>
      <c r="T57" s="132" t="n"/>
      <c r="U57" s="132" t="n">
        <v>17.92</v>
      </c>
      <c r="V57" s="132" t="n">
        <v>0.3100000000000023</v>
      </c>
      <c r="W57" s="127" t="n">
        <v>48.16</v>
      </c>
      <c r="X57" s="132" t="n">
        <v>14.95585267422756</v>
      </c>
    </row>
    <row r="58">
      <c r="C58" s="112" t="n">
        <v>38292</v>
      </c>
      <c r="D58" s="127" t="n"/>
      <c r="E58" s="132" t="n"/>
      <c r="F58" s="127" t="n"/>
      <c r="G58" s="127" t="n"/>
      <c r="H58" s="132" t="n"/>
      <c r="I58" s="132" t="n"/>
      <c r="J58" s="132" t="n"/>
      <c r="K58" s="132" t="n"/>
      <c r="L58" s="132" t="n"/>
      <c r="M58" s="132" t="n"/>
      <c r="N58" s="132" t="n"/>
      <c r="O58" s="127" t="n">
        <v>153.406</v>
      </c>
      <c r="P58" s="132" t="n">
        <v>6.636210202839433</v>
      </c>
      <c r="Q58" s="127" t="n"/>
      <c r="R58" s="132" t="n"/>
      <c r="S58" s="133" t="n"/>
      <c r="T58" s="132" t="n"/>
      <c r="U58" s="132" t="n">
        <v>17.85</v>
      </c>
      <c r="V58" s="132" t="n">
        <v>-0.1199999999999974</v>
      </c>
      <c r="W58" s="127" t="n">
        <v>44.23</v>
      </c>
      <c r="X58" s="132" t="n">
        <v>10.55363795898435</v>
      </c>
    </row>
    <row r="59">
      <c r="C59" s="112" t="n">
        <v>38322</v>
      </c>
      <c r="D59" s="127" t="n"/>
      <c r="E59" s="132" t="n"/>
      <c r="F59" s="127" t="n"/>
      <c r="G59" s="127" t="n"/>
      <c r="H59" s="132" t="n"/>
      <c r="I59" s="132" t="n"/>
      <c r="J59" s="132" t="n"/>
      <c r="K59" s="132" t="n"/>
      <c r="L59" s="132" t="n"/>
      <c r="M59" s="132" t="n"/>
      <c r="N59" s="132" t="n"/>
      <c r="O59" s="127" t="n">
        <v>145.6045</v>
      </c>
      <c r="P59" s="132" t="n">
        <v>-5.068832242857167</v>
      </c>
      <c r="Q59" s="127" t="n"/>
      <c r="R59" s="132" t="n"/>
      <c r="S59" s="133" t="n"/>
      <c r="T59" s="132" t="n"/>
      <c r="U59" s="132" t="n">
        <v>17.83</v>
      </c>
      <c r="V59" s="132" t="n">
        <v>0.4199999999999982</v>
      </c>
      <c r="W59" s="127" t="n">
        <v>40.38</v>
      </c>
      <c r="X59" s="132" t="n">
        <v>-16.78538561996551</v>
      </c>
    </row>
    <row r="60">
      <c r="C60" s="112" t="n">
        <v>38353</v>
      </c>
      <c r="D60" s="127" t="n"/>
      <c r="E60" s="132" t="n"/>
      <c r="F60" s="127" t="n"/>
      <c r="G60" s="127" t="n"/>
      <c r="H60" s="132" t="n"/>
      <c r="I60" s="132" t="n"/>
      <c r="J60" s="132" t="n"/>
      <c r="K60" s="132" t="n"/>
      <c r="L60" s="132" t="n"/>
      <c r="M60" s="132" t="n"/>
      <c r="N60" s="132" t="n"/>
      <c r="O60" s="127" t="n">
        <v>146.8208</v>
      </c>
      <c r="P60" s="132" t="n">
        <v>-5.775057053886852</v>
      </c>
      <c r="Q60" s="127" t="n"/>
      <c r="R60" s="132" t="n"/>
      <c r="S60" s="133" t="n"/>
      <c r="T60" s="132" t="n"/>
      <c r="U60" s="132" t="n">
        <v>18.83</v>
      </c>
      <c r="V60" s="132" t="n">
        <v>0.9099999999999966</v>
      </c>
      <c r="W60" s="127" t="n">
        <v>44.51</v>
      </c>
      <c r="X60" s="132" t="n">
        <v>-7.881491797280262</v>
      </c>
    </row>
    <row r="61">
      <c r="C61" s="112" t="n">
        <v>38384</v>
      </c>
      <c r="D61" s="127" t="n"/>
      <c r="E61" s="132" t="n"/>
      <c r="F61" s="127" t="n"/>
      <c r="G61" s="127" t="n"/>
      <c r="H61" s="132" t="n"/>
      <c r="I61" s="132" t="n"/>
      <c r="J61" s="132" t="n"/>
      <c r="K61" s="132" t="n"/>
      <c r="L61" s="132" t="n"/>
      <c r="M61" s="132" t="n"/>
      <c r="N61" s="132" t="n"/>
      <c r="O61" s="127" t="n">
        <v>156.8857</v>
      </c>
      <c r="P61" s="132" t="n">
        <v>2.242951313417031</v>
      </c>
      <c r="Q61" s="127" t="n"/>
      <c r="R61" s="132" t="n"/>
      <c r="S61" s="133" t="n"/>
      <c r="T61" s="132" t="n"/>
      <c r="U61" s="132" t="n">
        <v>18.46</v>
      </c>
      <c r="V61" s="132" t="n">
        <v>0.6099999999999994</v>
      </c>
      <c r="W61" s="127" t="n">
        <v>50.13</v>
      </c>
      <c r="X61" s="132" t="n">
        <v>12.52163393951767</v>
      </c>
    </row>
    <row r="62">
      <c r="C62" s="112" t="n">
        <v>38412</v>
      </c>
      <c r="D62" s="127" t="n"/>
      <c r="E62" s="132" t="n"/>
      <c r="F62" s="127" t="n"/>
      <c r="G62" s="127" t="n"/>
      <c r="H62" s="132" t="n"/>
      <c r="I62" s="132" t="n"/>
      <c r="J62" s="132" t="n"/>
      <c r="K62" s="132" t="n"/>
      <c r="L62" s="132" t="n"/>
      <c r="M62" s="132" t="n"/>
      <c r="N62" s="132" t="n"/>
      <c r="O62" s="127" t="n">
        <v>162.0939</v>
      </c>
      <c r="P62" s="132" t="n">
        <v>10.72817550632513</v>
      </c>
      <c r="Q62" s="127" t="n"/>
      <c r="R62" s="132" t="n"/>
      <c r="S62" s="133" t="n"/>
      <c r="T62" s="132" t="n"/>
      <c r="U62" s="132" t="n">
        <v>19.19</v>
      </c>
      <c r="V62" s="132" t="n">
        <v>1.360000000000003</v>
      </c>
      <c r="W62" s="127" t="n">
        <v>53.22</v>
      </c>
      <c r="X62" s="132" t="n">
        <v>27.60996526648517</v>
      </c>
    </row>
    <row r="63">
      <c r="C63" s="112" t="n">
        <v>38443</v>
      </c>
      <c r="D63" s="127" t="n"/>
      <c r="E63" s="132" t="n"/>
      <c r="F63" s="127" t="n"/>
      <c r="G63" s="127" t="n"/>
      <c r="H63" s="132" t="n"/>
      <c r="I63" s="132" t="n"/>
      <c r="J63" s="132" t="n"/>
      <c r="K63" s="132" t="n"/>
      <c r="L63" s="132" t="n"/>
      <c r="M63" s="132" t="n"/>
      <c r="N63" s="132" t="n"/>
      <c r="O63" s="127" t="n">
        <v>152.2941</v>
      </c>
      <c r="P63" s="132" t="n">
        <v>3.660072430373861</v>
      </c>
      <c r="Q63" s="127" t="n"/>
      <c r="R63" s="132" t="n"/>
      <c r="S63" s="133" t="n"/>
      <c r="T63" s="132" t="n"/>
      <c r="U63" s="132" t="n">
        <v>19.16</v>
      </c>
      <c r="V63" s="132" t="n">
        <v>0.3300000000000018</v>
      </c>
      <c r="W63" s="127" t="n">
        <v>50.61</v>
      </c>
      <c r="X63" s="132" t="n">
        <v>12.84353021982236</v>
      </c>
    </row>
    <row r="64">
      <c r="C64" s="112" t="n">
        <v>38473</v>
      </c>
      <c r="D64" s="127" t="n"/>
      <c r="E64" s="132" t="n"/>
      <c r="F64" s="127" t="n"/>
      <c r="G64" s="127" t="n"/>
      <c r="H64" s="132" t="n"/>
      <c r="I64" s="132" t="n"/>
      <c r="J64" s="132" t="n"/>
      <c r="K64" s="132" t="n"/>
      <c r="L64" s="132" t="n"/>
      <c r="M64" s="132" t="n"/>
      <c r="N64" s="132" t="n"/>
      <c r="O64" s="127" t="n">
        <v>150.7271</v>
      </c>
      <c r="P64" s="132" t="n">
        <v>-4.004659779413338</v>
      </c>
      <c r="Q64" s="127" t="n"/>
      <c r="R64" s="132" t="n"/>
      <c r="S64" s="133" t="n"/>
      <c r="T64" s="132" t="n"/>
      <c r="U64" s="132" t="n">
        <v>18.65</v>
      </c>
      <c r="V64" s="132" t="n">
        <v>0.1899999999999977</v>
      </c>
      <c r="W64" s="127" t="n">
        <v>49.3</v>
      </c>
      <c r="X64" s="132" t="n">
        <v>-1.669555022676767</v>
      </c>
    </row>
    <row r="65">
      <c r="C65" s="112" t="n">
        <v>38504</v>
      </c>
      <c r="D65" s="127" t="n"/>
      <c r="E65" s="132" t="n"/>
      <c r="F65" s="127" t="n"/>
      <c r="G65" s="127" t="n"/>
      <c r="H65" s="132" t="n"/>
      <c r="I65" s="132" t="n"/>
      <c r="J65" s="132" t="n"/>
      <c r="K65" s="132" t="n"/>
      <c r="L65" s="132" t="n"/>
      <c r="M65" s="132" t="n"/>
      <c r="N65" s="132" t="n"/>
      <c r="O65" s="127" t="n">
        <v>152.8846</v>
      </c>
      <c r="P65" s="132" t="n">
        <v>-5.849240850363008</v>
      </c>
      <c r="Q65" s="127" t="n"/>
      <c r="R65" s="132" t="n"/>
      <c r="S65" s="133" t="n"/>
      <c r="T65" s="132" t="n"/>
      <c r="U65" s="132" t="n">
        <v>18.15</v>
      </c>
      <c r="V65" s="132" t="n">
        <v>-1.040000000000003</v>
      </c>
      <c r="W65" s="127" t="n">
        <v>55.36</v>
      </c>
      <c r="X65" s="132" t="n">
        <v>3.942304575987101</v>
      </c>
    </row>
    <row r="66">
      <c r="C66" s="112" t="n">
        <v>38534</v>
      </c>
      <c r="D66" s="127" t="n"/>
      <c r="E66" s="132" t="n"/>
      <c r="F66" s="127" t="n"/>
      <c r="G66" s="127" t="n"/>
      <c r="H66" s="132" t="n"/>
      <c r="I66" s="132" t="n"/>
      <c r="J66" s="132" t="n"/>
      <c r="K66" s="132" t="n"/>
      <c r="L66" s="132" t="n"/>
      <c r="M66" s="132" t="n"/>
      <c r="N66" s="132" t="n"/>
      <c r="O66" s="127" t="n">
        <v>159.3296</v>
      </c>
      <c r="P66" s="132" t="n">
        <v>4.516149276603433</v>
      </c>
      <c r="Q66" s="127" t="n"/>
      <c r="R66" s="132" t="n"/>
      <c r="S66" s="133" t="n"/>
      <c r="T66" s="132" t="n"/>
      <c r="U66" s="132" t="n">
        <v>18.33</v>
      </c>
      <c r="V66" s="132" t="n">
        <v>-0.8300000000000018</v>
      </c>
      <c r="W66" s="127" t="n">
        <v>59.77</v>
      </c>
      <c r="X66" s="132" t="n">
        <v>16.63546776101762</v>
      </c>
    </row>
    <row r="67">
      <c r="C67" s="112" t="n">
        <v>38565</v>
      </c>
      <c r="D67" s="127" t="n"/>
      <c r="E67" s="132" t="n"/>
      <c r="F67" s="127" t="n"/>
      <c r="G67" s="127" t="n"/>
      <c r="H67" s="132" t="n"/>
      <c r="I67" s="132" t="n"/>
      <c r="J67" s="132" t="n"/>
      <c r="K67" s="132" t="n"/>
      <c r="L67" s="132" t="n"/>
      <c r="M67" s="132" t="n"/>
      <c r="N67" s="132" t="n"/>
      <c r="O67" s="127" t="n">
        <v>170.8165</v>
      </c>
      <c r="P67" s="132" t="n">
        <v>12.51189639668129</v>
      </c>
      <c r="Q67" s="127" t="n"/>
      <c r="R67" s="132" t="n"/>
      <c r="S67" s="133" t="n"/>
      <c r="T67" s="132" t="n"/>
      <c r="U67" s="132" t="n">
        <v>18.32</v>
      </c>
      <c r="V67" s="132" t="n">
        <v>-0.3299999999999983</v>
      </c>
      <c r="W67" s="127" t="n">
        <v>66.8</v>
      </c>
      <c r="X67" s="132" t="n">
        <v>30.37789994939556</v>
      </c>
    </row>
    <row r="68">
      <c r="C68" s="112" t="n">
        <v>38596</v>
      </c>
      <c r="D68" s="127" t="n"/>
      <c r="E68" s="132" t="n"/>
      <c r="F68" s="127" t="n"/>
      <c r="G68" s="127" t="n"/>
      <c r="H68" s="132" t="n"/>
      <c r="I68" s="132" t="n"/>
      <c r="J68" s="132" t="n"/>
      <c r="K68" s="132" t="n"/>
      <c r="L68" s="132" t="n"/>
      <c r="M68" s="132" t="n"/>
      <c r="N68" s="132" t="n"/>
      <c r="O68" s="127" t="n">
        <v>178.2486</v>
      </c>
      <c r="P68" s="132" t="n">
        <v>15.34958166880998</v>
      </c>
      <c r="Q68" s="127" t="n"/>
      <c r="R68" s="132" t="n"/>
      <c r="S68" s="133" t="n"/>
      <c r="T68" s="132" t="n"/>
      <c r="U68" s="132" t="n">
        <v>17.91</v>
      </c>
      <c r="V68" s="132" t="n">
        <v>-0.2399999999999984</v>
      </c>
      <c r="W68" s="127" t="n">
        <v>61.7</v>
      </c>
      <c r="X68" s="132" t="n">
        <v>10.8426619601928</v>
      </c>
    </row>
    <row r="69">
      <c r="C69" s="112" t="n">
        <v>38626</v>
      </c>
      <c r="D69" s="127" t="n"/>
      <c r="E69" s="132" t="n"/>
      <c r="F69" s="127" t="n"/>
      <c r="G69" s="127" t="n"/>
      <c r="H69" s="132" t="n"/>
      <c r="I69" s="132" t="n"/>
      <c r="J69" s="132" t="n"/>
      <c r="K69" s="132" t="n"/>
      <c r="L69" s="132" t="n"/>
      <c r="M69" s="132" t="n"/>
      <c r="N69" s="132" t="n"/>
      <c r="O69" s="127" t="n">
        <v>166.5165</v>
      </c>
      <c r="P69" s="132" t="n">
        <v>4.411939102311249</v>
      </c>
      <c r="Q69" s="127" t="n"/>
      <c r="R69" s="132" t="n"/>
      <c r="S69" s="133" t="n"/>
      <c r="T69" s="132" t="n"/>
      <c r="U69" s="132" t="n">
        <v>17.6</v>
      </c>
      <c r="V69" s="132" t="n">
        <v>-0.7299999999999969</v>
      </c>
      <c r="W69" s="127" t="n">
        <v>58.47</v>
      </c>
      <c r="X69" s="132" t="n">
        <v>-2.199006064858374</v>
      </c>
    </row>
    <row r="70">
      <c r="C70" s="112" t="n">
        <v>38657</v>
      </c>
      <c r="D70" s="127" t="n"/>
      <c r="E70" s="132" t="n"/>
      <c r="F70" s="127" t="n"/>
      <c r="G70" s="127" t="n"/>
      <c r="H70" s="132" t="n"/>
      <c r="I70" s="132" t="n"/>
      <c r="J70" s="132" t="n"/>
      <c r="K70" s="132" t="n"/>
      <c r="L70" s="132" t="n"/>
      <c r="M70" s="132" t="n"/>
      <c r="N70" s="132" t="n"/>
      <c r="O70" s="127" t="n">
        <v>166.4017</v>
      </c>
      <c r="P70" s="132" t="n">
        <v>-2.618513622296378</v>
      </c>
      <c r="Q70" s="127" t="n"/>
      <c r="R70" s="132" t="n"/>
      <c r="S70" s="133" t="n"/>
      <c r="T70" s="132" t="n"/>
      <c r="U70" s="132" t="n">
        <v>16.75</v>
      </c>
      <c r="V70" s="132" t="n">
        <v>-1.57</v>
      </c>
      <c r="W70" s="127" t="n">
        <v>53.25</v>
      </c>
      <c r="X70" s="132" t="n">
        <v>-22.67052759530655</v>
      </c>
    </row>
    <row r="71">
      <c r="C71" s="112" t="n">
        <v>38687</v>
      </c>
      <c r="D71" s="127" t="n"/>
      <c r="E71" s="132" t="n"/>
      <c r="F71" s="127" t="n"/>
      <c r="G71" s="127" t="n"/>
      <c r="H71" s="132" t="n"/>
      <c r="I71" s="132" t="n"/>
      <c r="J71" s="132" t="n"/>
      <c r="K71" s="132" t="n"/>
      <c r="L71" s="132" t="n"/>
      <c r="M71" s="132" t="n"/>
      <c r="N71" s="132" t="n"/>
      <c r="O71" s="127" t="n">
        <v>171.1493</v>
      </c>
      <c r="P71" s="132" t="n">
        <v>-4.064293013783373</v>
      </c>
      <c r="Q71" s="127" t="n"/>
      <c r="R71" s="132" t="n"/>
      <c r="S71" s="133" t="n"/>
      <c r="T71" s="132" t="n"/>
      <c r="U71" s="132" t="n">
        <v>16.39</v>
      </c>
      <c r="V71" s="132" t="n">
        <v>-1.52</v>
      </c>
      <c r="W71" s="127" t="n">
        <v>58.34</v>
      </c>
      <c r="X71" s="132" t="n">
        <v>-5.599596647176681</v>
      </c>
    </row>
    <row r="72">
      <c r="C72" s="112" t="n">
        <v>38718</v>
      </c>
      <c r="D72" s="127" t="n">
        <v>3859.8472</v>
      </c>
      <c r="E72" s="132" t="n"/>
      <c r="F72" s="127" t="n"/>
      <c r="G72" s="127" t="n"/>
      <c r="H72" s="132" t="n"/>
      <c r="I72" s="132" t="n"/>
      <c r="J72" s="132" t="n"/>
      <c r="K72" s="132" t="n"/>
      <c r="L72" s="132" t="n"/>
      <c r="M72" s="132" t="n"/>
      <c r="N72" s="132" t="n"/>
      <c r="O72" s="127" t="n">
        <v>173.6687</v>
      </c>
      <c r="P72" s="132" t="n">
        <v>4.205505766046868</v>
      </c>
      <c r="Q72" s="127" t="n">
        <v>384.8498392</v>
      </c>
      <c r="R72" s="132" t="n"/>
      <c r="S72" s="133" t="n">
        <v>2.216</v>
      </c>
      <c r="T72" s="132" t="n"/>
      <c r="U72" s="132" t="n">
        <v>15.83</v>
      </c>
      <c r="V72" s="132" t="n">
        <v>-1.770000000000001</v>
      </c>
      <c r="W72" s="127" t="n">
        <v>63.19</v>
      </c>
      <c r="X72" s="132" t="n">
        <v>7.763225859778466</v>
      </c>
    </row>
    <row r="73">
      <c r="C73" s="112" t="n">
        <v>38749</v>
      </c>
      <c r="D73" s="127" t="n">
        <v>3877.8347</v>
      </c>
      <c r="E73" s="132" t="n"/>
      <c r="F73" s="127" t="n"/>
      <c r="G73" s="127" t="n"/>
      <c r="H73" s="132" t="n"/>
      <c r="I73" s="132" t="n"/>
      <c r="J73" s="132" t="n"/>
      <c r="K73" s="132" t="n"/>
      <c r="L73" s="132" t="n"/>
      <c r="M73" s="132" t="n"/>
      <c r="N73" s="132" t="n"/>
      <c r="O73" s="127" t="n">
        <v>162.2336</v>
      </c>
      <c r="P73" s="132" t="n">
        <v>-2.536747278809495</v>
      </c>
      <c r="Q73" s="127" t="n">
        <v>346.4498528</v>
      </c>
      <c r="R73" s="132" t="n"/>
      <c r="S73" s="133" t="n">
        <v>2.1355</v>
      </c>
      <c r="T73" s="132" t="n"/>
      <c r="U73" s="132" t="n">
        <v>15.22</v>
      </c>
      <c r="V73" s="132" t="n">
        <v>-1.529999999999999</v>
      </c>
      <c r="W73" s="127" t="n">
        <v>59.78</v>
      </c>
      <c r="X73" s="132" t="n">
        <v>11.56733522662574</v>
      </c>
    </row>
    <row r="74">
      <c r="C74" s="112" t="n">
        <v>38777</v>
      </c>
      <c r="D74" s="127" t="n">
        <v>3815.3765</v>
      </c>
      <c r="E74" s="132" t="n"/>
      <c r="F74" s="127" t="n"/>
      <c r="G74" s="127" t="n"/>
      <c r="H74" s="132" t="n"/>
      <c r="I74" s="132" t="n"/>
      <c r="J74" s="132" t="n"/>
      <c r="K74" s="132" t="n"/>
      <c r="L74" s="132" t="n"/>
      <c r="M74" s="132" t="n"/>
      <c r="N74" s="132" t="n"/>
      <c r="O74" s="127" t="n">
        <v>165.194</v>
      </c>
      <c r="P74" s="132" t="n">
        <v>-3.541573417356657</v>
      </c>
      <c r="Q74" s="127" t="n">
        <v>358.8674456</v>
      </c>
      <c r="R74" s="132" t="n"/>
      <c r="S74" s="133" t="n">
        <v>2.1724</v>
      </c>
      <c r="T74" s="132" t="n"/>
      <c r="U74" s="132" t="n">
        <v>14.84</v>
      </c>
      <c r="V74" s="132" t="n">
        <v>-1.550000000000001</v>
      </c>
      <c r="W74" s="127" t="n">
        <v>66.06</v>
      </c>
      <c r="X74" s="132" t="n">
        <v>12.42754555230683</v>
      </c>
    </row>
    <row r="75">
      <c r="C75" s="112" t="n">
        <v>38808</v>
      </c>
      <c r="D75" s="127" t="n">
        <v>3766.6218</v>
      </c>
      <c r="E75" s="132" t="n">
        <v>-2.444907172616746</v>
      </c>
      <c r="F75" s="127" t="n"/>
      <c r="G75" s="127" t="n"/>
      <c r="H75" s="132" t="n"/>
      <c r="I75" s="132" t="n"/>
      <c r="J75" s="132" t="n"/>
      <c r="K75" s="132" t="n"/>
      <c r="L75" s="132" t="n"/>
      <c r="M75" s="132" t="n"/>
      <c r="N75" s="132" t="n"/>
      <c r="O75" s="127" t="n">
        <v>175.7669</v>
      </c>
      <c r="P75" s="132" t="n">
        <v>1.200922411490031</v>
      </c>
      <c r="Q75" s="127" t="n">
        <v>367.21220748</v>
      </c>
      <c r="R75" s="132" t="n">
        <v>-4.691332719013061</v>
      </c>
      <c r="S75" s="133" t="n">
        <v>2.0892</v>
      </c>
      <c r="T75" s="132" t="n">
        <v>-5.892255130503091</v>
      </c>
      <c r="U75" s="132" t="n">
        <v>14.68</v>
      </c>
      <c r="V75" s="132" t="n">
        <v>-1.15</v>
      </c>
      <c r="W75" s="127" t="n">
        <v>72.15000000000001</v>
      </c>
      <c r="X75" s="132" t="n">
        <v>13.26012244345161</v>
      </c>
    </row>
    <row r="76">
      <c r="C76" s="112" t="n">
        <v>38838</v>
      </c>
      <c r="D76" s="127" t="n">
        <v>3760.8328</v>
      </c>
      <c r="E76" s="132" t="n">
        <v>-3.063650860916203</v>
      </c>
      <c r="F76" s="127" t="n"/>
      <c r="G76" s="127" t="n"/>
      <c r="H76" s="132" t="n"/>
      <c r="I76" s="132" t="n"/>
      <c r="J76" s="132" t="n"/>
      <c r="K76" s="132" t="n"/>
      <c r="L76" s="132" t="n"/>
      <c r="M76" s="132" t="n"/>
      <c r="N76" s="132" t="n"/>
      <c r="O76" s="127" t="n">
        <v>176.6788</v>
      </c>
      <c r="P76" s="132" t="n">
        <v>8.529612287204875</v>
      </c>
      <c r="Q76" s="127" t="n">
        <v>406.4495794</v>
      </c>
      <c r="R76" s="132" t="n">
        <v>15.9721802186051</v>
      </c>
      <c r="S76" s="133" t="n">
        <v>2.3005</v>
      </c>
      <c r="T76" s="132" t="n">
        <v>7.442567931400215</v>
      </c>
      <c r="U76" s="132" t="n">
        <v>15.48</v>
      </c>
      <c r="V76" s="132" t="n">
        <v>0.2599999999999998</v>
      </c>
      <c r="W76" s="127" t="n">
        <v>67.56999999999999</v>
      </c>
      <c r="X76" s="132" t="n">
        <v>12.24929407082912</v>
      </c>
    </row>
    <row r="77">
      <c r="C77" s="112" t="n">
        <v>38869</v>
      </c>
      <c r="D77" s="127" t="n">
        <v>3633.9221</v>
      </c>
      <c r="E77" s="132" t="n">
        <v>-4.872681594042</v>
      </c>
      <c r="F77" s="127" t="n"/>
      <c r="G77" s="127" t="n"/>
      <c r="H77" s="132" t="n"/>
      <c r="I77" s="132" t="n"/>
      <c r="J77" s="132" t="n"/>
      <c r="K77" s="132" t="n"/>
      <c r="L77" s="132" t="n"/>
      <c r="M77" s="132" t="n"/>
      <c r="N77" s="132" t="n"/>
      <c r="O77" s="127" t="n">
        <v>173.2354</v>
      </c>
      <c r="P77" s="132" t="n">
        <v>4.753082242000334</v>
      </c>
      <c r="Q77" s="127" t="n">
        <v>374.93337622</v>
      </c>
      <c r="R77" s="132" t="n">
        <v>4.379525877979668</v>
      </c>
      <c r="S77" s="133" t="n">
        <v>2.1643</v>
      </c>
      <c r="T77" s="132" t="n">
        <v>-0.3735563640206701</v>
      </c>
      <c r="U77" s="132" t="n">
        <v>14.78</v>
      </c>
      <c r="V77" s="132" t="n">
        <v>-0.0600000000000005</v>
      </c>
      <c r="W77" s="127" t="n">
        <v>73.2</v>
      </c>
      <c r="X77" s="132" t="n">
        <v>10.26320010046222</v>
      </c>
    </row>
    <row r="78">
      <c r="C78" s="112" t="n">
        <v>38899</v>
      </c>
      <c r="D78" s="127" t="n">
        <v>3607.4653</v>
      </c>
      <c r="E78" s="132" t="n">
        <v>-4.317313270480931</v>
      </c>
      <c r="F78" s="127" t="n"/>
      <c r="G78" s="127" t="n"/>
      <c r="H78" s="132" t="n"/>
      <c r="I78" s="132" t="n"/>
      <c r="J78" s="132" t="n"/>
      <c r="K78" s="132" t="n"/>
      <c r="L78" s="132" t="n"/>
      <c r="M78" s="132" t="n"/>
      <c r="N78" s="132" t="n"/>
      <c r="O78" s="127" t="n">
        <v>178.0322</v>
      </c>
      <c r="P78" s="132" t="n">
        <v>1.280574742328548</v>
      </c>
      <c r="Q78" s="127" t="n">
        <v>387.43367364</v>
      </c>
      <c r="R78" s="132" t="n">
        <v>5.360476637805349</v>
      </c>
      <c r="S78" s="133" t="n">
        <v>2.1762</v>
      </c>
      <c r="T78" s="132" t="n">
        <v>4.079901895476816</v>
      </c>
      <c r="U78" s="132" t="n">
        <v>14.48</v>
      </c>
      <c r="V78" s="132" t="n">
        <v>-0.1999999999999993</v>
      </c>
      <c r="W78" s="127" t="n">
        <v>74.75</v>
      </c>
      <c r="X78" s="132" t="n">
        <v>3.540192705091579</v>
      </c>
    </row>
    <row r="79">
      <c r="C79" s="112" t="n">
        <v>38930</v>
      </c>
      <c r="D79" s="127" t="n">
        <v>3691.1313</v>
      </c>
      <c r="E79" s="132" t="n">
        <v>-1.870742580775816</v>
      </c>
      <c r="F79" s="127" t="n"/>
      <c r="G79" s="127" t="n"/>
      <c r="H79" s="132" t="n"/>
      <c r="I79" s="132" t="n"/>
      <c r="J79" s="132" t="n"/>
      <c r="K79" s="132" t="n"/>
      <c r="L79" s="132" t="n"/>
      <c r="M79" s="132" t="n"/>
      <c r="N79" s="132" t="n"/>
      <c r="O79" s="127" t="n">
        <v>170.8761</v>
      </c>
      <c r="P79" s="132" t="n">
        <v>-3.33946622873566</v>
      </c>
      <c r="Q79" s="127" t="n">
        <v>365.46980268</v>
      </c>
      <c r="R79" s="132" t="n">
        <v>-10.62762288083035</v>
      </c>
      <c r="S79" s="133" t="n">
        <v>2.1388</v>
      </c>
      <c r="T79" s="132" t="n">
        <v>-7.288156652094682</v>
      </c>
      <c r="U79" s="132" t="n">
        <v>13.95</v>
      </c>
      <c r="V79" s="132" t="n">
        <v>-1.530000000000001</v>
      </c>
      <c r="W79" s="127" t="n">
        <v>67.66</v>
      </c>
      <c r="X79" s="132" t="n">
        <v>0.1331065788479342</v>
      </c>
    </row>
    <row r="80">
      <c r="C80" s="112" t="n">
        <v>38961</v>
      </c>
      <c r="D80" s="127" t="n">
        <v>3789.2095</v>
      </c>
      <c r="E80" s="132" t="n">
        <v>4.184488883108032</v>
      </c>
      <c r="F80" s="127" t="n"/>
      <c r="G80" s="127" t="n"/>
      <c r="H80" s="132" t="n"/>
      <c r="I80" s="132" t="n"/>
      <c r="J80" s="132" t="n"/>
      <c r="K80" s="132" t="n"/>
      <c r="L80" s="132" t="n"/>
      <c r="M80" s="132" t="n"/>
      <c r="N80" s="132" t="n"/>
      <c r="O80" s="127" t="n">
        <v>159.9566</v>
      </c>
      <c r="P80" s="132" t="n">
        <v>-7.974883479582534</v>
      </c>
      <c r="Q80" s="127" t="n">
        <v>347.77763972</v>
      </c>
      <c r="R80" s="132" t="n">
        <v>-7.518503754640886</v>
      </c>
      <c r="S80" s="133" t="n">
        <v>2.1742</v>
      </c>
      <c r="T80" s="132" t="n">
        <v>0.4563797249416337</v>
      </c>
      <c r="U80" s="132" t="n">
        <v>13.57</v>
      </c>
      <c r="V80" s="132" t="n">
        <v>-1.209999999999999</v>
      </c>
      <c r="W80" s="127" t="n">
        <v>59.09</v>
      </c>
      <c r="X80" s="132" t="n">
        <v>-21.41337156096827</v>
      </c>
    </row>
    <row r="81">
      <c r="C81" s="112" t="n">
        <v>38991</v>
      </c>
      <c r="D81" s="127" t="n">
        <v>3846.6716</v>
      </c>
      <c r="E81" s="132" t="n">
        <v>6.420286213668021</v>
      </c>
      <c r="F81" s="127" t="n"/>
      <c r="G81" s="127" t="n"/>
      <c r="H81" s="132" t="n"/>
      <c r="I81" s="132" t="n"/>
      <c r="J81" s="132" t="n"/>
      <c r="K81" s="132" t="n"/>
      <c r="L81" s="132" t="n"/>
      <c r="M81" s="132" t="n"/>
      <c r="N81" s="132" t="n"/>
      <c r="O81" s="127" t="n">
        <v>166.8169</v>
      </c>
      <c r="P81" s="132" t="n">
        <v>-6.506762907118792</v>
      </c>
      <c r="Q81" s="127" t="n">
        <v>357.4886167</v>
      </c>
      <c r="R81" s="132" t="n">
        <v>-8.044114911452278</v>
      </c>
      <c r="S81" s="133" t="n">
        <v>2.143</v>
      </c>
      <c r="T81" s="132" t="n">
        <v>-1.537352004333485</v>
      </c>
      <c r="U81" s="132" t="n">
        <v>13.01</v>
      </c>
      <c r="V81" s="132" t="n">
        <v>-1.470000000000001</v>
      </c>
      <c r="W81" s="127" t="n">
        <v>56.13</v>
      </c>
      <c r="X81" s="132" t="n">
        <v>-28.64787833166879</v>
      </c>
    </row>
    <row r="82">
      <c r="C82" s="112" t="n">
        <v>39022</v>
      </c>
      <c r="D82" s="127" t="n">
        <v>3945.2307</v>
      </c>
      <c r="E82" s="132" t="n">
        <v>6.657443524485516</v>
      </c>
      <c r="F82" s="127" t="n"/>
      <c r="G82" s="127" t="n"/>
      <c r="H82" s="132" t="n"/>
      <c r="I82" s="132" t="n"/>
      <c r="J82" s="132" t="n"/>
      <c r="K82" s="132" t="n"/>
      <c r="L82" s="132" t="n"/>
      <c r="M82" s="132" t="n"/>
      <c r="N82" s="132" t="n"/>
      <c r="O82" s="127" t="n">
        <v>175.214</v>
      </c>
      <c r="P82" s="132" t="n">
        <v>2.506935150788912</v>
      </c>
      <c r="Q82" s="127" t="n">
        <v>379.6536952</v>
      </c>
      <c r="R82" s="132" t="n">
        <v>3.807585221705655</v>
      </c>
      <c r="S82" s="133" t="n">
        <v>2.1668</v>
      </c>
      <c r="T82" s="132" t="n">
        <v>1.300650070916729</v>
      </c>
      <c r="U82" s="132" t="n">
        <v>12.75</v>
      </c>
      <c r="V82" s="132" t="n">
        <v>-1.199999999999999</v>
      </c>
      <c r="W82" s="127" t="n">
        <v>64.36</v>
      </c>
      <c r="X82" s="132" t="n">
        <v>-5.000284122837993</v>
      </c>
    </row>
    <row r="83">
      <c r="C83" s="112" t="n">
        <v>39052</v>
      </c>
      <c r="D83" s="127" t="n">
        <v>4169.8652</v>
      </c>
      <c r="E83" s="132" t="n">
        <v>9.572628700750633</v>
      </c>
      <c r="F83" s="127" t="n"/>
      <c r="G83" s="127" t="n"/>
      <c r="H83" s="132" t="n"/>
      <c r="I83" s="132" t="n"/>
      <c r="J83" s="132" t="n"/>
      <c r="K83" s="132" t="n"/>
      <c r="L83" s="132" t="n"/>
      <c r="M83" s="132" t="n"/>
      <c r="N83" s="132" t="n"/>
      <c r="O83" s="127" t="n">
        <v>166.5087</v>
      </c>
      <c r="P83" s="132" t="n">
        <v>4.014503186875759</v>
      </c>
      <c r="Q83" s="127" t="n">
        <v>355.9956006</v>
      </c>
      <c r="R83" s="132" t="n">
        <v>2.335506368384807</v>
      </c>
      <c r="S83" s="133" t="n">
        <v>2.138</v>
      </c>
      <c r="T83" s="132" t="n">
        <v>-1.678996818490944</v>
      </c>
      <c r="U83" s="132" t="n">
        <v>12.38</v>
      </c>
      <c r="V83" s="132" t="n">
        <v>-1.19</v>
      </c>
      <c r="W83" s="127" t="n">
        <v>58.96</v>
      </c>
      <c r="X83" s="132" t="n">
        <v>-0.2202457476502052</v>
      </c>
    </row>
    <row r="84">
      <c r="C84" s="112" t="n">
        <v>39083</v>
      </c>
      <c r="D84" s="127" t="n">
        <v>4156.3594</v>
      </c>
      <c r="E84" s="132" t="n">
        <v>7.743129197343734</v>
      </c>
      <c r="F84" s="127" t="n"/>
      <c r="G84" s="127" t="n"/>
      <c r="H84" s="132" t="n"/>
      <c r="I84" s="132" t="n"/>
      <c r="J84" s="132" t="n"/>
      <c r="K84" s="132" t="n"/>
      <c r="L84" s="132" t="n"/>
      <c r="M84" s="132" t="n"/>
      <c r="N84" s="132" t="n"/>
      <c r="O84" s="127" t="n">
        <v>166.0942</v>
      </c>
      <c r="P84" s="132" t="n">
        <v>-0.4341706451157034</v>
      </c>
      <c r="Q84" s="127" t="n">
        <v>352.90034674</v>
      </c>
      <c r="R84" s="132" t="n">
        <v>-1.291780700314098</v>
      </c>
      <c r="S84" s="133" t="n">
        <v>2.1247</v>
      </c>
      <c r="T84" s="132" t="n">
        <v>-0.8576100551984011</v>
      </c>
      <c r="U84" s="132" t="n">
        <v>12.357</v>
      </c>
      <c r="V84" s="132" t="n">
        <v>-0.6530000000000005</v>
      </c>
      <c r="W84" s="127" t="n">
        <v>56.52</v>
      </c>
      <c r="X84" s="132" t="n">
        <v>0.6924128862218779</v>
      </c>
    </row>
    <row r="85">
      <c r="C85" s="112" t="n">
        <v>39114</v>
      </c>
      <c r="D85" s="127" t="n">
        <v>4270.0479</v>
      </c>
      <c r="E85" s="132" t="n">
        <v>7.911761330075404</v>
      </c>
      <c r="F85" s="127" t="n"/>
      <c r="G85" s="127" t="n"/>
      <c r="H85" s="132" t="n"/>
      <c r="I85" s="132" t="n"/>
      <c r="J85" s="132" t="n"/>
      <c r="K85" s="132" t="n"/>
      <c r="L85" s="132" t="n"/>
      <c r="M85" s="132" t="n"/>
      <c r="N85" s="132" t="n"/>
      <c r="O85" s="127" t="n">
        <v>171.0131</v>
      </c>
      <c r="P85" s="132" t="n">
        <v>-2.42679222300249</v>
      </c>
      <c r="Q85" s="127" t="n">
        <v>362.23994842</v>
      </c>
      <c r="R85" s="132" t="n">
        <v>-4.695267560419973</v>
      </c>
      <c r="S85" s="133" t="n">
        <v>2.1182</v>
      </c>
      <c r="T85" s="132" t="n">
        <v>-2.268475337417498</v>
      </c>
      <c r="U85" s="132" t="n">
        <v>12.097</v>
      </c>
      <c r="V85" s="132" t="n">
        <v>-0.6530000000000005</v>
      </c>
      <c r="W85" s="127" t="n">
        <v>59.39</v>
      </c>
      <c r="X85" s="132" t="n">
        <v>-8.036646009641355</v>
      </c>
    </row>
    <row r="86">
      <c r="C86" s="112" t="n">
        <v>39142</v>
      </c>
      <c r="D86" s="127" t="n">
        <v>4370.8179</v>
      </c>
      <c r="E86" s="132" t="n">
        <v>4.706644491706399</v>
      </c>
      <c r="F86" s="127" t="n"/>
      <c r="G86" s="127" t="n"/>
      <c r="H86" s="132" t="n"/>
      <c r="I86" s="132" t="n"/>
      <c r="J86" s="132" t="n"/>
      <c r="K86" s="132" t="n"/>
      <c r="L86" s="132" t="n"/>
      <c r="M86" s="132" t="n"/>
      <c r="N86" s="132" t="n"/>
      <c r="O86" s="127" t="n">
        <v>171.9626</v>
      </c>
      <c r="P86" s="132" t="n">
        <v>3.222945100142974</v>
      </c>
      <c r="Q86" s="127" t="n">
        <v>352.59211504</v>
      </c>
      <c r="R86" s="132" t="n">
        <v>-0.9606465533699633</v>
      </c>
      <c r="S86" s="133" t="n">
        <v>2.0504</v>
      </c>
      <c r="T86" s="132" t="n">
        <v>-4.183591653512922</v>
      </c>
      <c r="U86" s="132" t="n">
        <v>11.851</v>
      </c>
      <c r="V86" s="132" t="n">
        <v>-0.5289999999999999</v>
      </c>
      <c r="W86" s="127" t="n">
        <v>68.47</v>
      </c>
      <c r="X86" s="132" t="n">
        <v>14.95364452518903</v>
      </c>
    </row>
    <row r="87">
      <c r="C87" s="112" t="n">
        <v>39173</v>
      </c>
      <c r="D87" s="127" t="n">
        <v>4346.0083</v>
      </c>
      <c r="E87" s="132" t="n">
        <v>4.461824475440521</v>
      </c>
      <c r="F87" s="127" t="n"/>
      <c r="G87" s="127" t="n"/>
      <c r="H87" s="132" t="n"/>
      <c r="I87" s="132" t="n"/>
      <c r="J87" s="132" t="n"/>
      <c r="K87" s="132" t="n"/>
      <c r="L87" s="132" t="n"/>
      <c r="M87" s="132" t="n"/>
      <c r="N87" s="132" t="n"/>
      <c r="O87" s="127" t="n">
        <v>173.2148</v>
      </c>
      <c r="P87" s="132" t="n">
        <v>4.197734553816625</v>
      </c>
      <c r="Q87" s="127" t="n">
        <v>352.30158172</v>
      </c>
      <c r="R87" s="132" t="n">
        <v>-0.1698138191976903</v>
      </c>
      <c r="S87" s="133" t="n">
        <v>2.0339</v>
      </c>
      <c r="T87" s="132" t="n">
        <v>-4.367548373014326</v>
      </c>
      <c r="U87" s="132" t="n">
        <v>11.306</v>
      </c>
      <c r="V87" s="132" t="n">
        <v>-1.051</v>
      </c>
      <c r="W87" s="127" t="n">
        <v>67.23</v>
      </c>
      <c r="X87" s="132" t="n">
        <v>17.35250186646186</v>
      </c>
    </row>
    <row r="88">
      <c r="C88" s="112" t="n">
        <v>39203</v>
      </c>
      <c r="D88" s="127" t="n">
        <v>4293.5405</v>
      </c>
      <c r="E88" s="132" t="n">
        <v>0.5486638973335466</v>
      </c>
      <c r="F88" s="127" t="n"/>
      <c r="G88" s="127" t="n"/>
      <c r="H88" s="132" t="n"/>
      <c r="I88" s="132" t="n"/>
      <c r="J88" s="132" t="n"/>
      <c r="K88" s="132" t="n"/>
      <c r="L88" s="132" t="n"/>
      <c r="M88" s="132" t="n"/>
      <c r="N88" s="132" t="n"/>
      <c r="O88" s="127" t="n">
        <v>172.7233</v>
      </c>
      <c r="P88" s="132" t="n">
        <v>0.9950730336120212</v>
      </c>
      <c r="Q88" s="127" t="n">
        <v>333.16597337</v>
      </c>
      <c r="R88" s="132" t="n">
        <v>-8.366604884325419</v>
      </c>
      <c r="S88" s="133" t="n">
        <v>1.9289</v>
      </c>
      <c r="T88" s="132" t="n">
        <v>-9.361677917937421</v>
      </c>
      <c r="U88" s="132" t="n">
        <v>10.99</v>
      </c>
      <c r="V88" s="132" t="n">
        <v>-1.106999999999999</v>
      </c>
      <c r="W88" s="127" t="n">
        <v>68.18000000000001</v>
      </c>
      <c r="X88" s="132" t="n">
        <v>13.80254046819883</v>
      </c>
    </row>
    <row r="89">
      <c r="C89" s="112" t="n">
        <v>39234</v>
      </c>
      <c r="D89" s="127" t="n">
        <v>4691.4517</v>
      </c>
      <c r="E89" s="132" t="n">
        <v>7.079191141403668</v>
      </c>
      <c r="F89" s="127" t="n"/>
      <c r="G89" s="127" t="n"/>
      <c r="H89" s="132" t="n"/>
      <c r="I89" s="132" t="n"/>
      <c r="J89" s="132" t="n"/>
      <c r="K89" s="132" t="n"/>
      <c r="L89" s="132" t="n"/>
      <c r="M89" s="132" t="n"/>
      <c r="N89" s="132" t="n"/>
      <c r="O89" s="127" t="n">
        <v>169.671</v>
      </c>
      <c r="P89" s="132" t="n">
        <v>-1.34157434777643</v>
      </c>
      <c r="Q89" s="127" t="n">
        <v>326.8202802</v>
      </c>
      <c r="R89" s="132" t="n">
        <v>-7.590148940086156</v>
      </c>
      <c r="S89" s="133" t="n">
        <v>1.9262</v>
      </c>
      <c r="T89" s="132" t="n">
        <v>-6.248574592309731</v>
      </c>
      <c r="U89" s="132" t="n">
        <v>10.767</v>
      </c>
      <c r="V89" s="132" t="n">
        <v>-1.084000000000001</v>
      </c>
      <c r="W89" s="127" t="n">
        <v>72.22</v>
      </c>
      <c r="X89" s="132" t="n">
        <v>5.332132271634013</v>
      </c>
    </row>
    <row r="90">
      <c r="C90" s="112" t="n">
        <v>39264</v>
      </c>
      <c r="D90" s="127" t="n">
        <v>4708.3379</v>
      </c>
      <c r="E90" s="132" t="n">
        <v>8.007716664089799</v>
      </c>
      <c r="F90" s="127" t="n"/>
      <c r="G90" s="127" t="n"/>
      <c r="H90" s="132" t="n"/>
      <c r="I90" s="132" t="n"/>
      <c r="J90" s="132" t="n"/>
      <c r="K90" s="132" t="n"/>
      <c r="L90" s="132" t="n"/>
      <c r="M90" s="132" t="n"/>
      <c r="N90" s="132" t="n"/>
      <c r="O90" s="127" t="n">
        <v>172.4463</v>
      </c>
      <c r="P90" s="132" t="n">
        <v>-0.4446559165750871</v>
      </c>
      <c r="Q90" s="127" t="n">
        <v>323.78517288</v>
      </c>
      <c r="R90" s="132" t="n">
        <v>-8.44073258203869</v>
      </c>
      <c r="S90" s="133" t="n">
        <v>1.8776</v>
      </c>
      <c r="T90" s="132" t="n">
        <v>-7.996076665463598</v>
      </c>
      <c r="U90" s="132" t="n">
        <v>10.935</v>
      </c>
      <c r="V90" s="132" t="n">
        <v>-0.3709999999999987</v>
      </c>
      <c r="W90" s="127" t="n">
        <v>77.01000000000001</v>
      </c>
      <c r="X90" s="132" t="n">
        <v>13.58157070702134</v>
      </c>
    </row>
    <row r="91">
      <c r="C91" s="112" t="n">
        <v>39295</v>
      </c>
      <c r="D91" s="127" t="n">
        <v>5707.6504</v>
      </c>
      <c r="E91" s="132" t="n">
        <v>28.46957664172395</v>
      </c>
      <c r="F91" s="127" t="n"/>
      <c r="G91" s="127" t="n"/>
      <c r="H91" s="132" t="n"/>
      <c r="I91" s="132" t="n"/>
      <c r="J91" s="132" t="n"/>
      <c r="K91" s="132" t="n"/>
      <c r="L91" s="132" t="n"/>
      <c r="M91" s="132" t="n"/>
      <c r="N91" s="132" t="n"/>
      <c r="O91" s="127" t="n">
        <v>165.5659</v>
      </c>
      <c r="P91" s="132" t="n">
        <v>-4.23215892188904</v>
      </c>
      <c r="Q91" s="127" t="n">
        <v>324.8402958</v>
      </c>
      <c r="R91" s="132" t="n">
        <v>-2.530712032377668</v>
      </c>
      <c r="S91" s="133" t="n">
        <v>1.962</v>
      </c>
      <c r="T91" s="132" t="n">
        <v>1.701446889511373</v>
      </c>
      <c r="U91" s="132" t="n">
        <v>11.36</v>
      </c>
      <c r="V91" s="132" t="n">
        <v>0.3699999999999992</v>
      </c>
      <c r="W91" s="127" t="n">
        <v>72.29000000000001</v>
      </c>
      <c r="X91" s="132" t="n">
        <v>5.853454030244874</v>
      </c>
    </row>
    <row r="92">
      <c r="C92" s="112" t="n">
        <v>39326</v>
      </c>
      <c r="D92" s="127" t="n">
        <v>5740.813</v>
      </c>
      <c r="E92" s="132" t="n">
        <v>20.18587724522538</v>
      </c>
      <c r="F92" s="127" t="n"/>
      <c r="G92" s="127" t="n"/>
      <c r="H92" s="132" t="n"/>
      <c r="I92" s="132" t="n"/>
      <c r="J92" s="132" t="n"/>
      <c r="K92" s="132" t="n"/>
      <c r="L92" s="132" t="n"/>
      <c r="M92" s="132" t="n"/>
      <c r="N92" s="132" t="n"/>
      <c r="O92" s="127" t="n">
        <v>178.2499</v>
      </c>
      <c r="P92" s="132" t="n">
        <v>4.932523045311534</v>
      </c>
      <c r="Q92" s="127" t="n">
        <v>327.78374111</v>
      </c>
      <c r="R92" s="132" t="n">
        <v>0.2943647073159089</v>
      </c>
      <c r="S92" s="133" t="n">
        <v>1.8389</v>
      </c>
      <c r="T92" s="132" t="n">
        <v>-4.638158337995641</v>
      </c>
      <c r="U92" s="132" t="n">
        <v>11.159</v>
      </c>
      <c r="V92" s="132" t="n">
        <v>0.3920000000000012</v>
      </c>
      <c r="W92" s="127" t="n">
        <v>80.97</v>
      </c>
      <c r="X92" s="132" t="n">
        <v>11.43616998487112</v>
      </c>
    </row>
    <row r="93">
      <c r="C93" s="112" t="n">
        <v>39356</v>
      </c>
      <c r="D93" s="127" t="n">
        <v>4946.6372</v>
      </c>
      <c r="E93" s="132" t="n">
        <v>4.937303390463792</v>
      </c>
      <c r="F93" s="127" t="n"/>
      <c r="G93" s="127" t="n"/>
      <c r="H93" s="132" t="n"/>
      <c r="I93" s="132" t="n"/>
      <c r="J93" s="132" t="n"/>
      <c r="K93" s="132" t="n"/>
      <c r="L93" s="132" t="n"/>
      <c r="M93" s="132" t="n"/>
      <c r="N93" s="132" t="n"/>
      <c r="O93" s="127" t="n">
        <v>183.5241</v>
      </c>
      <c r="P93" s="132" t="n">
        <v>6.226011036245156</v>
      </c>
      <c r="Q93" s="127" t="n">
        <v>320.0660304</v>
      </c>
      <c r="R93" s="132" t="n">
        <v>-1.155292970543718</v>
      </c>
      <c r="S93" s="133" t="n">
        <v>1.744</v>
      </c>
      <c r="T93" s="132" t="n">
        <v>-7.381304006788874</v>
      </c>
      <c r="U93" s="132" t="n">
        <v>11.306</v>
      </c>
      <c r="V93" s="132" t="n">
        <v>0.3709999999999987</v>
      </c>
      <c r="W93" s="127" t="n">
        <v>89.87</v>
      </c>
      <c r="X93" s="132" t="n">
        <v>15.44288981191233</v>
      </c>
    </row>
    <row r="94">
      <c r="C94" s="112" t="n">
        <v>39387</v>
      </c>
      <c r="D94" s="127" t="n">
        <v>4974.0532</v>
      </c>
      <c r="E94" s="132" t="n">
        <v>-13.7572409425559</v>
      </c>
      <c r="F94" s="127" t="n"/>
      <c r="G94" s="127" t="n"/>
      <c r="H94" s="132" t="n"/>
      <c r="I94" s="132" t="n"/>
      <c r="J94" s="132" t="n"/>
      <c r="K94" s="132" t="n"/>
      <c r="L94" s="132" t="n"/>
      <c r="M94" s="132" t="n"/>
      <c r="N94" s="132" t="n"/>
      <c r="O94" s="127" t="n">
        <v>177.2468</v>
      </c>
      <c r="P94" s="132" t="n">
        <v>6.817380877988716</v>
      </c>
      <c r="Q94" s="127" t="n">
        <v>316.15511716</v>
      </c>
      <c r="R94" s="132" t="n">
        <v>-2.710069378116348</v>
      </c>
      <c r="S94" s="133" t="n">
        <v>1.7837</v>
      </c>
      <c r="T94" s="132" t="n">
        <v>-9.527450256105064</v>
      </c>
      <c r="U94" s="132" t="n">
        <v>11.586</v>
      </c>
      <c r="V94" s="132" t="n">
        <v>0.2260000000000009</v>
      </c>
      <c r="W94" s="127" t="n">
        <v>88.70999999999999</v>
      </c>
      <c r="X94" s="132" t="n">
        <v>20.46868155202896</v>
      </c>
    </row>
    <row r="95">
      <c r="C95" s="112" t="n">
        <v>39417</v>
      </c>
      <c r="D95" s="127" t="n">
        <v>5006.9883</v>
      </c>
      <c r="E95" s="132" t="n">
        <v>-13.67662413159773</v>
      </c>
      <c r="F95" s="127" t="n"/>
      <c r="G95" s="127" t="n"/>
      <c r="H95" s="132" t="n"/>
      <c r="I95" s="132" t="n"/>
      <c r="J95" s="132" t="n"/>
      <c r="K95" s="132" t="n"/>
      <c r="L95" s="132" t="n"/>
      <c r="M95" s="132" t="n"/>
      <c r="N95" s="132" t="n"/>
      <c r="O95" s="127" t="n">
        <v>184.964</v>
      </c>
      <c r="P95" s="132" t="n">
        <v>3.697471326331527</v>
      </c>
      <c r="Q95" s="127" t="n">
        <v>327.6267332</v>
      </c>
      <c r="R95" s="132" t="n">
        <v>-0.04791132249411559</v>
      </c>
      <c r="S95" s="133" t="n">
        <v>1.7713</v>
      </c>
      <c r="T95" s="132" t="n">
        <v>-3.745382648825627</v>
      </c>
      <c r="U95" s="132" t="n">
        <v>12.052</v>
      </c>
      <c r="V95" s="132" t="n">
        <v>0.8929999999999989</v>
      </c>
      <c r="W95" s="127" t="n">
        <v>93.68000000000001</v>
      </c>
      <c r="X95" s="132" t="n">
        <v>14.5806003591439</v>
      </c>
    </row>
    <row r="96">
      <c r="C96" s="112" t="n">
        <v>39448</v>
      </c>
      <c r="D96" s="127" t="n">
        <v>5240.1118</v>
      </c>
      <c r="E96" s="132" t="n">
        <v>5.763484180313953</v>
      </c>
      <c r="F96" s="127" t="n"/>
      <c r="G96" s="127" t="n"/>
      <c r="H96" s="132" t="n"/>
      <c r="I96" s="132" t="n"/>
      <c r="J96" s="132" t="n"/>
      <c r="K96" s="132" t="n"/>
      <c r="L96" s="132" t="n"/>
      <c r="M96" s="132" t="n"/>
      <c r="N96" s="132" t="n"/>
      <c r="O96" s="127" t="n">
        <v>192.2861</v>
      </c>
      <c r="P96" s="132" t="n">
        <v>4.663837307010129</v>
      </c>
      <c r="Q96" s="127" t="n">
        <v>338.48122183</v>
      </c>
      <c r="R96" s="132" t="n">
        <v>5.594129665310302</v>
      </c>
      <c r="S96" s="133" t="n">
        <v>1.7603</v>
      </c>
      <c r="T96" s="132" t="n">
        <v>0.9302923583001552</v>
      </c>
      <c r="U96" s="132" t="n">
        <v>12.078</v>
      </c>
      <c r="V96" s="132" t="n">
        <v>0.7720000000000002</v>
      </c>
      <c r="W96" s="127" t="n">
        <v>91.58</v>
      </c>
      <c r="X96" s="132" t="n">
        <v>1.884872555866733</v>
      </c>
    </row>
    <row r="97">
      <c r="C97" s="112" t="n">
        <v>39479</v>
      </c>
      <c r="D97" s="127" t="n">
        <v>5341.6909</v>
      </c>
      <c r="E97" s="132" t="n">
        <v>7.1307209848575</v>
      </c>
      <c r="F97" s="127" t="n"/>
      <c r="G97" s="127" t="n"/>
      <c r="H97" s="132" t="n"/>
      <c r="I97" s="132" t="n"/>
      <c r="J97" s="132" t="n"/>
      <c r="K97" s="132" t="n"/>
      <c r="L97" s="132" t="n">
        <v>4.56</v>
      </c>
      <c r="M97" s="132" t="n"/>
      <c r="N97" s="132" t="n"/>
      <c r="O97" s="127" t="n">
        <v>215.5208</v>
      </c>
      <c r="P97" s="132" t="n">
        <v>19.55143129549977</v>
      </c>
      <c r="Q97" s="127" t="n">
        <v>362.78616264</v>
      </c>
      <c r="R97" s="132" t="n">
        <v>13.75806068157761</v>
      </c>
      <c r="S97" s="133" t="n">
        <v>1.6833</v>
      </c>
      <c r="T97" s="132" t="n">
        <v>-5.793370613922169</v>
      </c>
      <c r="U97" s="132" t="n">
        <v>11.916</v>
      </c>
      <c r="V97" s="132" t="n">
        <v>0.3300000000000001</v>
      </c>
      <c r="W97" s="127" t="n">
        <v>100.9</v>
      </c>
      <c r="X97" s="132" t="n">
        <v>12.87573048270679</v>
      </c>
    </row>
    <row r="98">
      <c r="C98" s="112" t="n">
        <v>39508</v>
      </c>
      <c r="D98" s="127" t="n">
        <v>5442.8877</v>
      </c>
      <c r="E98" s="132" t="n">
        <v>8.347515061831343</v>
      </c>
      <c r="F98" s="127" t="n"/>
      <c r="G98" s="127" t="n"/>
      <c r="H98" s="132" t="n"/>
      <c r="I98" s="132" t="n"/>
      <c r="J98" s="132" t="n"/>
      <c r="K98" s="132" t="n"/>
      <c r="L98" s="132" t="n">
        <v>4.61</v>
      </c>
      <c r="M98" s="132" t="n"/>
      <c r="N98" s="132" t="n"/>
      <c r="O98" s="127" t="n">
        <v>201.5983</v>
      </c>
      <c r="P98" s="132" t="n">
        <v>8.611589207423144</v>
      </c>
      <c r="Q98" s="127" t="n">
        <v>352.61558653</v>
      </c>
      <c r="R98" s="132" t="n">
        <v>7.350352172869797</v>
      </c>
      <c r="S98" s="133" t="n">
        <v>1.7491</v>
      </c>
      <c r="T98" s="132" t="n">
        <v>-1.261237034553367</v>
      </c>
      <c r="U98" s="132" t="n">
        <v>12.693</v>
      </c>
      <c r="V98" s="132" t="n">
        <v>0.641</v>
      </c>
      <c r="W98" s="127" t="n">
        <v>102.33</v>
      </c>
      <c r="X98" s="132" t="n">
        <v>8.831816580920208</v>
      </c>
    </row>
    <row r="99">
      <c r="C99" s="112" t="n">
        <v>39539</v>
      </c>
      <c r="D99" s="127" t="n">
        <v>5607.3096</v>
      </c>
      <c r="E99" s="132" t="n">
        <v>6.772819832736212</v>
      </c>
      <c r="F99" s="127" t="n"/>
      <c r="G99" s="127" t="n"/>
      <c r="H99" s="132" t="n"/>
      <c r="I99" s="132" t="n"/>
      <c r="J99" s="132" t="n"/>
      <c r="K99" s="132" t="n"/>
      <c r="L99" s="132" t="n">
        <v>4.73</v>
      </c>
      <c r="M99" s="132" t="n"/>
      <c r="N99" s="132" t="n">
        <v>1.517602700799991</v>
      </c>
      <c r="O99" s="127" t="n">
        <v>208.5523</v>
      </c>
      <c r="P99" s="132" t="n">
        <v>8.120548202158453</v>
      </c>
      <c r="Q99" s="127" t="n">
        <v>351.86944056</v>
      </c>
      <c r="R99" s="132" t="n">
        <v>3.879158313422294</v>
      </c>
      <c r="S99" s="133" t="n">
        <v>1.6872</v>
      </c>
      <c r="T99" s="132" t="n">
        <v>-4.241389888736174</v>
      </c>
      <c r="U99" s="132" t="n">
        <v>13.208</v>
      </c>
      <c r="V99" s="132" t="n">
        <v>1.130000000000001</v>
      </c>
      <c r="W99" s="127" t="n">
        <v>111.12</v>
      </c>
      <c r="X99" s="132" t="n">
        <v>19.3397791217139</v>
      </c>
    </row>
    <row r="100">
      <c r="C100" s="112" t="n">
        <v>39569</v>
      </c>
      <c r="D100" s="127" t="n">
        <v>5684.3027</v>
      </c>
      <c r="E100" s="132" t="n">
        <v>6.216621277724645</v>
      </c>
      <c r="F100" s="127" t="n"/>
      <c r="G100" s="127" t="n"/>
      <c r="H100" s="132" t="n"/>
      <c r="I100" s="132" t="n"/>
      <c r="J100" s="132" t="n"/>
      <c r="K100" s="132" t="n"/>
      <c r="L100" s="132" t="n">
        <v>5.04</v>
      </c>
      <c r="M100" s="132" t="n">
        <v>0.4800000000000004</v>
      </c>
      <c r="N100" s="132" t="n">
        <v>1.527699935999993</v>
      </c>
      <c r="O100" s="127" t="n">
        <v>213.9473</v>
      </c>
      <c r="P100" s="132" t="n">
        <v>-0.7327701595430272</v>
      </c>
      <c r="Q100" s="127" t="n">
        <v>348.60573062</v>
      </c>
      <c r="R100" s="132" t="n">
        <v>-3.987200514392485</v>
      </c>
      <c r="S100" s="133" t="n">
        <v>1.6294</v>
      </c>
      <c r="T100" s="132" t="n">
        <v>-3.254430354849459</v>
      </c>
      <c r="U100" s="132" t="n">
        <v>13.745</v>
      </c>
      <c r="V100" s="132" t="n">
        <v>1.828999999999999</v>
      </c>
      <c r="W100" s="127" t="n">
        <v>127.85</v>
      </c>
      <c r="X100" s="132" t="n">
        <v>23.67277743776323</v>
      </c>
    </row>
    <row r="101">
      <c r="C101" s="112" t="n">
        <v>39600</v>
      </c>
      <c r="D101" s="127" t="n">
        <v>5735.8604</v>
      </c>
      <c r="E101" s="132" t="n">
        <v>5.242801824891224</v>
      </c>
      <c r="F101" s="127" t="n"/>
      <c r="G101" s="127" t="n"/>
      <c r="H101" s="132" t="n"/>
      <c r="I101" s="132" t="n"/>
      <c r="J101" s="132" t="n"/>
      <c r="K101" s="132" t="n"/>
      <c r="L101" s="132" t="n">
        <v>5.58</v>
      </c>
      <c r="M101" s="132" t="n">
        <v>0.9699999999999998</v>
      </c>
      <c r="N101" s="132" t="n">
        <v>1.830797855999999</v>
      </c>
      <c r="O101" s="127" t="n">
        <v>233.0345</v>
      </c>
      <c r="P101" s="132" t="n">
        <v>14.49094076521681</v>
      </c>
      <c r="Q101" s="127" t="n">
        <v>370.96762055</v>
      </c>
      <c r="R101" s="132" t="n">
        <v>5.073630910024081</v>
      </c>
      <c r="S101" s="133" t="n">
        <v>1.5919</v>
      </c>
      <c r="T101" s="132" t="n">
        <v>-9.417309855192723</v>
      </c>
      <c r="U101" s="132" t="n">
        <v>14.45</v>
      </c>
      <c r="V101" s="132" t="n">
        <v>1.757</v>
      </c>
      <c r="W101" s="127" t="n">
        <v>138.4</v>
      </c>
      <c r="X101" s="132" t="n">
        <v>30.19451580849051</v>
      </c>
    </row>
    <row r="102">
      <c r="C102" s="112" t="n">
        <v>39630</v>
      </c>
      <c r="D102" s="127" t="n">
        <v>5850.1763</v>
      </c>
      <c r="E102" s="132" t="n">
        <v>4.240076523123023</v>
      </c>
      <c r="F102" s="127" t="n"/>
      <c r="G102" s="127" t="n"/>
      <c r="H102" s="132" t="n"/>
      <c r="I102" s="132" t="n"/>
      <c r="J102" s="132" t="n"/>
      <c r="K102" s="132" t="n"/>
      <c r="L102" s="132" t="n">
        <v>6.06</v>
      </c>
      <c r="M102" s="132" t="n">
        <v>1.329999999999999</v>
      </c>
      <c r="N102" s="132" t="n">
        <v>2.094293153000004</v>
      </c>
      <c r="O102" s="127" t="n">
        <v>205.1032</v>
      </c>
      <c r="P102" s="132" t="n">
        <v>-1.667658201055133</v>
      </c>
      <c r="Q102" s="127" t="n">
        <v>321.31467312</v>
      </c>
      <c r="R102" s="132" t="n">
        <v>-9.083926624197799</v>
      </c>
      <c r="S102" s="133" t="n">
        <v>1.5666</v>
      </c>
      <c r="T102" s="132" t="n">
        <v>-7.416268423142669</v>
      </c>
      <c r="U102" s="132" t="n">
        <v>14.655</v>
      </c>
      <c r="V102" s="132" t="n">
        <v>1.446999999999999</v>
      </c>
      <c r="W102" s="127" t="n">
        <v>124.1</v>
      </c>
      <c r="X102" s="132" t="n">
        <v>11.04769937644731</v>
      </c>
    </row>
    <row r="103">
      <c r="C103" s="112" t="n">
        <v>39661</v>
      </c>
      <c r="D103" s="127" t="n">
        <v>5876.8691</v>
      </c>
      <c r="E103" s="132" t="n">
        <v>3.331569054673954</v>
      </c>
      <c r="F103" s="127" t="n"/>
      <c r="G103" s="127" t="n"/>
      <c r="H103" s="132" t="n"/>
      <c r="I103" s="132" t="n"/>
      <c r="J103" s="132" t="n"/>
      <c r="K103" s="132" t="n"/>
      <c r="L103" s="132" t="n">
        <v>6.37</v>
      </c>
      <c r="M103" s="132" t="n">
        <v>1.33</v>
      </c>
      <c r="N103" s="132" t="n">
        <v>2.07398598380002</v>
      </c>
      <c r="O103" s="127" t="n">
        <v>189.8888</v>
      </c>
      <c r="P103" s="132" t="n">
        <v>-11.92910853429653</v>
      </c>
      <c r="Q103" s="127" t="n">
        <v>310.35425472</v>
      </c>
      <c r="R103" s="132" t="n">
        <v>-11.62271697160944</v>
      </c>
      <c r="S103" s="133" t="n">
        <v>1.6344</v>
      </c>
      <c r="T103" s="132" t="n">
        <v>0.3063915626871071</v>
      </c>
      <c r="U103" s="132" t="n">
        <v>14.573</v>
      </c>
      <c r="V103" s="132" t="n">
        <v>0.8280000000000012</v>
      </c>
      <c r="W103" s="127" t="n">
        <v>113.49</v>
      </c>
      <c r="X103" s="132" t="n">
        <v>-11.91429744241481</v>
      </c>
    </row>
    <row r="104">
      <c r="C104" s="112" t="n">
        <v>39692</v>
      </c>
      <c r="D104" s="127" t="n">
        <v>6040.9141</v>
      </c>
      <c r="E104" s="132" t="n">
        <v>5.181757607170016</v>
      </c>
      <c r="F104" s="127" t="n"/>
      <c r="G104" s="127" t="n"/>
      <c r="H104" s="132" t="n"/>
      <c r="I104" s="132" t="n"/>
      <c r="J104" s="132" t="n"/>
      <c r="K104" s="132" t="n"/>
      <c r="L104" s="132" t="n">
        <v>6.17</v>
      </c>
      <c r="M104" s="132" t="n">
        <v>0.5899999999999999</v>
      </c>
      <c r="N104" s="132" t="n">
        <v>1.557488981599997</v>
      </c>
      <c r="O104" s="127" t="n">
        <v>167.7756</v>
      </c>
      <c r="P104" s="132" t="n">
        <v>-32.85591390180873</v>
      </c>
      <c r="Q104" s="127" t="n">
        <v>321.17283108</v>
      </c>
      <c r="R104" s="132" t="n">
        <v>-14.41353898367669</v>
      </c>
      <c r="S104" s="133" t="n">
        <v>1.9143</v>
      </c>
      <c r="T104" s="132" t="n">
        <v>18.44237491813206</v>
      </c>
      <c r="U104" s="132" t="n">
        <v>14.431</v>
      </c>
      <c r="V104" s="132" t="n">
        <v>-0.01900000000000013</v>
      </c>
      <c r="W104" s="127" t="n">
        <v>93.52</v>
      </c>
      <c r="X104" s="132" t="n">
        <v>-39.19727260197563</v>
      </c>
    </row>
    <row r="105">
      <c r="C105" s="112" t="n">
        <v>39722</v>
      </c>
      <c r="D105" s="127" t="n">
        <v>5805.9561</v>
      </c>
      <c r="E105" s="132" t="n">
        <v>-0.7587493111590969</v>
      </c>
      <c r="F105" s="127" t="n"/>
      <c r="G105" s="127" t="n"/>
      <c r="H105" s="132" t="n"/>
      <c r="I105" s="132" t="n"/>
      <c r="J105" s="132" t="n"/>
      <c r="K105" s="132" t="n"/>
      <c r="L105" s="132" t="n">
        <v>6.25</v>
      </c>
      <c r="M105" s="132" t="n">
        <v>0.1900000000000004</v>
      </c>
      <c r="N105" s="132" t="n">
        <v>1.073593858399979</v>
      </c>
      <c r="O105" s="127" t="n">
        <v>131.9721</v>
      </c>
      <c r="P105" s="132" t="n">
        <v>-44.09227304923518</v>
      </c>
      <c r="Q105" s="127" t="n">
        <v>279.16058313</v>
      </c>
      <c r="R105" s="132" t="n">
        <v>-14.06337500323853</v>
      </c>
      <c r="S105" s="133" t="n">
        <v>2.1153</v>
      </c>
      <c r="T105" s="132" t="n">
        <v>30.02889804599664</v>
      </c>
      <c r="U105" s="132" t="n">
        <v>15.344</v>
      </c>
      <c r="V105" s="132" t="n">
        <v>0.6890000000000001</v>
      </c>
      <c r="W105" s="127" t="n">
        <v>60</v>
      </c>
      <c r="X105" s="132" t="n">
        <v>-72.67431299884608</v>
      </c>
    </row>
    <row r="106">
      <c r="C106" s="112" t="n">
        <v>39753</v>
      </c>
      <c r="D106" s="127" t="n">
        <v>5620.083</v>
      </c>
      <c r="E106" s="132" t="n">
        <v>-4.467772163396819</v>
      </c>
      <c r="F106" s="127" t="n"/>
      <c r="G106" s="127" t="n"/>
      <c r="H106" s="132" t="n"/>
      <c r="I106" s="132" t="n"/>
      <c r="J106" s="132" t="n"/>
      <c r="K106" s="132" t="n"/>
      <c r="L106" s="132" t="n">
        <v>6.41</v>
      </c>
      <c r="M106" s="132" t="n">
        <v>0.04000000000000004</v>
      </c>
      <c r="N106" s="132" t="n">
        <v>0.9931612759999764</v>
      </c>
      <c r="O106" s="127" t="n">
        <v>122.7531</v>
      </c>
      <c r="P106" s="132" t="n">
        <v>-43.62636167310331</v>
      </c>
      <c r="Q106" s="127" t="n">
        <v>286.39525761</v>
      </c>
      <c r="R106" s="132" t="n">
        <v>-8.034152586543817</v>
      </c>
      <c r="S106" s="133" t="n">
        <v>2.3331</v>
      </c>
      <c r="T106" s="132" t="n">
        <v>35.59220908655949</v>
      </c>
      <c r="U106" s="132" t="n">
        <v>14.427</v>
      </c>
      <c r="V106" s="132" t="n">
        <v>-0.1460000000000008</v>
      </c>
      <c r="W106" s="127" t="n">
        <v>47.72</v>
      </c>
      <c r="X106" s="132" t="n">
        <v>-86.63641300833322</v>
      </c>
    </row>
    <row r="107">
      <c r="C107" s="112" t="n">
        <v>39783</v>
      </c>
      <c r="D107" s="127" t="n">
        <v>5186.624</v>
      </c>
      <c r="E107" s="132" t="n">
        <v>-15.24723377282028</v>
      </c>
      <c r="F107" s="127" t="n"/>
      <c r="G107" s="127" t="n"/>
      <c r="H107" s="132" t="n"/>
      <c r="I107" s="132" t="n"/>
      <c r="J107" s="132" t="n"/>
      <c r="K107" s="132" t="n"/>
      <c r="L107" s="132" t="n">
        <v>6.39</v>
      </c>
      <c r="M107" s="132" t="n">
        <v>0.2199999999999998</v>
      </c>
      <c r="N107" s="132" t="n">
        <v>1.07373021199999</v>
      </c>
      <c r="O107" s="127" t="n">
        <v>117.2441</v>
      </c>
      <c r="P107" s="132" t="n">
        <v>-35.83692860251783</v>
      </c>
      <c r="Q107" s="127" t="n">
        <v>273.9994617</v>
      </c>
      <c r="R107" s="132" t="n">
        <v>-15.88532510287311</v>
      </c>
      <c r="S107" s="133" t="n">
        <v>2.337</v>
      </c>
      <c r="T107" s="132" t="n">
        <v>19.95160349964472</v>
      </c>
      <c r="U107" s="132" t="n">
        <v>12.168</v>
      </c>
      <c r="V107" s="132" t="n">
        <v>-2.263</v>
      </c>
      <c r="W107" s="127" t="n">
        <v>35.82</v>
      </c>
      <c r="X107" s="132" t="n">
        <v>-95.96689205312472</v>
      </c>
    </row>
    <row r="108">
      <c r="C108" s="112" t="n">
        <v>39814</v>
      </c>
      <c r="D108" s="127" t="n">
        <v>4891.9946</v>
      </c>
      <c r="E108" s="132" t="n">
        <v>-17.12841904489004</v>
      </c>
      <c r="F108" s="127" t="n"/>
      <c r="G108" s="127" t="n"/>
      <c r="H108" s="132" t="n">
        <v>1.966666666666667</v>
      </c>
      <c r="I108" s="132" t="n"/>
      <c r="J108" s="132" t="n">
        <v>4.591666666666666</v>
      </c>
      <c r="K108" s="132" t="n"/>
      <c r="L108" s="132" t="n">
        <v>5.9</v>
      </c>
      <c r="M108" s="132" t="n">
        <v>-0.3499999999999996</v>
      </c>
      <c r="N108" s="132" t="n">
        <v>1.093892535999985</v>
      </c>
      <c r="O108" s="127" t="n">
        <v>110.9304</v>
      </c>
      <c r="P108" s="132" t="n">
        <v>-17.36875589879183</v>
      </c>
      <c r="Q108" s="127" t="n">
        <v>256.93699248</v>
      </c>
      <c r="R108" s="132" t="n">
        <v>-8.295629363074559</v>
      </c>
      <c r="S108" s="133" t="n">
        <v>2.3162</v>
      </c>
      <c r="T108" s="132" t="n">
        <v>9.073126535717268</v>
      </c>
      <c r="U108" s="132" t="n">
        <v>11.164</v>
      </c>
      <c r="V108" s="132" t="n">
        <v>-4.18</v>
      </c>
      <c r="W108" s="127" t="n">
        <v>44.17</v>
      </c>
      <c r="X108" s="132" t="n">
        <v>-30.62987366136655</v>
      </c>
    </row>
    <row r="109">
      <c r="C109" s="112" t="n">
        <v>39845</v>
      </c>
      <c r="D109" s="127" t="n">
        <v>4762.7275</v>
      </c>
      <c r="E109" s="132" t="n">
        <v>-16.55259241390308</v>
      </c>
      <c r="F109" s="127" t="n"/>
      <c r="G109" s="127" t="n"/>
      <c r="H109" s="132" t="n">
        <v>1.833333333333333</v>
      </c>
      <c r="I109" s="132" t="n"/>
      <c r="J109" s="132" t="n">
        <v>4.633333333333334</v>
      </c>
      <c r="K109" s="132" t="n"/>
      <c r="L109" s="132" t="n">
        <v>5.84</v>
      </c>
      <c r="M109" s="132" t="n">
        <v>-0.5700000000000003</v>
      </c>
      <c r="N109" s="132" t="n">
        <v>1.124084838399986</v>
      </c>
      <c r="O109" s="127" t="n">
        <v>105.988</v>
      </c>
      <c r="P109" s="132" t="n">
        <v>-14.68491407817838</v>
      </c>
      <c r="Q109" s="127" t="n">
        <v>252.0818592</v>
      </c>
      <c r="R109" s="132" t="n">
        <v>-12.76190034669031</v>
      </c>
      <c r="S109" s="133" t="n">
        <v>2.3784</v>
      </c>
      <c r="T109" s="132" t="n">
        <v>1.923013731488073</v>
      </c>
      <c r="U109" s="132" t="n">
        <v>10.62</v>
      </c>
      <c r="V109" s="132" t="n">
        <v>-3.807</v>
      </c>
      <c r="W109" s="127" t="n">
        <v>44.41</v>
      </c>
      <c r="X109" s="132" t="n">
        <v>-7.188592792570452</v>
      </c>
    </row>
    <row r="110">
      <c r="C110" s="112" t="n">
        <v>39873</v>
      </c>
      <c r="D110" s="127" t="n">
        <v>4397.8164</v>
      </c>
      <c r="E110" s="132" t="n">
        <v>-16.49748588143447</v>
      </c>
      <c r="F110" s="127" t="n"/>
      <c r="G110" s="127" t="n"/>
      <c r="H110" s="132" t="n">
        <v>0.86</v>
      </c>
      <c r="I110" s="132" t="n"/>
      <c r="J110" s="132" t="n">
        <v>4.365</v>
      </c>
      <c r="K110" s="132" t="n"/>
      <c r="L110" s="132" t="n">
        <v>5.9</v>
      </c>
      <c r="M110" s="132" t="n">
        <v>-0.4899999999999993</v>
      </c>
      <c r="N110" s="132" t="n">
        <v>1.315531392000002</v>
      </c>
      <c r="O110" s="127" t="n">
        <v>109.7822</v>
      </c>
      <c r="P110" s="132" t="n">
        <v>-6.575968322977555</v>
      </c>
      <c r="Q110" s="127" t="n">
        <v>254.16774944</v>
      </c>
      <c r="R110" s="132" t="n">
        <v>-7.51316618914143</v>
      </c>
      <c r="S110" s="133" t="n">
        <v>2.3152</v>
      </c>
      <c r="T110" s="132" t="n">
        <v>-0.9371978661638636</v>
      </c>
      <c r="U110" s="132" t="n">
        <v>9.791</v>
      </c>
      <c r="V110" s="132" t="n">
        <v>-2.376999999999999</v>
      </c>
      <c r="W110" s="127" t="n">
        <v>46.13</v>
      </c>
      <c r="X110" s="132" t="n">
        <v>25.29571009371636</v>
      </c>
    </row>
    <row r="111">
      <c r="C111" s="112" t="n">
        <v>39904</v>
      </c>
      <c r="D111" s="127" t="n">
        <v>4386.1196</v>
      </c>
      <c r="E111" s="132" t="n">
        <v>-10.91551957755409</v>
      </c>
      <c r="F111" s="127" t="n"/>
      <c r="G111" s="127" t="n"/>
      <c r="H111" s="132" t="n">
        <v>0.9666666666666668</v>
      </c>
      <c r="I111" s="132" t="n">
        <v>-1</v>
      </c>
      <c r="J111" s="132" t="n">
        <v>4.306666666666667</v>
      </c>
      <c r="K111" s="132" t="n">
        <v>-0.2849999999999993</v>
      </c>
      <c r="L111" s="132" t="n">
        <v>5.61</v>
      </c>
      <c r="M111" s="132" t="n">
        <v>-0.29</v>
      </c>
      <c r="N111" s="132" t="n">
        <v>1.234705280000004</v>
      </c>
      <c r="O111" s="127" t="n">
        <v>110.5712</v>
      </c>
      <c r="P111" s="132" t="n">
        <v>-0.3243320272832912</v>
      </c>
      <c r="Q111" s="127" t="n">
        <v>240.85724496</v>
      </c>
      <c r="R111" s="132" t="n">
        <v>-6.462647596879941</v>
      </c>
      <c r="S111" s="133" t="n">
        <v>2.1783</v>
      </c>
      <c r="T111" s="132" t="n">
        <v>-6.138315569596637</v>
      </c>
      <c r="U111" s="132" t="n">
        <v>9.891999999999999</v>
      </c>
      <c r="V111" s="132" t="n">
        <v>-1.272</v>
      </c>
      <c r="W111" s="127" t="n">
        <v>50.3</v>
      </c>
      <c r="X111" s="132" t="n">
        <v>12.99592514972583</v>
      </c>
    </row>
    <row r="112">
      <c r="C112" s="112" t="n">
        <v>39934</v>
      </c>
      <c r="D112" s="127" t="n">
        <v>4291.2329</v>
      </c>
      <c r="E112" s="132" t="n">
        <v>-10.42464274118601</v>
      </c>
      <c r="F112" s="127" t="n"/>
      <c r="G112" s="127" t="n"/>
      <c r="H112" s="132" t="n">
        <v>1.0325</v>
      </c>
      <c r="I112" s="132" t="n">
        <v>-0.8008333333333333</v>
      </c>
      <c r="J112" s="132" t="n">
        <v>4.3175</v>
      </c>
      <c r="K112" s="132" t="n">
        <v>-0.3158333333333339</v>
      </c>
      <c r="L112" s="132" t="n">
        <v>5.53</v>
      </c>
      <c r="M112" s="132" t="n">
        <v>-0.3099999999999996</v>
      </c>
      <c r="N112" s="132" t="n">
        <v>1.234705280000004</v>
      </c>
      <c r="O112" s="127" t="n">
        <v>124.9324</v>
      </c>
      <c r="P112" s="132" t="n">
        <v>16.44469108607989</v>
      </c>
      <c r="Q112" s="127" t="n">
        <v>246.4916252</v>
      </c>
      <c r="R112" s="132" t="n">
        <v>-2.242585480047365</v>
      </c>
      <c r="S112" s="133" t="n">
        <v>1.973</v>
      </c>
      <c r="T112" s="132" t="n">
        <v>-18.68727656612726</v>
      </c>
      <c r="U112" s="132" t="n">
        <v>9.339</v>
      </c>
      <c r="V112" s="132" t="n">
        <v>-1.280999999999999</v>
      </c>
      <c r="W112" s="127" t="n">
        <v>64.98</v>
      </c>
      <c r="X112" s="132" t="n">
        <v>38.06148609369436</v>
      </c>
    </row>
    <row r="113">
      <c r="C113" s="112" t="n">
        <v>39965</v>
      </c>
      <c r="D113" s="127" t="n">
        <v>4325.3525</v>
      </c>
      <c r="E113" s="132" t="n">
        <v>-1.661450506003982</v>
      </c>
      <c r="F113" s="127" t="n"/>
      <c r="G113" s="127" t="n"/>
      <c r="H113" s="132" t="n">
        <v>1.505</v>
      </c>
      <c r="I113" s="132" t="n">
        <v>0.6449999999999999</v>
      </c>
      <c r="J113" s="132" t="n">
        <v>4.37</v>
      </c>
      <c r="K113" s="132" t="n">
        <v>0.004999999999999893</v>
      </c>
      <c r="L113" s="132" t="n">
        <v>5.2</v>
      </c>
      <c r="M113" s="132" t="n">
        <v>-0.7000000000000002</v>
      </c>
      <c r="N113" s="132" t="n">
        <v>1.154160511999991</v>
      </c>
      <c r="O113" s="127" t="n">
        <v>122.5361</v>
      </c>
      <c r="P113" s="132" t="n">
        <v>10.99072774475173</v>
      </c>
      <c r="Q113" s="127" t="n">
        <v>239.14145276</v>
      </c>
      <c r="R113" s="132" t="n">
        <v>-6.093925048801995</v>
      </c>
      <c r="S113" s="133" t="n">
        <v>1.9516</v>
      </c>
      <c r="T113" s="132" t="n">
        <v>-17.08465279355373</v>
      </c>
      <c r="U113" s="132" t="n">
        <v>9.226000000000001</v>
      </c>
      <c r="V113" s="132" t="n">
        <v>-0.5649999999999995</v>
      </c>
      <c r="W113" s="127" t="n">
        <v>68.11</v>
      </c>
      <c r="X113" s="132" t="n">
        <v>38.96605476834978</v>
      </c>
    </row>
    <row r="114">
      <c r="C114" s="112" t="n">
        <v>39995</v>
      </c>
      <c r="D114" s="127" t="n">
        <v>4410.8643</v>
      </c>
      <c r="E114" s="132" t="n">
        <v>0.5625738444721222</v>
      </c>
      <c r="F114" s="127" t="n"/>
      <c r="G114" s="127" t="n"/>
      <c r="H114" s="132" t="n">
        <v>1.941666666666666</v>
      </c>
      <c r="I114" s="132" t="n">
        <v>0.9749999999999994</v>
      </c>
      <c r="J114" s="132" t="n">
        <v>4.4125</v>
      </c>
      <c r="K114" s="132" t="n">
        <v>0.105833333333333</v>
      </c>
      <c r="L114" s="132" t="n">
        <v>4.8</v>
      </c>
      <c r="M114" s="132" t="n">
        <v>-0.8100000000000005</v>
      </c>
      <c r="N114" s="132" t="n">
        <v>1.315684121599969</v>
      </c>
      <c r="O114" s="127" t="n">
        <v>126.4754</v>
      </c>
      <c r="P114" s="132" t="n">
        <v>13.43881655045554</v>
      </c>
      <c r="Q114" s="127" t="n">
        <v>236.83783404</v>
      </c>
      <c r="R114" s="132" t="n">
        <v>-1.682875104496666</v>
      </c>
      <c r="S114" s="133" t="n">
        <v>1.8726</v>
      </c>
      <c r="T114" s="132" t="n">
        <v>-15.1216916549522</v>
      </c>
      <c r="U114" s="132" t="n">
        <v>9.205</v>
      </c>
      <c r="V114" s="132" t="n">
        <v>-0.6869999999999994</v>
      </c>
      <c r="W114" s="127" t="n">
        <v>70.08</v>
      </c>
      <c r="X114" s="132" t="n">
        <v>33.16323695224425</v>
      </c>
    </row>
    <row r="115">
      <c r="C115" s="112" t="n">
        <v>40026</v>
      </c>
      <c r="D115" s="127" t="n">
        <v>4481.2793</v>
      </c>
      <c r="E115" s="132" t="n">
        <v>4.33344827697454</v>
      </c>
      <c r="F115" s="127" t="n"/>
      <c r="G115" s="127" t="n"/>
      <c r="H115" s="132" t="n">
        <v>2.613333333333334</v>
      </c>
      <c r="I115" s="132" t="n">
        <v>1.580833333333334</v>
      </c>
      <c r="J115" s="132" t="n">
        <v>4.3</v>
      </c>
      <c r="K115" s="132" t="n">
        <v>-0.01750000000000007</v>
      </c>
      <c r="L115" s="132" t="n">
        <v>4.5</v>
      </c>
      <c r="M115" s="132" t="n">
        <v>-1.03</v>
      </c>
      <c r="N115" s="132" t="n">
        <v>1.073688060799993</v>
      </c>
      <c r="O115" s="127" t="n">
        <v>125.7191</v>
      </c>
      <c r="P115" s="132" t="n">
        <v>0.6277262120993933</v>
      </c>
      <c r="Q115" s="127" t="n">
        <v>237.15651024</v>
      </c>
      <c r="R115" s="132" t="n">
        <v>-3.860771411851485</v>
      </c>
      <c r="S115" s="133" t="n">
        <v>1.8864</v>
      </c>
      <c r="T115" s="132" t="n">
        <v>-4.488497623950887</v>
      </c>
      <c r="U115" s="132" t="n">
        <v>9.196999999999999</v>
      </c>
      <c r="V115" s="132" t="n">
        <v>-0.1420000000000012</v>
      </c>
      <c r="W115" s="127" t="n">
        <v>69.02</v>
      </c>
      <c r="X115" s="132" t="n">
        <v>6.031678742890297</v>
      </c>
    </row>
    <row r="116">
      <c r="C116" s="112" t="n">
        <v>40057</v>
      </c>
      <c r="D116" s="127" t="n">
        <v>4591.853</v>
      </c>
      <c r="E116" s="132" t="n">
        <v>5.979000635690616</v>
      </c>
      <c r="F116" s="127" t="n"/>
      <c r="G116" s="127" t="n"/>
      <c r="H116" s="132" t="n">
        <v>3.375</v>
      </c>
      <c r="I116" s="132" t="n">
        <v>1.87</v>
      </c>
      <c r="J116" s="132" t="n">
        <v>4.375</v>
      </c>
      <c r="K116" s="132" t="n">
        <v>0.004999999999999893</v>
      </c>
      <c r="L116" s="132" t="n">
        <v>4.36</v>
      </c>
      <c r="M116" s="132" t="n">
        <v>-0.8399999999999999</v>
      </c>
      <c r="N116" s="132" t="n">
        <v>0.7517652960000065</v>
      </c>
      <c r="O116" s="127" t="n">
        <v>127.6833</v>
      </c>
      <c r="P116" s="132" t="n">
        <v>4.114729878354081</v>
      </c>
      <c r="Q116" s="127" t="n">
        <v>227.03367573</v>
      </c>
      <c r="R116" s="132" t="n">
        <v>-5.195687169623925</v>
      </c>
      <c r="S116" s="133" t="n">
        <v>1.7781</v>
      </c>
      <c r="T116" s="132" t="n">
        <v>-9.310417047977994</v>
      </c>
      <c r="U116" s="132" t="n">
        <v>9.648</v>
      </c>
      <c r="V116" s="132" t="n">
        <v>0.4219999999999988</v>
      </c>
      <c r="W116" s="127" t="n">
        <v>65.81999999999999</v>
      </c>
      <c r="X116" s="132" t="n">
        <v>-3.420030173803321</v>
      </c>
    </row>
    <row r="117">
      <c r="C117" s="112" t="n">
        <v>40087</v>
      </c>
      <c r="D117" s="127" t="n">
        <v>4706.8179</v>
      </c>
      <c r="E117" s="132" t="n">
        <v>6.494141795833068</v>
      </c>
      <c r="F117" s="127" t="n"/>
      <c r="G117" s="127" t="n"/>
      <c r="H117" s="132" t="n">
        <v>4.03</v>
      </c>
      <c r="I117" s="132" t="n">
        <v>2.088333333333334</v>
      </c>
      <c r="J117" s="132" t="n">
        <v>4.42</v>
      </c>
      <c r="K117" s="132" t="n">
        <v>0.007500000000000284</v>
      </c>
      <c r="L117" s="132" t="n">
        <v>4.34</v>
      </c>
      <c r="M117" s="132" t="n">
        <v>-0.46</v>
      </c>
      <c r="N117" s="132" t="n">
        <v>0.6312968640000083</v>
      </c>
      <c r="O117" s="127" t="n">
        <v>131.8621</v>
      </c>
      <c r="P117" s="132" t="n">
        <v>4.170885668706853</v>
      </c>
      <c r="Q117" s="127" t="n">
        <v>229.9675024</v>
      </c>
      <c r="R117" s="132" t="n">
        <v>-2.943765734879521</v>
      </c>
      <c r="S117" s="133" t="n">
        <v>1.744</v>
      </c>
      <c r="T117" s="132" t="n">
        <v>-7.114651403586389</v>
      </c>
      <c r="U117" s="132" t="n">
        <v>9.932</v>
      </c>
      <c r="V117" s="132" t="n">
        <v>0.7270000000000003</v>
      </c>
      <c r="W117" s="127" t="n">
        <v>74.91</v>
      </c>
      <c r="X117" s="132" t="n">
        <v>6.664994633165558</v>
      </c>
    </row>
    <row r="118">
      <c r="C118" s="112" t="n">
        <v>40118</v>
      </c>
      <c r="D118" s="127" t="n">
        <v>4877.7139</v>
      </c>
      <c r="E118" s="132" t="n">
        <v>8.4768083288503</v>
      </c>
      <c r="F118" s="127" t="n"/>
      <c r="G118" s="127" t="n"/>
      <c r="H118" s="132" t="n">
        <v>4.6</v>
      </c>
      <c r="I118" s="132" t="n">
        <v>1.986666666666666</v>
      </c>
      <c r="J118" s="132" t="n">
        <v>4.4425</v>
      </c>
      <c r="K118" s="132" t="n">
        <v>0.1425000000000001</v>
      </c>
      <c r="L118" s="132" t="n">
        <v>4.17</v>
      </c>
      <c r="M118" s="132" t="n">
        <v>-0.3300000000000001</v>
      </c>
      <c r="N118" s="132" t="n">
        <v>0.6714530080000003</v>
      </c>
      <c r="O118" s="127" t="n">
        <v>136.4934</v>
      </c>
      <c r="P118" s="132" t="n">
        <v>8.222620866945213</v>
      </c>
      <c r="Q118" s="127" t="n">
        <v>238.9316967</v>
      </c>
      <c r="R118" s="132" t="n">
        <v>0.7457419281065769</v>
      </c>
      <c r="S118" s="133" t="n">
        <v>1.7505</v>
      </c>
      <c r="T118" s="132" t="n">
        <v>-7.476878938838623</v>
      </c>
      <c r="U118" s="132" t="n">
        <v>10.122</v>
      </c>
      <c r="V118" s="132" t="n">
        <v>0.9250000000000007</v>
      </c>
      <c r="W118" s="127" t="n">
        <v>77.77</v>
      </c>
      <c r="X118" s="132" t="n">
        <v>11.93594350369947</v>
      </c>
    </row>
    <row r="119">
      <c r="C119" s="112" t="n">
        <v>40148</v>
      </c>
      <c r="D119" s="127" t="n">
        <v>5024.3701</v>
      </c>
      <c r="E119" s="132" t="n">
        <v>9.001644654419332</v>
      </c>
      <c r="F119" s="127" t="n"/>
      <c r="G119" s="127" t="n"/>
      <c r="H119" s="132" t="n">
        <v>5.2</v>
      </c>
      <c r="I119" s="132" t="n">
        <v>1.825</v>
      </c>
      <c r="J119" s="132" t="n">
        <v>4.5</v>
      </c>
      <c r="K119" s="132" t="n">
        <v>0.125</v>
      </c>
      <c r="L119" s="132" t="n">
        <v>4.22</v>
      </c>
      <c r="M119" s="132" t="n">
        <v>-0.1400000000000006</v>
      </c>
      <c r="N119" s="132" t="n">
        <v>0.9328067551999775</v>
      </c>
      <c r="O119" s="127" t="n">
        <v>139.1873</v>
      </c>
      <c r="P119" s="132" t="n">
        <v>8.626752887375011</v>
      </c>
      <c r="Q119" s="127" t="n">
        <v>242.35292676</v>
      </c>
      <c r="R119" s="132" t="n">
        <v>6.52966810899905</v>
      </c>
      <c r="S119" s="133" t="n">
        <v>1.7412</v>
      </c>
      <c r="T119" s="132" t="n">
        <v>-2.097084778375971</v>
      </c>
      <c r="U119" s="132" t="n">
        <v>10.462</v>
      </c>
      <c r="V119" s="132" t="n">
        <v>0.8140000000000001</v>
      </c>
      <c r="W119" s="127" t="n">
        <v>77.91</v>
      </c>
      <c r="X119" s="132" t="n">
        <v>16.8630570827573</v>
      </c>
    </row>
    <row r="120">
      <c r="C120" s="112" t="n">
        <v>40179</v>
      </c>
      <c r="D120" s="127" t="n">
        <v>5092.3418</v>
      </c>
      <c r="E120" s="132" t="n">
        <v>7.872572873537266</v>
      </c>
      <c r="F120" s="127" t="n">
        <v>100</v>
      </c>
      <c r="G120" s="127" t="n"/>
      <c r="H120" s="132" t="n">
        <v>5.279166666666666</v>
      </c>
      <c r="I120" s="132" t="n">
        <v>1.249166666666666</v>
      </c>
      <c r="J120" s="132" t="n">
        <v>4.61</v>
      </c>
      <c r="K120" s="132" t="n">
        <v>0.1900000000000004</v>
      </c>
      <c r="L120" s="132" t="n">
        <v>4.31</v>
      </c>
      <c r="M120" s="132" t="n">
        <v>-0.03000000000000025</v>
      </c>
      <c r="N120" s="132" t="n">
        <v>1.0637052476</v>
      </c>
      <c r="O120" s="127" t="n">
        <v>129.0506</v>
      </c>
      <c r="P120" s="132" t="n">
        <v>-2.155210402591112</v>
      </c>
      <c r="Q120" s="127" t="n">
        <v>241.94406488</v>
      </c>
      <c r="R120" s="132" t="n">
        <v>5.076855755371504</v>
      </c>
      <c r="S120" s="133" t="n">
        <v>1.8748</v>
      </c>
      <c r="T120" s="132" t="n">
        <v>7.232066157962608</v>
      </c>
      <c r="U120" s="132" t="n">
        <v>10.487</v>
      </c>
      <c r="V120" s="132" t="n">
        <v>0.5549999999999997</v>
      </c>
      <c r="W120" s="127" t="n">
        <v>71.2</v>
      </c>
      <c r="X120" s="132" t="n">
        <v>-5.079457454186136</v>
      </c>
    </row>
    <row r="121">
      <c r="C121" s="112" t="n">
        <v>40210</v>
      </c>
      <c r="D121" s="127" t="n">
        <v>5157.1104</v>
      </c>
      <c r="E121" s="132" t="n">
        <v>5.569977564773272</v>
      </c>
      <c r="F121" s="127" t="n">
        <v>100.3008621119832</v>
      </c>
      <c r="G121" s="127" t="n"/>
      <c r="H121" s="132" t="n">
        <v>5.333333333333334</v>
      </c>
      <c r="I121" s="132" t="n">
        <v>0.7333333333333343</v>
      </c>
      <c r="J121" s="132" t="n">
        <v>4.846666666666667</v>
      </c>
      <c r="K121" s="132" t="n">
        <v>0.4041666666666668</v>
      </c>
      <c r="L121" s="132" t="n">
        <v>4.59</v>
      </c>
      <c r="M121" s="132" t="n">
        <v>0.4199999999999999</v>
      </c>
      <c r="N121" s="132" t="n">
        <v>1.537378377500009</v>
      </c>
      <c r="O121" s="127" t="n">
        <v>133.8318</v>
      </c>
      <c r="P121" s="132" t="n">
        <v>-1.969247419072457</v>
      </c>
      <c r="Q121" s="127" t="n">
        <v>242.3693898</v>
      </c>
      <c r="R121" s="132" t="n">
        <v>1.428524329796847</v>
      </c>
      <c r="S121" s="133" t="n">
        <v>1.811</v>
      </c>
      <c r="T121" s="132" t="n">
        <v>3.397771748869293</v>
      </c>
      <c r="U121" s="132" t="n">
        <v>10.749</v>
      </c>
      <c r="V121" s="132" t="n">
        <v>0.6270000000000007</v>
      </c>
      <c r="W121" s="127" t="n">
        <v>76.36</v>
      </c>
      <c r="X121" s="132" t="n">
        <v>-1.829675384930503</v>
      </c>
    </row>
    <row r="122">
      <c r="C122" s="112" t="n">
        <v>40238</v>
      </c>
      <c r="D122" s="127" t="n">
        <v>5539.7319</v>
      </c>
      <c r="E122" s="132" t="n">
        <v>9.76460132324487</v>
      </c>
      <c r="F122" s="127" t="n">
        <v>107.8558370278508</v>
      </c>
      <c r="G122" s="127" t="n"/>
      <c r="H122" s="132" t="n">
        <v>5.265</v>
      </c>
      <c r="I122" s="132" t="n">
        <v>0.0649999999999995</v>
      </c>
      <c r="J122" s="132" t="n">
        <v>5.0825</v>
      </c>
      <c r="K122" s="132" t="n">
        <v>0.5824999999999996</v>
      </c>
      <c r="L122" s="132" t="n">
        <v>4.83</v>
      </c>
      <c r="M122" s="132" t="n">
        <v>0.6100000000000003</v>
      </c>
      <c r="N122" s="132" t="n">
        <v>1.911532645000014</v>
      </c>
      <c r="O122" s="127" t="n">
        <v>132.1517</v>
      </c>
      <c r="P122" s="132" t="n">
        <v>-5.187000296885202</v>
      </c>
      <c r="Q122" s="127" t="n">
        <v>235.3621777</v>
      </c>
      <c r="R122" s="132" t="n">
        <v>-2.9269529357333</v>
      </c>
      <c r="S122" s="133" t="n">
        <v>1.781</v>
      </c>
      <c r="T122" s="132" t="n">
        <v>2.260047361151909</v>
      </c>
      <c r="U122" s="132" t="n">
        <v>10.847</v>
      </c>
      <c r="V122" s="132" t="n">
        <v>0.3849999999999998</v>
      </c>
      <c r="W122" s="127" t="n">
        <v>80.37</v>
      </c>
      <c r="X122" s="132" t="n">
        <v>3.10866578818604</v>
      </c>
    </row>
    <row r="123">
      <c r="C123" s="112" t="n">
        <v>40269</v>
      </c>
      <c r="D123" s="127" t="n">
        <v>5738.8687</v>
      </c>
      <c r="E123" s="132" t="n">
        <v>11.9524296970046</v>
      </c>
      <c r="F123" s="127" t="n">
        <v>111.3309037309602</v>
      </c>
      <c r="G123" s="127" t="n">
        <v>10.73366953065729</v>
      </c>
      <c r="H123" s="132" t="n">
        <v>5.539999999999999</v>
      </c>
      <c r="I123" s="132" t="n">
        <v>0.2608333333333333</v>
      </c>
      <c r="J123" s="132" t="n">
        <v>5.213333333333333</v>
      </c>
      <c r="K123" s="132" t="n">
        <v>0.6033333333333326</v>
      </c>
      <c r="L123" s="132" t="n">
        <v>5.17</v>
      </c>
      <c r="M123" s="132" t="n">
        <v>0.8600000000000003</v>
      </c>
      <c r="N123" s="132" t="n">
        <v>2.063836420000009</v>
      </c>
      <c r="O123" s="127" t="n">
        <v>134.7037</v>
      </c>
      <c r="P123" s="132" t="n">
        <v>4.287297597294373</v>
      </c>
      <c r="Q123" s="127" t="n">
        <v>233.11822322</v>
      </c>
      <c r="R123" s="132" t="n">
        <v>-3.716084190296901</v>
      </c>
      <c r="S123" s="133" t="n">
        <v>1.7306</v>
      </c>
      <c r="T123" s="132" t="n">
        <v>-8.00338178759127</v>
      </c>
      <c r="U123" s="132" t="n">
        <v>11.664</v>
      </c>
      <c r="V123" s="132" t="n">
        <v>1.177</v>
      </c>
      <c r="W123" s="127" t="n">
        <v>86.19</v>
      </c>
      <c r="X123" s="132" t="n">
        <v>19.10613432413778</v>
      </c>
    </row>
    <row r="124">
      <c r="C124" s="112" t="n">
        <v>40299</v>
      </c>
      <c r="D124" s="127" t="n">
        <v>5886.8281</v>
      </c>
      <c r="E124" s="132" t="n">
        <v>13.23409070528363</v>
      </c>
      <c r="F124" s="127" t="n">
        <v>117.421579007225</v>
      </c>
      <c r="G124" s="127" t="n">
        <v>15.75964077959589</v>
      </c>
      <c r="H124" s="132" t="n">
        <v>5.684166666666667</v>
      </c>
      <c r="I124" s="132" t="n">
        <v>0.3508333333333331</v>
      </c>
      <c r="J124" s="132" t="n">
        <v>5.3075</v>
      </c>
      <c r="K124" s="132" t="n">
        <v>0.4608333333333334</v>
      </c>
      <c r="L124" s="132" t="n">
        <v>5.26</v>
      </c>
      <c r="M124" s="132" t="n">
        <v>0.6699999999999999</v>
      </c>
      <c r="N124" s="132" t="n">
        <v>1.881489119200008</v>
      </c>
      <c r="O124" s="127" t="n">
        <v>125.3626</v>
      </c>
      <c r="P124" s="132" t="n">
        <v>-6.537344951624259</v>
      </c>
      <c r="Q124" s="127" t="n">
        <v>227.74623542</v>
      </c>
      <c r="R124" s="132" t="n">
        <v>-6.22309599549566</v>
      </c>
      <c r="S124" s="133" t="n">
        <v>1.8167</v>
      </c>
      <c r="T124" s="132" t="n">
        <v>0.3142489561285934</v>
      </c>
      <c r="U124" s="132" t="n">
        <v>11.543</v>
      </c>
      <c r="V124" s="132" t="n">
        <v>0.7939999999999987</v>
      </c>
      <c r="W124" s="127" t="n">
        <v>73</v>
      </c>
      <c r="X124" s="132" t="n">
        <v>-4.499955770915575</v>
      </c>
    </row>
    <row r="125">
      <c r="C125" s="112" t="n">
        <v>40330</v>
      </c>
      <c r="D125" s="127" t="n">
        <v>6036.2388</v>
      </c>
      <c r="E125" s="132" t="n">
        <v>8.583499666089283</v>
      </c>
      <c r="F125" s="127" t="n">
        <v>120.7190359947067</v>
      </c>
      <c r="G125" s="127" t="n">
        <v>11.26703358691819</v>
      </c>
      <c r="H125" s="132" t="n">
        <v>5.84</v>
      </c>
      <c r="I125" s="132" t="n">
        <v>0.5750000000000002</v>
      </c>
      <c r="J125" s="132" t="n">
        <v>5.175</v>
      </c>
      <c r="K125" s="132" t="n">
        <v>0.09250000000000025</v>
      </c>
      <c r="L125" s="132" t="n">
        <v>5.22</v>
      </c>
      <c r="M125" s="132" t="n">
        <v>0.3899999999999997</v>
      </c>
      <c r="N125" s="132" t="n">
        <v>1.527663745200014</v>
      </c>
      <c r="O125" s="127" t="n">
        <v>125.7471</v>
      </c>
      <c r="P125" s="132" t="n">
        <v>-4.967775805335338</v>
      </c>
      <c r="Q125" s="127" t="n">
        <v>226.53340065</v>
      </c>
      <c r="R125" s="132" t="n">
        <v>-3.823311115486709</v>
      </c>
      <c r="S125" s="133" t="n">
        <v>1.8015</v>
      </c>
      <c r="T125" s="132" t="n">
        <v>1.144464689848629</v>
      </c>
      <c r="U125" s="132" t="n">
        <v>11.861</v>
      </c>
      <c r="V125" s="132" t="n">
        <v>1.014000000000001</v>
      </c>
      <c r="W125" s="127" t="n">
        <v>74.94</v>
      </c>
      <c r="X125" s="132" t="n">
        <v>-6.995317885908582</v>
      </c>
    </row>
    <row r="126">
      <c r="C126" s="112" t="n">
        <v>40360</v>
      </c>
      <c r="D126" s="127" t="n">
        <v>6179.5767</v>
      </c>
      <c r="E126" s="132" t="n">
        <v>7.398767366383117</v>
      </c>
      <c r="F126" s="127" t="n">
        <v>123.739569815816</v>
      </c>
      <c r="G126" s="127" t="n">
        <v>10.56722322853741</v>
      </c>
      <c r="H126" s="132" t="n">
        <v>5.625</v>
      </c>
      <c r="I126" s="132" t="n">
        <v>0.08500000000000085</v>
      </c>
      <c r="J126" s="132" t="n">
        <v>4.995833333333333</v>
      </c>
      <c r="K126" s="132" t="n">
        <v>-0.2175000000000002</v>
      </c>
      <c r="L126" s="132" t="n">
        <v>4.84</v>
      </c>
      <c r="M126" s="132" t="n">
        <v>-0.3300000000000001</v>
      </c>
      <c r="N126" s="132" t="n">
        <v>1.002451000000004</v>
      </c>
      <c r="O126" s="127" t="n">
        <v>134.2481</v>
      </c>
      <c r="P126" s="132" t="n">
        <v>-0.3387970898833806</v>
      </c>
      <c r="Q126" s="127" t="n">
        <v>235.90076132</v>
      </c>
      <c r="R126" s="132" t="n">
        <v>1.186549303015237</v>
      </c>
      <c r="S126" s="133" t="n">
        <v>1.7572</v>
      </c>
      <c r="T126" s="132" t="n">
        <v>1.525346392898606</v>
      </c>
      <c r="U126" s="132" t="n">
        <v>11.159</v>
      </c>
      <c r="V126" s="132" t="n">
        <v>-0.504999999999999</v>
      </c>
      <c r="W126" s="127" t="n">
        <v>77.5</v>
      </c>
      <c r="X126" s="132" t="n">
        <v>-10.62762253000065</v>
      </c>
    </row>
    <row r="127">
      <c r="C127" s="112" t="n">
        <v>40391</v>
      </c>
      <c r="D127" s="127" t="n">
        <v>6383.2007</v>
      </c>
      <c r="E127" s="132" t="n">
        <v>8.095231898704892</v>
      </c>
      <c r="F127" s="127" t="n">
        <v>127.8962259270336</v>
      </c>
      <c r="G127" s="127" t="n">
        <v>8.544850209051486</v>
      </c>
      <c r="H127" s="132" t="n">
        <v>5.366666666666667</v>
      </c>
      <c r="I127" s="132" t="n">
        <v>-0.3174999999999999</v>
      </c>
      <c r="J127" s="132" t="n">
        <v>4.923333333333334</v>
      </c>
      <c r="K127" s="132" t="n">
        <v>-0.3841666666666663</v>
      </c>
      <c r="L127" s="132" t="n">
        <v>4.6</v>
      </c>
      <c r="M127" s="132" t="n">
        <v>-0.6600000000000001</v>
      </c>
      <c r="N127" s="132" t="n">
        <v>0.4400430000000011</v>
      </c>
      <c r="O127" s="127" t="n">
        <v>130.8135</v>
      </c>
      <c r="P127" s="132" t="n">
        <v>4.256230660566574</v>
      </c>
      <c r="Q127" s="127" t="n">
        <v>229.708506</v>
      </c>
      <c r="R127" s="132" t="n">
        <v>0.8579133356028461</v>
      </c>
      <c r="S127" s="133" t="n">
        <v>1.756</v>
      </c>
      <c r="T127" s="132" t="n">
        <v>-3.398317324963735</v>
      </c>
      <c r="U127" s="132" t="n">
        <v>11.095</v>
      </c>
      <c r="V127" s="132" t="n">
        <v>-0.4479999999999986</v>
      </c>
      <c r="W127" s="127" t="n">
        <v>75.51000000000001</v>
      </c>
      <c r="X127" s="132" t="n">
        <v>3.380565666694316</v>
      </c>
    </row>
    <row r="128">
      <c r="C128" s="112" t="n">
        <v>40422</v>
      </c>
      <c r="D128" s="127" t="n">
        <v>6518.0547</v>
      </c>
      <c r="E128" s="132" t="n">
        <v>7.679486977770855</v>
      </c>
      <c r="F128" s="127" t="n">
        <v>129.5858069928651</v>
      </c>
      <c r="G128" s="127" t="n">
        <v>7.087743501408888</v>
      </c>
      <c r="H128" s="132" t="n">
        <v>5.2625</v>
      </c>
      <c r="I128" s="132" t="n">
        <v>-0.5774999999999997</v>
      </c>
      <c r="J128" s="132" t="n">
        <v>4.984999999999999</v>
      </c>
      <c r="K128" s="132" t="n">
        <v>-0.1900000000000004</v>
      </c>
      <c r="L128" s="132" t="n">
        <v>4.49</v>
      </c>
      <c r="M128" s="132" t="n">
        <v>-0.7299999999999995</v>
      </c>
      <c r="N128" s="132" t="n">
        <v>0.05000399999999239</v>
      </c>
      <c r="O128" s="127" t="n">
        <v>140.2939</v>
      </c>
      <c r="P128" s="132" t="n">
        <v>10.94667608186324</v>
      </c>
      <c r="Q128" s="127" t="n">
        <v>237.68592538</v>
      </c>
      <c r="R128" s="132" t="n">
        <v>4.805776262793502</v>
      </c>
      <c r="S128" s="133" t="n">
        <v>1.6942</v>
      </c>
      <c r="T128" s="132" t="n">
        <v>-6.14089981906975</v>
      </c>
      <c r="U128" s="132" t="n">
        <v>11.284</v>
      </c>
      <c r="V128" s="132" t="n">
        <v>-0.577</v>
      </c>
      <c r="W128" s="127" t="n">
        <v>80.77</v>
      </c>
      <c r="X128" s="132" t="n">
        <v>7.491781608866354</v>
      </c>
    </row>
    <row r="129">
      <c r="C129" s="112" t="n">
        <v>40452</v>
      </c>
      <c r="D129" s="127" t="n">
        <v>6240.7466</v>
      </c>
      <c r="E129" s="132" t="n">
        <v>0.9850048681981644</v>
      </c>
      <c r="F129" s="127" t="n">
        <v>131.4790395091902</v>
      </c>
      <c r="G129" s="127" t="n">
        <v>6.066832996561463</v>
      </c>
      <c r="H129" s="132" t="n">
        <v>5.016666666666667</v>
      </c>
      <c r="I129" s="132" t="n">
        <v>-0.6083333333333334</v>
      </c>
      <c r="J129" s="132" t="n">
        <v>5.040000000000001</v>
      </c>
      <c r="K129" s="132" t="n">
        <v>0.04416666666666824</v>
      </c>
      <c r="L129" s="132" t="n">
        <v>4.7</v>
      </c>
      <c r="M129" s="132" t="n">
        <v>-0.1399999999999997</v>
      </c>
      <c r="N129" s="132" t="n">
        <v>0.500229017999998</v>
      </c>
      <c r="O129" s="127" t="n">
        <v>147.2686</v>
      </c>
      <c r="P129" s="132" t="n">
        <v>9.25685497553647</v>
      </c>
      <c r="Q129" s="127" t="n">
        <v>250.56279604</v>
      </c>
      <c r="R129" s="132" t="n">
        <v>6.029835819552412</v>
      </c>
      <c r="S129" s="133" t="n">
        <v>1.7014</v>
      </c>
      <c r="T129" s="132" t="n">
        <v>-3.227019155984059</v>
      </c>
      <c r="U129" s="132" t="n">
        <v>11.209</v>
      </c>
      <c r="V129" s="132" t="n">
        <v>0.04999999999999893</v>
      </c>
      <c r="W129" s="127" t="n">
        <v>82.47</v>
      </c>
      <c r="X129" s="132" t="n">
        <v>6.215665448596274</v>
      </c>
    </row>
    <row r="130">
      <c r="C130" s="112" t="n">
        <v>40483</v>
      </c>
      <c r="D130" s="127" t="n">
        <v>6366.9932</v>
      </c>
      <c r="E130" s="132" t="n">
        <v>-0.2542315647385939</v>
      </c>
      <c r="F130" s="127" t="n">
        <v>133.936167611389</v>
      </c>
      <c r="G130" s="127" t="n">
        <v>4.614412519462207</v>
      </c>
      <c r="H130" s="132" t="n">
        <v>4.762499999999999</v>
      </c>
      <c r="I130" s="132" t="n">
        <v>-0.6041666666666679</v>
      </c>
      <c r="J130" s="132" t="n">
        <v>5.246666666666666</v>
      </c>
      <c r="K130" s="132" t="n">
        <v>0.3233333333333324</v>
      </c>
      <c r="L130" s="132" t="n">
        <v>5.2</v>
      </c>
      <c r="M130" s="132" t="n">
        <v>0.6000000000000005</v>
      </c>
      <c r="N130" s="132" t="n">
        <v>1.243856349999994</v>
      </c>
      <c r="O130" s="127" t="n">
        <v>146.7299</v>
      </c>
      <c r="P130" s="132" t="n">
        <v>11.48208369888729</v>
      </c>
      <c r="Q130" s="127" t="n">
        <v>251.80318139</v>
      </c>
      <c r="R130" s="132" t="n">
        <v>9.183661620206831</v>
      </c>
      <c r="S130" s="133" t="n">
        <v>1.7161</v>
      </c>
      <c r="T130" s="132" t="n">
        <v>-2.298422078680459</v>
      </c>
      <c r="U130" s="132" t="n">
        <v>11.936</v>
      </c>
      <c r="V130" s="132" t="n">
        <v>0.8409999999999993</v>
      </c>
      <c r="W130" s="127" t="n">
        <v>86.02</v>
      </c>
      <c r="X130" s="132" t="n">
        <v>13.03147295402561</v>
      </c>
    </row>
    <row r="131">
      <c r="C131" s="112" t="n">
        <v>40513</v>
      </c>
      <c r="D131" s="127" t="n">
        <v>6515.8379</v>
      </c>
      <c r="E131" s="132" t="n">
        <v>-0.03401593199217128</v>
      </c>
      <c r="F131" s="127" t="n">
        <v>136.6285227884282</v>
      </c>
      <c r="G131" s="127" t="n">
        <v>5.292246654892907</v>
      </c>
      <c r="H131" s="132" t="n">
        <v>4.5</v>
      </c>
      <c r="I131" s="132" t="n">
        <v>-0.7625000000000002</v>
      </c>
      <c r="J131" s="132" t="n">
        <v>5.32</v>
      </c>
      <c r="K131" s="132" t="n">
        <v>0.3350000000000009</v>
      </c>
      <c r="L131" s="132" t="n">
        <v>5.63</v>
      </c>
      <c r="M131" s="132" t="n">
        <v>1.14</v>
      </c>
      <c r="N131" s="132" t="n">
        <v>2.04336301250001</v>
      </c>
      <c r="O131" s="127" t="n">
        <v>162.3929</v>
      </c>
      <c r="P131" s="132" t="n">
        <v>14.62791996577035</v>
      </c>
      <c r="Q131" s="127" t="n">
        <v>270.57904998</v>
      </c>
      <c r="R131" s="132" t="n">
        <v>12.96141312010618</v>
      </c>
      <c r="S131" s="133" t="n">
        <v>1.6662</v>
      </c>
      <c r="T131" s="132" t="n">
        <v>-1.666506845664172</v>
      </c>
      <c r="U131" s="132" t="n">
        <v>12.031</v>
      </c>
      <c r="V131" s="132" t="n">
        <v>0.7469999999999999</v>
      </c>
      <c r="W131" s="127" t="n">
        <v>93.23</v>
      </c>
      <c r="X131" s="132" t="n">
        <v>14.34639488543974</v>
      </c>
    </row>
    <row r="132">
      <c r="C132" s="112" t="n">
        <v>40544</v>
      </c>
      <c r="D132" s="127" t="n">
        <v>6453.5439</v>
      </c>
      <c r="E132" s="132" t="n">
        <v>3.352959912018384</v>
      </c>
      <c r="F132" s="127" t="n">
        <v>138.7492688184142</v>
      </c>
      <c r="G132" s="127" t="n">
        <v>5.382103928981087</v>
      </c>
      <c r="H132" s="132" t="n">
        <v>4.591666666666666</v>
      </c>
      <c r="I132" s="132" t="n">
        <v>-0.4250000000000007</v>
      </c>
      <c r="J132" s="132" t="n">
        <v>5.589166666666666</v>
      </c>
      <c r="K132" s="132" t="n">
        <v>0.5491666666666655</v>
      </c>
      <c r="L132" s="132" t="n">
        <v>5.91</v>
      </c>
      <c r="M132" s="132" t="n">
        <v>1.21</v>
      </c>
      <c r="N132" s="132" t="n">
        <v>2.226218217499998</v>
      </c>
      <c r="O132" s="127" t="n">
        <v>163.9999</v>
      </c>
      <c r="P132" s="132" t="n">
        <v>10.76076877239127</v>
      </c>
      <c r="Q132" s="127" t="n">
        <v>274.43743266</v>
      </c>
      <c r="R132" s="132" t="n">
        <v>9.101373104362711</v>
      </c>
      <c r="S132" s="133" t="n">
        <v>1.6734</v>
      </c>
      <c r="T132" s="132" t="n">
        <v>-1.659395668028572</v>
      </c>
      <c r="U132" s="132" t="n">
        <v>12.441</v>
      </c>
      <c r="V132" s="132" t="n">
        <v>1.232000000000001</v>
      </c>
      <c r="W132" s="127" t="n">
        <v>98.97</v>
      </c>
      <c r="X132" s="132" t="n">
        <v>18.23821830633358</v>
      </c>
    </row>
    <row r="133">
      <c r="C133" s="112" t="n">
        <v>40575</v>
      </c>
      <c r="D133" s="127" t="n">
        <v>6577.4609</v>
      </c>
      <c r="E133" s="132" t="n">
        <v>3.2521456379443</v>
      </c>
      <c r="F133" s="127" t="n">
        <v>140.7984516292813</v>
      </c>
      <c r="G133" s="127" t="n">
        <v>4.996612136647218</v>
      </c>
      <c r="H133" s="132" t="n">
        <v>4.333333333333333</v>
      </c>
      <c r="I133" s="132" t="n">
        <v>-0.4291666666666663</v>
      </c>
      <c r="J133" s="132" t="n">
        <v>5.63</v>
      </c>
      <c r="K133" s="132" t="n">
        <v>0.3833333333333337</v>
      </c>
      <c r="L133" s="132" t="n">
        <v>5.99</v>
      </c>
      <c r="M133" s="132" t="n">
        <v>0.79</v>
      </c>
      <c r="N133" s="132" t="n">
        <v>2.307390400699982</v>
      </c>
      <c r="O133" s="127" t="n">
        <v>166.1437</v>
      </c>
      <c r="P133" s="132" t="n">
        <v>12.42595948420716</v>
      </c>
      <c r="Q133" s="127" t="n">
        <v>275.99791444</v>
      </c>
      <c r="R133" s="132" t="n">
        <v>9.17455531904127</v>
      </c>
      <c r="S133" s="133" t="n">
        <v>1.6612</v>
      </c>
      <c r="T133" s="132" t="n">
        <v>-3.25140416516589</v>
      </c>
      <c r="U133" s="132" t="n">
        <v>12.616</v>
      </c>
      <c r="V133" s="132" t="n">
        <v>0.6799999999999997</v>
      </c>
      <c r="W133" s="127" t="n">
        <v>112.27</v>
      </c>
      <c r="X133" s="132" t="n">
        <v>26.6326857115098</v>
      </c>
    </row>
    <row r="134">
      <c r="C134" s="112" t="n">
        <v>40603</v>
      </c>
      <c r="D134" s="127" t="n">
        <v>6617.4038</v>
      </c>
      <c r="E134" s="132" t="n">
        <v>1.546730459645116</v>
      </c>
      <c r="F134" s="127" t="n">
        <v>142.6949400782406</v>
      </c>
      <c r="G134" s="127" t="n">
        <v>4.344333487143501</v>
      </c>
      <c r="H134" s="132" t="n">
        <v>4.075</v>
      </c>
      <c r="I134" s="132" t="n">
        <v>-0.4249999999999998</v>
      </c>
      <c r="J134" s="132" t="n">
        <v>5.765</v>
      </c>
      <c r="K134" s="132" t="n">
        <v>0.4449999999999994</v>
      </c>
      <c r="L134" s="132" t="n">
        <v>6.01</v>
      </c>
      <c r="M134" s="132" t="n">
        <v>0.3799999999999999</v>
      </c>
      <c r="N134" s="132" t="n">
        <v>2.276950831999991</v>
      </c>
      <c r="O134" s="127" t="n">
        <v>169.5579</v>
      </c>
      <c r="P134" s="132" t="n">
        <v>4.317575385123796</v>
      </c>
      <c r="Q134" s="127" t="n">
        <v>276.15895173</v>
      </c>
      <c r="R134" s="132" t="n">
        <v>2.041231988994422</v>
      </c>
      <c r="S134" s="133" t="n">
        <v>1.6287</v>
      </c>
      <c r="T134" s="132" t="n">
        <v>-2.276343396129368</v>
      </c>
      <c r="U134" s="132" t="n">
        <v>12.279</v>
      </c>
      <c r="V134" s="132" t="n">
        <v>0.2479999999999993</v>
      </c>
      <c r="W134" s="127" t="n">
        <v>116.94</v>
      </c>
      <c r="X134" s="132" t="n">
        <v>22.65914244389222</v>
      </c>
    </row>
    <row r="135">
      <c r="C135" s="112" t="n">
        <v>40634</v>
      </c>
      <c r="D135" s="127" t="n">
        <v>6699.9399</v>
      </c>
      <c r="E135" s="132" t="n">
        <v>3.746913442720058</v>
      </c>
      <c r="F135" s="127" t="n">
        <v>143.7996978086364</v>
      </c>
      <c r="G135" s="127" t="n">
        <v>3.575286097942988</v>
      </c>
      <c r="H135" s="132" t="n">
        <v>4.083333333333333</v>
      </c>
      <c r="I135" s="132" t="n">
        <v>-0.5083333333333329</v>
      </c>
      <c r="J135" s="132" t="n">
        <v>5.913333333333333</v>
      </c>
      <c r="K135" s="132" t="n">
        <v>0.3241666666666667</v>
      </c>
      <c r="L135" s="132" t="n">
        <v>6.3</v>
      </c>
      <c r="M135" s="132" t="n">
        <v>0.3899999999999997</v>
      </c>
      <c r="N135" s="132" t="n">
        <v>2.43956945599999</v>
      </c>
      <c r="O135" s="127" t="n">
        <v>175.4211</v>
      </c>
      <c r="P135" s="132" t="n">
        <v>6.732355110035051</v>
      </c>
      <c r="Q135" s="127" t="n">
        <v>275.99001663</v>
      </c>
      <c r="R135" s="132" t="n">
        <v>0.5641390485229616</v>
      </c>
      <c r="S135" s="133" t="n">
        <v>1.5733</v>
      </c>
      <c r="T135" s="132" t="n">
        <v>-6.168216061512076</v>
      </c>
      <c r="U135" s="132" t="n">
        <v>12.515</v>
      </c>
      <c r="V135" s="132" t="n">
        <v>0.07399999999999984</v>
      </c>
      <c r="W135" s="127" t="n">
        <v>126.59</v>
      </c>
      <c r="X135" s="132" t="n">
        <v>24.61367437401373</v>
      </c>
    </row>
    <row r="136">
      <c r="C136" s="112" t="n">
        <v>40664</v>
      </c>
      <c r="D136" s="127" t="n">
        <v>6627.1685</v>
      </c>
      <c r="E136" s="132" t="n">
        <v>0.7528849662400903</v>
      </c>
      <c r="F136" s="127" t="n">
        <v>144.2468822316231</v>
      </c>
      <c r="G136" s="127" t="n">
        <v>2.419684479668917</v>
      </c>
      <c r="H136" s="132" t="n">
        <v>4.083333333333334</v>
      </c>
      <c r="I136" s="132" t="n">
        <v>-0.2499999999999991</v>
      </c>
      <c r="J136" s="132" t="n">
        <v>5.753333333333333</v>
      </c>
      <c r="K136" s="132" t="n">
        <v>0.1233333333333331</v>
      </c>
      <c r="L136" s="132" t="n">
        <v>6.51</v>
      </c>
      <c r="M136" s="132" t="n">
        <v>0.5199999999999996</v>
      </c>
      <c r="N136" s="132" t="n">
        <v>2.378611664000019</v>
      </c>
      <c r="O136" s="127" t="n">
        <v>166.5416</v>
      </c>
      <c r="P136" s="132" t="n">
        <v>0.2392051525745055</v>
      </c>
      <c r="Q136" s="127" t="n">
        <v>263.11907384</v>
      </c>
      <c r="R136" s="132" t="n">
        <v>-4.778662735204998</v>
      </c>
      <c r="S136" s="133" t="n">
        <v>1.5799</v>
      </c>
      <c r="T136" s="132" t="n">
        <v>-5.017867887779512</v>
      </c>
      <c r="U136" s="132" t="n">
        <v>12.453</v>
      </c>
      <c r="V136" s="132" t="n">
        <v>-0.1630000000000003</v>
      </c>
      <c r="W136" s="127" t="n">
        <v>117.18</v>
      </c>
      <c r="X136" s="132" t="n">
        <v>4.280452964595464</v>
      </c>
    </row>
    <row r="137">
      <c r="C137" s="112" t="n">
        <v>40695</v>
      </c>
      <c r="D137" s="127" t="n">
        <v>6681.7876</v>
      </c>
      <c r="E137" s="132" t="n">
        <v>0.9682438737683198</v>
      </c>
      <c r="F137" s="127" t="n">
        <v>147.2442365103877</v>
      </c>
      <c r="G137" s="127" t="n">
        <v>3.138361552190282</v>
      </c>
      <c r="H137" s="132" t="n">
        <v>4.02</v>
      </c>
      <c r="I137" s="132" t="n">
        <v>-0.0550000000000006</v>
      </c>
      <c r="J137" s="132" t="n">
        <v>5.625</v>
      </c>
      <c r="K137" s="132" t="n">
        <v>-0.1399999999999997</v>
      </c>
      <c r="L137" s="132" t="n">
        <v>6.55</v>
      </c>
      <c r="M137" s="132" t="n">
        <v>0.54</v>
      </c>
      <c r="N137" s="132" t="n">
        <v>2.043443590100003</v>
      </c>
      <c r="O137" s="127" t="n">
        <v>158.1349</v>
      </c>
      <c r="P137" s="132" t="n">
        <v>-6.974599519368605</v>
      </c>
      <c r="Q137" s="127" t="n">
        <v>246.86439239</v>
      </c>
      <c r="R137" s="132" t="n">
        <v>-11.21374448105803</v>
      </c>
      <c r="S137" s="133" t="n">
        <v>1.5611</v>
      </c>
      <c r="T137" s="132" t="n">
        <v>-4.239144961689427</v>
      </c>
      <c r="U137" s="132" t="n">
        <v>12.645</v>
      </c>
      <c r="V137" s="132" t="n">
        <v>0.3659999999999997</v>
      </c>
      <c r="W137" s="127" t="n">
        <v>111.71</v>
      </c>
      <c r="X137" s="132" t="n">
        <v>-4.575475516476745</v>
      </c>
    </row>
    <row r="138">
      <c r="C138" s="112" t="n">
        <v>40725</v>
      </c>
      <c r="D138" s="127" t="n">
        <v>6576.8247</v>
      </c>
      <c r="E138" s="132" t="n">
        <v>-1.854649573286413</v>
      </c>
      <c r="F138" s="127" t="n">
        <v>146.9961067308673</v>
      </c>
      <c r="G138" s="127" t="n">
        <v>2.198475778908154</v>
      </c>
      <c r="H138" s="132" t="n">
        <v>3.983333333333333</v>
      </c>
      <c r="I138" s="132" t="n">
        <v>-0.09999999999999964</v>
      </c>
      <c r="J138" s="132" t="n">
        <v>5.720833333333333</v>
      </c>
      <c r="K138" s="132" t="n">
        <v>-0.1924999999999999</v>
      </c>
      <c r="L138" s="132" t="n">
        <v>6.71</v>
      </c>
      <c r="M138" s="132" t="n">
        <v>0.4100000000000001</v>
      </c>
      <c r="N138" s="132" t="n">
        <v>1.395484428500016</v>
      </c>
      <c r="O138" s="127" t="n">
        <v>162.8146</v>
      </c>
      <c r="P138" s="132" t="n">
        <v>-7.457723903120848</v>
      </c>
      <c r="Q138" s="127" t="n">
        <v>253.38836198</v>
      </c>
      <c r="R138" s="132" t="n">
        <v>-8.544135406662166</v>
      </c>
      <c r="S138" s="133" t="n">
        <v>1.5563</v>
      </c>
      <c r="T138" s="132" t="n">
        <v>-1.08641150354132</v>
      </c>
      <c r="U138" s="132" t="n">
        <v>12.582</v>
      </c>
      <c r="V138" s="132" t="n">
        <v>0.06700000000000017</v>
      </c>
      <c r="W138" s="127" t="n">
        <v>115.93</v>
      </c>
      <c r="X138" s="132" t="n">
        <v>-8.796695696642685</v>
      </c>
    </row>
    <row r="139">
      <c r="C139" s="112" t="n">
        <v>40756</v>
      </c>
      <c r="D139" s="127" t="n">
        <v>6496.6675</v>
      </c>
      <c r="E139" s="132" t="n">
        <v>-1.988828594699171</v>
      </c>
      <c r="F139" s="127" t="n">
        <v>146.7872444496582</v>
      </c>
      <c r="G139" s="127" t="n">
        <v>1.745793022626158</v>
      </c>
      <c r="H139" s="132" t="n">
        <v>3.846666666666667</v>
      </c>
      <c r="I139" s="132" t="n">
        <v>-0.2366666666666672</v>
      </c>
      <c r="J139" s="132" t="n">
        <v>5.57</v>
      </c>
      <c r="K139" s="132" t="n">
        <v>-0.1833333333333327</v>
      </c>
      <c r="L139" s="132" t="n">
        <v>6.87</v>
      </c>
      <c r="M139" s="132" t="n">
        <v>0.3600000000000003</v>
      </c>
      <c r="N139" s="132" t="n">
        <v>0.7816981279999968</v>
      </c>
      <c r="O139" s="127" t="n">
        <v>164.4327</v>
      </c>
      <c r="P139" s="132" t="n">
        <v>-1.27437601105025</v>
      </c>
      <c r="Q139" s="127" t="n">
        <v>260.98758144</v>
      </c>
      <c r="R139" s="132" t="n">
        <v>-0.8133856458697605</v>
      </c>
      <c r="S139" s="133" t="n">
        <v>1.5872</v>
      </c>
      <c r="T139" s="132" t="n">
        <v>0.460990365180502</v>
      </c>
      <c r="U139" s="132" t="n">
        <v>11.221</v>
      </c>
      <c r="V139" s="132" t="n">
        <v>-1.231999999999999</v>
      </c>
      <c r="W139" s="127" t="n">
        <v>116.48</v>
      </c>
      <c r="X139" s="132" t="n">
        <v>-0.5991629668266747</v>
      </c>
    </row>
    <row r="140">
      <c r="C140" s="112" t="n">
        <v>40787</v>
      </c>
      <c r="D140" s="127" t="n">
        <v>6368.4956</v>
      </c>
      <c r="E140" s="132" t="n">
        <v>-4.802228439228575</v>
      </c>
      <c r="F140" s="127" t="n">
        <v>147.6623998225699</v>
      </c>
      <c r="G140" s="127" t="n">
        <v>0.2835904933395115</v>
      </c>
      <c r="H140" s="132" t="n">
        <v>3.6525</v>
      </c>
      <c r="I140" s="132" t="n">
        <v>-0.3674999999999993</v>
      </c>
      <c r="J140" s="132" t="n">
        <v>5.7775</v>
      </c>
      <c r="K140" s="132" t="n">
        <v>0.1524999999999999</v>
      </c>
      <c r="L140" s="132" t="n">
        <v>7.23</v>
      </c>
      <c r="M140" s="132" t="n">
        <v>0.6800000000000006</v>
      </c>
      <c r="N140" s="132" t="n">
        <v>0.681387888000029</v>
      </c>
      <c r="O140" s="127" t="n">
        <v>140.2016</v>
      </c>
      <c r="P140" s="132" t="n">
        <v>-12.03670794140355</v>
      </c>
      <c r="Q140" s="127" t="n">
        <v>259.98984704</v>
      </c>
      <c r="R140" s="132" t="n">
        <v>5.180341320883078</v>
      </c>
      <c r="S140" s="133" t="n">
        <v>1.8544</v>
      </c>
      <c r="T140" s="132" t="n">
        <v>17.21704926228664</v>
      </c>
      <c r="U140" s="132" t="n">
        <v>10.385</v>
      </c>
      <c r="V140" s="132" t="n">
        <v>-2.26</v>
      </c>
      <c r="W140" s="127" t="n">
        <v>105.42</v>
      </c>
      <c r="X140" s="132" t="n">
        <v>-5.79538561556961</v>
      </c>
    </row>
    <row r="141">
      <c r="C141" s="112" t="n">
        <v>40817</v>
      </c>
      <c r="D141" s="127" t="n">
        <v>6295.1694</v>
      </c>
      <c r="E141" s="132" t="n">
        <v>-4.376948309410715</v>
      </c>
      <c r="F141" s="127" t="n">
        <v>146.1466507591901</v>
      </c>
      <c r="G141" s="127" t="n">
        <v>-0.5795526770544511</v>
      </c>
      <c r="H141" s="132" t="n">
        <v>3.465</v>
      </c>
      <c r="I141" s="132" t="n">
        <v>-0.5183333333333331</v>
      </c>
      <c r="J141" s="132" t="n">
        <v>5.74</v>
      </c>
      <c r="K141" s="132" t="n">
        <v>0.019166666666667</v>
      </c>
      <c r="L141" s="132" t="n">
        <v>7.31</v>
      </c>
      <c r="M141" s="132" t="n">
        <v>0.5999999999999996</v>
      </c>
      <c r="N141" s="132" t="n">
        <v>1.063404137600021</v>
      </c>
      <c r="O141" s="127" t="n">
        <v>149.4779</v>
      </c>
      <c r="P141" s="132" t="n">
        <v>-8.546357432062525</v>
      </c>
      <c r="Q141" s="127" t="n">
        <v>252.39343415</v>
      </c>
      <c r="R141" s="132" t="n">
        <v>-0.3934222705967132</v>
      </c>
      <c r="S141" s="133" t="n">
        <v>1.6885</v>
      </c>
      <c r="T141" s="132" t="n">
        <v>8.152935161465802</v>
      </c>
      <c r="U141" s="132" t="n">
        <v>10.304</v>
      </c>
      <c r="V141" s="132" t="n">
        <v>-2.278</v>
      </c>
      <c r="W141" s="127" t="n">
        <v>108.43</v>
      </c>
      <c r="X141" s="132" t="n">
        <v>-6.68817571982195</v>
      </c>
    </row>
    <row r="142">
      <c r="C142" s="112" t="n">
        <v>40848</v>
      </c>
      <c r="D142" s="127" t="n">
        <v>6285.0088</v>
      </c>
      <c r="E142" s="132" t="n">
        <v>-3.31221109219202</v>
      </c>
      <c r="F142" s="127" t="n">
        <v>146.2454069369604</v>
      </c>
      <c r="G142" s="127" t="n">
        <v>-0.3698141675742879</v>
      </c>
      <c r="H142" s="132" t="n">
        <v>3.43</v>
      </c>
      <c r="I142" s="132" t="n">
        <v>-0.416666666666667</v>
      </c>
      <c r="J142" s="132" t="n">
        <v>5.600833333333333</v>
      </c>
      <c r="K142" s="132" t="n">
        <v>0.03083333333333282</v>
      </c>
      <c r="L142" s="132" t="n">
        <v>6.97</v>
      </c>
      <c r="M142" s="132" t="n">
        <v>0.09999999999999964</v>
      </c>
      <c r="N142" s="132" t="n">
        <v>1.335839432300023</v>
      </c>
      <c r="O142" s="127" t="n">
        <v>146.1596</v>
      </c>
      <c r="P142" s="132" t="n">
        <v>-11.78021926134383</v>
      </c>
      <c r="Q142" s="127" t="n">
        <v>264.68041964</v>
      </c>
      <c r="R142" s="132" t="n">
        <v>1.405030910325022</v>
      </c>
      <c r="S142" s="133" t="n">
        <v>1.8109</v>
      </c>
      <c r="T142" s="132" t="n">
        <v>13.18525017166884</v>
      </c>
      <c r="U142" s="132" t="n">
        <v>9.661</v>
      </c>
      <c r="V142" s="132" t="n">
        <v>-1.56</v>
      </c>
      <c r="W142" s="127" t="n">
        <v>111.22</v>
      </c>
      <c r="X142" s="132" t="n">
        <v>-4.620936268895792</v>
      </c>
    </row>
    <row r="143">
      <c r="C143" s="112" t="n">
        <v>40878</v>
      </c>
      <c r="D143" s="127" t="n">
        <v>6211.5342</v>
      </c>
      <c r="E143" s="132" t="n">
        <v>-2.495535357403011</v>
      </c>
      <c r="F143" s="127" t="n">
        <v>144.253114766502</v>
      </c>
      <c r="G143" s="127" t="n">
        <v>-2.335908786234846</v>
      </c>
      <c r="H143" s="132" t="n">
        <v>3.3</v>
      </c>
      <c r="I143" s="132" t="n">
        <v>-0.3525000000000005</v>
      </c>
      <c r="J143" s="132" t="n">
        <v>5.32</v>
      </c>
      <c r="K143" s="132" t="n">
        <v>-0.4574999999999996</v>
      </c>
      <c r="L143" s="132" t="n">
        <v>6.64</v>
      </c>
      <c r="M143" s="132" t="n">
        <v>-0.5900000000000007</v>
      </c>
      <c r="N143" s="132" t="n">
        <v>1.48728285080002</v>
      </c>
      <c r="O143" s="127" t="n">
        <v>140.6802</v>
      </c>
      <c r="P143" s="132" t="n">
        <v>0.3407842467405232</v>
      </c>
      <c r="Q143" s="127" t="n">
        <v>263.88791916</v>
      </c>
      <c r="R143" s="132" t="n">
        <v>1.488188395675617</v>
      </c>
      <c r="S143" s="133" t="n">
        <v>1.8758</v>
      </c>
      <c r="T143" s="132" t="n">
        <v>1.147404148935085</v>
      </c>
      <c r="U143" s="132" t="n">
        <v>10.04</v>
      </c>
      <c r="V143" s="132" t="n">
        <v>-0.3450000000000006</v>
      </c>
      <c r="W143" s="127" t="n">
        <v>108.09</v>
      </c>
      <c r="X143" s="132" t="n">
        <v>2.501184200105077</v>
      </c>
    </row>
    <row r="144">
      <c r="C144" s="112" t="n">
        <v>40909</v>
      </c>
      <c r="D144" s="127" t="n">
        <v>6355.9487</v>
      </c>
      <c r="E144" s="132" t="n">
        <v>0.9608600147526409</v>
      </c>
      <c r="F144" s="127" t="n">
        <v>142.7782245012462</v>
      </c>
      <c r="G144" s="127" t="n">
        <v>-2.331802604272237</v>
      </c>
      <c r="H144" s="132" t="n">
        <v>3.375</v>
      </c>
      <c r="I144" s="132" t="n">
        <v>-0.0900000000000003</v>
      </c>
      <c r="J144" s="132" t="n">
        <v>5.265833333333333</v>
      </c>
      <c r="K144" s="132" t="n">
        <v>-0.4741666666666671</v>
      </c>
      <c r="L144" s="132" t="n">
        <v>6.5</v>
      </c>
      <c r="M144" s="132" t="n">
        <v>-0.8099999999999996</v>
      </c>
      <c r="N144" s="132" t="n">
        <v>1.456997179999986</v>
      </c>
      <c r="O144" s="127" t="n">
        <v>144.1561</v>
      </c>
      <c r="P144" s="132" t="n">
        <v>-3.62518155964901</v>
      </c>
      <c r="Q144" s="127" t="n">
        <v>250.70187351</v>
      </c>
      <c r="R144" s="132" t="n">
        <v>-0.6724638408315475</v>
      </c>
      <c r="S144" s="133" t="n">
        <v>1.7391</v>
      </c>
      <c r="T144" s="132" t="n">
        <v>2.952717718817455</v>
      </c>
      <c r="U144" s="132" t="n">
        <v>9.550000000000001</v>
      </c>
      <c r="V144" s="132" t="n">
        <v>-0.7539999999999996</v>
      </c>
      <c r="W144" s="127" t="n">
        <v>110.26</v>
      </c>
      <c r="X144" s="132" t="n">
        <v>1.67364096774469</v>
      </c>
    </row>
    <row r="145">
      <c r="C145" s="112" t="n">
        <v>40940</v>
      </c>
      <c r="D145" s="127" t="n">
        <v>6118.8467</v>
      </c>
      <c r="E145" s="132" t="n">
        <v>-2.67936111470243</v>
      </c>
      <c r="F145" s="127" t="n">
        <v>136.6499455176972</v>
      </c>
      <c r="G145" s="127" t="n">
        <v>-6.78635663851762</v>
      </c>
      <c r="H145" s="132" t="n">
        <v>3.433333333333333</v>
      </c>
      <c r="I145" s="132" t="n">
        <v>0.00333333333333341</v>
      </c>
      <c r="J145" s="132" t="n">
        <v>5.220000000000001</v>
      </c>
      <c r="K145" s="132" t="n">
        <v>-0.3808333333333325</v>
      </c>
      <c r="L145" s="132" t="n">
        <v>6.22</v>
      </c>
      <c r="M145" s="132" t="n">
        <v>-0.75</v>
      </c>
      <c r="N145" s="132" t="n">
        <v>1.588326560000008</v>
      </c>
      <c r="O145" s="127" t="n">
        <v>148.0367</v>
      </c>
      <c r="P145" s="132" t="n">
        <v>1.276104065774031</v>
      </c>
      <c r="Q145" s="127" t="n">
        <v>253.02432764</v>
      </c>
      <c r="R145" s="132" t="n">
        <v>-4.503749381968661</v>
      </c>
      <c r="S145" s="133" t="n">
        <v>1.7092</v>
      </c>
      <c r="T145" s="132" t="n">
        <v>-5.779853447742686</v>
      </c>
      <c r="U145" s="132" t="n">
        <v>9.256</v>
      </c>
      <c r="V145" s="132" t="n">
        <v>-0.4049999999999994</v>
      </c>
      <c r="W145" s="127" t="n">
        <v>122.23</v>
      </c>
      <c r="X145" s="132" t="n">
        <v>9.43942940297536</v>
      </c>
    </row>
    <row r="146">
      <c r="C146" s="112" t="n">
        <v>40969</v>
      </c>
      <c r="D146" s="127" t="n">
        <v>6162.7573</v>
      </c>
      <c r="E146" s="132" t="n">
        <v>-0.7883627540189749</v>
      </c>
      <c r="F146" s="127" t="n">
        <v>136.862550139971</v>
      </c>
      <c r="G146" s="127" t="n">
        <v>-5.259235943810018</v>
      </c>
      <c r="H146" s="132" t="n">
        <v>3.45</v>
      </c>
      <c r="I146" s="132" t="n">
        <v>0.1500000000000004</v>
      </c>
      <c r="J146" s="132" t="n">
        <v>5.3275</v>
      </c>
      <c r="K146" s="132" t="n">
        <v>0.007499999999999396</v>
      </c>
      <c r="L146" s="132" t="n">
        <v>5.84</v>
      </c>
      <c r="M146" s="132" t="n">
        <v>-0.7999999999999998</v>
      </c>
      <c r="N146" s="132" t="n">
        <v>1.517582599999989</v>
      </c>
      <c r="O146" s="127" t="n">
        <v>141.9021</v>
      </c>
      <c r="P146" s="132" t="n">
        <v>0.8648153939860542</v>
      </c>
      <c r="Q146" s="127" t="n">
        <v>258.55981641</v>
      </c>
      <c r="R146" s="132" t="n">
        <v>-2.03973990791445</v>
      </c>
      <c r="S146" s="133" t="n">
        <v>1.8221</v>
      </c>
      <c r="T146" s="132" t="n">
        <v>-2.904555301900504</v>
      </c>
      <c r="U146" s="132" t="n">
        <v>8.957000000000001</v>
      </c>
      <c r="V146" s="132" t="n">
        <v>-1.082999999999998</v>
      </c>
      <c r="W146" s="127" t="n">
        <v>123.41</v>
      </c>
      <c r="X146" s="132" t="n">
        <v>13.25479320369805</v>
      </c>
    </row>
    <row r="147">
      <c r="C147" s="112" t="n">
        <v>41000</v>
      </c>
      <c r="D147" s="127" t="n">
        <v>6166.8301</v>
      </c>
      <c r="E147" s="132" t="n">
        <v>-3.020623176030808</v>
      </c>
      <c r="F147" s="127" t="n">
        <v>135.3251842205323</v>
      </c>
      <c r="G147" s="127" t="n">
        <v>-5.361189478930763</v>
      </c>
      <c r="H147" s="132" t="n">
        <v>3.593333333333334</v>
      </c>
      <c r="I147" s="132" t="n">
        <v>0.2183333333333337</v>
      </c>
      <c r="J147" s="132" t="n">
        <v>5.286666666666667</v>
      </c>
      <c r="K147" s="132" t="n">
        <v>0.02083333333333393</v>
      </c>
      <c r="L147" s="132" t="n">
        <v>5.24</v>
      </c>
      <c r="M147" s="132" t="n">
        <v>-1.26</v>
      </c>
      <c r="N147" s="132" t="n">
        <v>1.224646292000009</v>
      </c>
      <c r="O147" s="127" t="n">
        <v>141.2917</v>
      </c>
      <c r="P147" s="132" t="n">
        <v>-2.007019252366838</v>
      </c>
      <c r="Q147" s="127" t="n">
        <v>267.29563806</v>
      </c>
      <c r="R147" s="132" t="n">
        <v>6.409082624160481</v>
      </c>
      <c r="S147" s="133" t="n">
        <v>1.8918</v>
      </c>
      <c r="T147" s="132" t="n">
        <v>8.416101876527312</v>
      </c>
      <c r="U147" s="132" t="n">
        <v>8.33</v>
      </c>
      <c r="V147" s="132" t="n">
        <v>-1.220000000000001</v>
      </c>
      <c r="W147" s="127" t="n">
        <v>118.66</v>
      </c>
      <c r="X147" s="132" t="n">
        <v>7.342104766895968</v>
      </c>
    </row>
    <row r="148">
      <c r="C148" s="112" t="n">
        <v>41030</v>
      </c>
      <c r="D148" s="127" t="n">
        <v>6255.3511</v>
      </c>
      <c r="E148" s="132" t="n">
        <v>2.206364238539218</v>
      </c>
      <c r="F148" s="127" t="n">
        <v>134.7663695375042</v>
      </c>
      <c r="G148" s="127" t="n">
        <v>-1.387983046566278</v>
      </c>
      <c r="H148" s="132" t="n">
        <v>3.531666666666666</v>
      </c>
      <c r="I148" s="132" t="n">
        <v>0.09833333333333316</v>
      </c>
      <c r="J148" s="132" t="n">
        <v>5.331666666666667</v>
      </c>
      <c r="K148" s="132" t="n">
        <v>0.1116666666666664</v>
      </c>
      <c r="L148" s="132" t="n">
        <v>5.1</v>
      </c>
      <c r="M148" s="132" t="n">
        <v>-1.12</v>
      </c>
      <c r="N148" s="132" t="n">
        <v>1.305175048000007</v>
      </c>
      <c r="O148" s="127" t="n">
        <v>128.3789</v>
      </c>
      <c r="P148" s="132" t="n">
        <v>-14.24741684627695</v>
      </c>
      <c r="Q148" s="127" t="n">
        <v>259.62064947</v>
      </c>
      <c r="R148" s="132" t="n">
        <v>2.573588429486353</v>
      </c>
      <c r="S148" s="133" t="n">
        <v>2.0223</v>
      </c>
      <c r="T148" s="132" t="n">
        <v>16.82100527576329</v>
      </c>
      <c r="U148" s="132" t="n">
        <v>7.927</v>
      </c>
      <c r="V148" s="132" t="n">
        <v>-1.329000000000001</v>
      </c>
      <c r="W148" s="127" t="n">
        <v>103.86</v>
      </c>
      <c r="X148" s="132" t="n">
        <v>-16.28606773729985</v>
      </c>
    </row>
    <row r="149">
      <c r="C149" s="112" t="n">
        <v>41061</v>
      </c>
      <c r="D149" s="127" t="n">
        <v>5999.645</v>
      </c>
      <c r="E149" s="132" t="n">
        <v>-2.682399022172054</v>
      </c>
      <c r="F149" s="127" t="n">
        <v>132.8240591675577</v>
      </c>
      <c r="G149" s="127" t="n">
        <v>-2.9951749488636</v>
      </c>
      <c r="H149" s="132" t="n">
        <v>3.125</v>
      </c>
      <c r="I149" s="132" t="n">
        <v>-0.3250000000000002</v>
      </c>
      <c r="J149" s="132" t="n">
        <v>5.215</v>
      </c>
      <c r="K149" s="132" t="n">
        <v>-0.1124999999999998</v>
      </c>
      <c r="L149" s="132" t="n">
        <v>4.99</v>
      </c>
      <c r="M149" s="132" t="n">
        <v>-0.8499999999999996</v>
      </c>
      <c r="N149" s="132" t="n">
        <v>1.214408838400005</v>
      </c>
      <c r="O149" s="127" t="n">
        <v>135.4213</v>
      </c>
      <c r="P149" s="132" t="n">
        <v>-4.674672343570449</v>
      </c>
      <c r="Q149" s="127" t="n">
        <v>273.72707369</v>
      </c>
      <c r="R149" s="132" t="n">
        <v>5.70044632614147</v>
      </c>
      <c r="S149" s="133" t="n">
        <v>2.0213</v>
      </c>
      <c r="T149" s="132" t="n">
        <v>10.37511866971193</v>
      </c>
      <c r="U149" s="132" t="n">
        <v>7.569</v>
      </c>
      <c r="V149" s="132" t="n">
        <v>-1.388000000000001</v>
      </c>
      <c r="W149" s="127" t="n">
        <v>94.17</v>
      </c>
      <c r="X149" s="132" t="n">
        <v>-27.04104859431202</v>
      </c>
    </row>
    <row r="150">
      <c r="C150" s="112" t="n">
        <v>41091</v>
      </c>
      <c r="D150" s="127" t="n">
        <v>5781.3765</v>
      </c>
      <c r="E150" s="132" t="n">
        <v>-6.454314264738974</v>
      </c>
      <c r="F150" s="127" t="n">
        <v>128.9473910632702</v>
      </c>
      <c r="G150" s="127" t="n">
        <v>-4.827615403637655</v>
      </c>
      <c r="H150" s="132" t="n">
        <v>3.183333333333333</v>
      </c>
      <c r="I150" s="132" t="n">
        <v>-0.410000000000001</v>
      </c>
      <c r="J150" s="132" t="n">
        <v>5.2875</v>
      </c>
      <c r="K150" s="132" t="n">
        <v>0.0008333333333325754</v>
      </c>
      <c r="L150" s="132" t="n">
        <v>4.92</v>
      </c>
      <c r="M150" s="132" t="n">
        <v>-0.3200000000000003</v>
      </c>
      <c r="N150" s="132" t="n">
        <v>1.083105843199994</v>
      </c>
      <c r="O150" s="127" t="n">
        <v>144.169</v>
      </c>
      <c r="P150" s="132" t="n">
        <v>2.015967484767417</v>
      </c>
      <c r="Q150" s="127" t="n">
        <v>295.5320331</v>
      </c>
      <c r="R150" s="132" t="n">
        <v>10.04219295234464</v>
      </c>
      <c r="S150" s="133" t="n">
        <v>2.0499</v>
      </c>
      <c r="T150" s="132" t="n">
        <v>8.026225467577222</v>
      </c>
      <c r="U150" s="132" t="n">
        <v>7.455</v>
      </c>
      <c r="V150" s="132" t="n">
        <v>-0.875</v>
      </c>
      <c r="W150" s="127" t="n">
        <v>105.93</v>
      </c>
      <c r="X150" s="132" t="n">
        <v>-11.34837622220924</v>
      </c>
    </row>
    <row r="151">
      <c r="C151" s="112" t="n">
        <v>41122</v>
      </c>
      <c r="D151" s="127" t="n">
        <v>5480.9302</v>
      </c>
      <c r="E151" s="132" t="n">
        <v>-13.21624423582077</v>
      </c>
      <c r="F151" s="127" t="n">
        <v>125.5792436250954</v>
      </c>
      <c r="G151" s="127" t="n">
        <v>-7.060570059316632</v>
      </c>
      <c r="H151" s="132" t="n">
        <v>3.213333333333334</v>
      </c>
      <c r="I151" s="132" t="n">
        <v>-0.3183333333333325</v>
      </c>
      <c r="J151" s="132" t="n">
        <v>5.406666666666667</v>
      </c>
      <c r="K151" s="132" t="n">
        <v>0.07500000000000018</v>
      </c>
      <c r="L151" s="132" t="n">
        <v>5.2</v>
      </c>
      <c r="M151" s="132" t="n">
        <v>0.1000000000000005</v>
      </c>
      <c r="N151" s="132" t="n">
        <v>0.8721812384000049</v>
      </c>
      <c r="O151" s="127" t="n">
        <v>146.0275</v>
      </c>
      <c r="P151" s="132" t="n">
        <v>12.88089126018223</v>
      </c>
      <c r="Q151" s="127" t="n">
        <v>297.487223</v>
      </c>
      <c r="R151" s="132" t="n">
        <v>13.6149751084769</v>
      </c>
      <c r="S151" s="133" t="n">
        <v>2.0372</v>
      </c>
      <c r="T151" s="132" t="n">
        <v>0.7340838482946666</v>
      </c>
      <c r="U151" s="132" t="n">
        <v>7.494</v>
      </c>
      <c r="V151" s="132" t="n">
        <v>-0.4329999999999998</v>
      </c>
      <c r="W151" s="127" t="n">
        <v>113.93</v>
      </c>
      <c r="X151" s="132" t="n">
        <v>9.254038629385152</v>
      </c>
    </row>
    <row r="152">
      <c r="C152" s="112" t="n">
        <v>41153</v>
      </c>
      <c r="D152" s="127" t="n">
        <v>5175.2104</v>
      </c>
      <c r="E152" s="132" t="n">
        <v>-14.78203054811821</v>
      </c>
      <c r="F152" s="127" t="n">
        <v>122.7598032515145</v>
      </c>
      <c r="G152" s="127" t="n">
        <v>-7.879576202188764</v>
      </c>
      <c r="H152" s="132" t="n">
        <v>3.3925</v>
      </c>
      <c r="I152" s="132" t="n">
        <v>0.2675000000000001</v>
      </c>
      <c r="J152" s="132" t="n">
        <v>5.45</v>
      </c>
      <c r="K152" s="132" t="n">
        <v>0.2350000000000003</v>
      </c>
      <c r="L152" s="132" t="n">
        <v>5.24</v>
      </c>
      <c r="M152" s="132" t="n">
        <v>0.25</v>
      </c>
      <c r="N152" s="132" t="n">
        <v>0.9224364103999738</v>
      </c>
      <c r="O152" s="127" t="n">
        <v>148.5061</v>
      </c>
      <c r="P152" s="132" t="n">
        <v>9.223537506505679</v>
      </c>
      <c r="Q152" s="127" t="n">
        <v>301.55648666</v>
      </c>
      <c r="R152" s="132" t="n">
        <v>9.682582217922691</v>
      </c>
      <c r="S152" s="133" t="n">
        <v>2.0306</v>
      </c>
      <c r="T152" s="132" t="n">
        <v>0.4590447114170202</v>
      </c>
      <c r="U152" s="132" t="n">
        <v>7.479</v>
      </c>
      <c r="V152" s="132" t="n">
        <v>-0.08999999999999986</v>
      </c>
      <c r="W152" s="127" t="n">
        <v>111.36</v>
      </c>
      <c r="X152" s="132" t="n">
        <v>16.76665370641376</v>
      </c>
    </row>
    <row r="153">
      <c r="C153" s="112" t="n">
        <v>41183</v>
      </c>
      <c r="D153" s="127" t="n">
        <v>5126.7056</v>
      </c>
      <c r="E153" s="132" t="n">
        <v>-12.01785334614567</v>
      </c>
      <c r="F153" s="127" t="n">
        <v>119.1350981202619</v>
      </c>
      <c r="G153" s="127" t="n">
        <v>-7.914637247307754</v>
      </c>
      <c r="H153" s="132" t="n">
        <v>3.59</v>
      </c>
      <c r="I153" s="132" t="n">
        <v>0.4066666666666676</v>
      </c>
      <c r="J153" s="132" t="n">
        <v>5.406666666666668</v>
      </c>
      <c r="K153" s="132" t="n">
        <v>0.1191666666666684</v>
      </c>
      <c r="L153" s="132" t="n">
        <v>5.28</v>
      </c>
      <c r="M153" s="132" t="n">
        <v>0.3600000000000003</v>
      </c>
      <c r="N153" s="132" t="n">
        <v>1.416561049100018</v>
      </c>
      <c r="O153" s="127" t="n">
        <v>142.7416</v>
      </c>
      <c r="P153" s="132" t="n">
        <v>-0.9950219872311585</v>
      </c>
      <c r="Q153" s="127" t="n">
        <v>289.95101208</v>
      </c>
      <c r="R153" s="132" t="n">
        <v>-1.90652491674445</v>
      </c>
      <c r="S153" s="133" t="n">
        <v>2.0313</v>
      </c>
      <c r="T153" s="132" t="n">
        <v>-0.9115029295133007</v>
      </c>
      <c r="U153" s="132" t="n">
        <v>7.243</v>
      </c>
      <c r="V153" s="132" t="n">
        <v>-0.2119999999999997</v>
      </c>
      <c r="W153" s="127" t="n">
        <v>109.89</v>
      </c>
      <c r="X153" s="132" t="n">
        <v>3.670136685042796</v>
      </c>
    </row>
    <row r="154">
      <c r="C154" s="112" t="n">
        <v>41214</v>
      </c>
      <c r="D154" s="127" t="n">
        <v>5043.7334</v>
      </c>
      <c r="E154" s="132" t="n">
        <v>-8.312826925177642</v>
      </c>
      <c r="F154" s="127" t="n">
        <v>115.9894201571775</v>
      </c>
      <c r="G154" s="127" t="n">
        <v>-7.943800121023736</v>
      </c>
      <c r="H154" s="132" t="n">
        <v>3.4975</v>
      </c>
      <c r="I154" s="132" t="n">
        <v>0.2841666666666662</v>
      </c>
      <c r="J154" s="132" t="n">
        <v>5.4025</v>
      </c>
      <c r="K154" s="132" t="n">
        <v>-0.004166666666667318</v>
      </c>
      <c r="L154" s="132" t="n">
        <v>5.45</v>
      </c>
      <c r="M154" s="132" t="n">
        <v>0.25</v>
      </c>
      <c r="N154" s="132" t="n">
        <v>1.578132788300013</v>
      </c>
      <c r="O154" s="127" t="n">
        <v>142.8028</v>
      </c>
      <c r="P154" s="132" t="n">
        <v>-2.233030257953487</v>
      </c>
      <c r="Q154" s="127" t="n">
        <v>300.94262072</v>
      </c>
      <c r="R154" s="132" t="n">
        <v>1.154834157544287</v>
      </c>
      <c r="S154" s="133" t="n">
        <v>2.1074</v>
      </c>
      <c r="T154" s="132" t="n">
        <v>3.387864415497785</v>
      </c>
      <c r="U154" s="132" t="n">
        <v>7.172</v>
      </c>
      <c r="V154" s="132" t="n">
        <v>-0.3220000000000001</v>
      </c>
      <c r="W154" s="127" t="n">
        <v>110.84</v>
      </c>
      <c r="X154" s="132" t="n">
        <v>-2.749650471524672</v>
      </c>
    </row>
    <row r="155">
      <c r="C155" s="112" t="n">
        <v>41244</v>
      </c>
      <c r="D155" s="127" t="n">
        <v>5211.2515</v>
      </c>
      <c r="E155" s="132" t="n">
        <v>0.694004272184837</v>
      </c>
      <c r="F155" s="127" t="n">
        <v>118.204787248573</v>
      </c>
      <c r="G155" s="127" t="n">
        <v>-3.781102163302567</v>
      </c>
      <c r="H155" s="132" t="n">
        <v>3.3</v>
      </c>
      <c r="I155" s="132" t="n">
        <v>-0.09250000000000025</v>
      </c>
      <c r="J155" s="132" t="n">
        <v>5.47</v>
      </c>
      <c r="K155" s="132" t="n">
        <v>0.01999999999999957</v>
      </c>
      <c r="L155" s="132" t="n">
        <v>5.53</v>
      </c>
      <c r="M155" s="132" t="n">
        <v>0.29</v>
      </c>
      <c r="N155" s="132" t="n">
        <v>1.770343178</v>
      </c>
      <c r="O155" s="127" t="n">
        <v>139.0707</v>
      </c>
      <c r="P155" s="132" t="n">
        <v>-6.564359792592615</v>
      </c>
      <c r="Q155" s="127" t="n">
        <v>284.1909754499999</v>
      </c>
      <c r="R155" s="132" t="n">
        <v>-5.931088978871665</v>
      </c>
      <c r="S155" s="133" t="n">
        <v>2.0435</v>
      </c>
      <c r="T155" s="132" t="n">
        <v>0.6332708137209588</v>
      </c>
      <c r="U155" s="132" t="n">
        <v>7.136</v>
      </c>
      <c r="V155" s="132" t="n">
        <v>-0.343</v>
      </c>
      <c r="W155" s="127" t="n">
        <v>110.8</v>
      </c>
      <c r="X155" s="132" t="n">
        <v>-0.5041422272926153</v>
      </c>
    </row>
    <row r="156">
      <c r="C156" s="112" t="n">
        <v>41275</v>
      </c>
      <c r="D156" s="127" t="n">
        <v>5102.9126</v>
      </c>
      <c r="E156" s="132" t="n">
        <v>-0.4651794903763011</v>
      </c>
      <c r="F156" s="127" t="n">
        <v>115.3444148657942</v>
      </c>
      <c r="G156" s="127" t="n">
        <v>-3.233556306657991</v>
      </c>
      <c r="H156" s="132" t="n">
        <v>3.1325</v>
      </c>
      <c r="I156" s="132" t="n">
        <v>-0.4575000000000005</v>
      </c>
      <c r="J156" s="132" t="n">
        <v>5.665</v>
      </c>
      <c r="K156" s="132" t="n">
        <v>0.258333333333332</v>
      </c>
      <c r="L156" s="132" t="n">
        <v>5.84</v>
      </c>
      <c r="M156" s="132" t="n">
        <v>0.5599999999999996</v>
      </c>
      <c r="N156" s="132" t="n">
        <v>1.992968966000008</v>
      </c>
      <c r="O156" s="127" t="n">
        <v>142.3956</v>
      </c>
      <c r="P156" s="132" t="n">
        <v>-0.2426903047545139</v>
      </c>
      <c r="Q156" s="127" t="n">
        <v>283.12517148</v>
      </c>
      <c r="R156" s="132" t="n">
        <v>-2.382288294321898</v>
      </c>
      <c r="S156" s="133" t="n">
        <v>1.9883</v>
      </c>
      <c r="T156" s="132" t="n">
        <v>-2.139597989567391</v>
      </c>
      <c r="U156" s="132" t="n">
        <v>7.263</v>
      </c>
      <c r="V156" s="132" t="n">
        <v>0.01999999999999957</v>
      </c>
      <c r="W156" s="127" t="n">
        <v>115.55</v>
      </c>
      <c r="X156" s="132" t="n">
        <v>5.022347126155701</v>
      </c>
    </row>
    <row r="157">
      <c r="C157" s="112" t="n">
        <v>41306</v>
      </c>
      <c r="D157" s="127" t="n">
        <v>4978.5234</v>
      </c>
      <c r="E157" s="132" t="n">
        <v>-1.301322078286037</v>
      </c>
      <c r="F157" s="127" t="n">
        <v>114.1762682492048</v>
      </c>
      <c r="G157" s="127" t="n">
        <v>-1.575551445458362</v>
      </c>
      <c r="H157" s="132" t="n">
        <v>3.18</v>
      </c>
      <c r="I157" s="132" t="n">
        <v>-0.3174999999999999</v>
      </c>
      <c r="J157" s="132" t="n">
        <v>5.666666666666666</v>
      </c>
      <c r="K157" s="132" t="n">
        <v>0.2641666666666662</v>
      </c>
      <c r="L157" s="132" t="n">
        <v>6.15</v>
      </c>
      <c r="M157" s="132" t="n">
        <v>0.7000000000000002</v>
      </c>
      <c r="N157" s="132" t="n">
        <v>2.266734763999989</v>
      </c>
      <c r="O157" s="127" t="n">
        <v>136.5666</v>
      </c>
      <c r="P157" s="132" t="n">
        <v>-4.465224983386322</v>
      </c>
      <c r="Q157" s="127" t="n">
        <v>269.77366164</v>
      </c>
      <c r="R157" s="132" t="n">
        <v>-10.93363005252635</v>
      </c>
      <c r="S157" s="133" t="n">
        <v>1.9754</v>
      </c>
      <c r="T157" s="132" t="n">
        <v>-6.468405069140036</v>
      </c>
      <c r="U157" s="132" t="n">
        <v>7.763</v>
      </c>
      <c r="V157" s="132" t="n">
        <v>0.5910000000000002</v>
      </c>
      <c r="W157" s="127" t="n">
        <v>112.2</v>
      </c>
      <c r="X157" s="132" t="n">
        <v>1.219527309381821</v>
      </c>
    </row>
    <row r="158">
      <c r="C158" s="112" t="n">
        <v>41334</v>
      </c>
      <c r="D158" s="127" t="n">
        <v>5034.0122</v>
      </c>
      <c r="E158" s="132" t="n">
        <v>-3.460271782138755</v>
      </c>
      <c r="F158" s="127" t="n">
        <v>114.8330980235194</v>
      </c>
      <c r="G158" s="127" t="n">
        <v>-2.893885276736859</v>
      </c>
      <c r="H158" s="132" t="n">
        <v>3.1325</v>
      </c>
      <c r="I158" s="132" t="n">
        <v>-0.1675</v>
      </c>
      <c r="J158" s="132" t="n">
        <v>5.7025</v>
      </c>
      <c r="K158" s="132" t="n">
        <v>0.2324999999999999</v>
      </c>
      <c r="L158" s="132" t="n">
        <v>6.31</v>
      </c>
      <c r="M158" s="132" t="n">
        <v>0.7799999999999994</v>
      </c>
      <c r="N158" s="132" t="n">
        <v>2.266734764000011</v>
      </c>
      <c r="O158" s="127" t="n">
        <v>137.4762</v>
      </c>
      <c r="P158" s="132" t="n">
        <v>-1.153162569867572</v>
      </c>
      <c r="Q158" s="127" t="n">
        <v>276.84957156</v>
      </c>
      <c r="R158" s="132" t="n">
        <v>-2.617216522149328</v>
      </c>
      <c r="S158" s="133" t="n">
        <v>2.0138</v>
      </c>
      <c r="T158" s="132" t="n">
        <v>-1.464053952281755</v>
      </c>
      <c r="U158" s="132" t="n">
        <v>7.918</v>
      </c>
      <c r="V158" s="132" t="n">
        <v>0.782</v>
      </c>
      <c r="W158" s="127" t="n">
        <v>108.46</v>
      </c>
      <c r="X158" s="132" t="n">
        <v>-2.134533290026892</v>
      </c>
    </row>
    <row r="159">
      <c r="C159" s="112" t="n">
        <v>41365</v>
      </c>
      <c r="D159" s="127" t="n">
        <v>5134.0415</v>
      </c>
      <c r="E159" s="132" t="n">
        <v>0.6081691027002804</v>
      </c>
      <c r="F159" s="127" t="n">
        <v>116.5552524362757</v>
      </c>
      <c r="G159" s="127" t="n">
        <v>1.044286598927171</v>
      </c>
      <c r="H159" s="132" t="n">
        <v>3.166666666666667</v>
      </c>
      <c r="I159" s="132" t="n">
        <v>0.03416666666666712</v>
      </c>
      <c r="J159" s="132" t="n">
        <v>5.72</v>
      </c>
      <c r="K159" s="132" t="n">
        <v>0.05499999999999972</v>
      </c>
      <c r="L159" s="132" t="n">
        <v>6.59</v>
      </c>
      <c r="M159" s="132" t="n">
        <v>0.75</v>
      </c>
      <c r="N159" s="132" t="n">
        <v>1.942046251999985</v>
      </c>
      <c r="O159" s="127" t="n">
        <v>133.6316</v>
      </c>
      <c r="P159" s="132" t="n">
        <v>-6.352233954352577</v>
      </c>
      <c r="Q159" s="127" t="n">
        <v>267.49037372</v>
      </c>
      <c r="R159" s="132" t="n">
        <v>-5.680552231090099</v>
      </c>
      <c r="S159" s="133" t="n">
        <v>2.0017</v>
      </c>
      <c r="T159" s="132" t="n">
        <v>0.6716817232624794</v>
      </c>
      <c r="U159" s="132" t="n">
        <v>8.010999999999999</v>
      </c>
      <c r="V159" s="132" t="n">
        <v>0.7479999999999993</v>
      </c>
      <c r="W159" s="127" t="n">
        <v>101.53</v>
      </c>
      <c r="X159" s="132" t="n">
        <v>-12.93490154072584</v>
      </c>
    </row>
    <row r="160">
      <c r="C160" s="112" t="n">
        <v>41395</v>
      </c>
      <c r="D160" s="127" t="n">
        <v>4714.5645</v>
      </c>
      <c r="E160" s="132" t="n">
        <v>-5.447679401954531</v>
      </c>
      <c r="F160" s="127" t="n">
        <v>116.6395839542989</v>
      </c>
      <c r="G160" s="127" t="n">
        <v>2.134523438195119</v>
      </c>
      <c r="H160" s="132" t="n">
        <v>3.0325</v>
      </c>
      <c r="I160" s="132" t="n">
        <v>-0.1475000000000004</v>
      </c>
      <c r="J160" s="132" t="n">
        <v>5.8</v>
      </c>
      <c r="K160" s="132" t="n">
        <v>0.1333333333333337</v>
      </c>
      <c r="L160" s="132" t="n">
        <v>6.49</v>
      </c>
      <c r="M160" s="132" t="n">
        <v>0.3399999999999999</v>
      </c>
      <c r="N160" s="132" t="n">
        <v>1.628720510000004</v>
      </c>
      <c r="O160" s="127" t="n">
        <v>130.6295</v>
      </c>
      <c r="P160" s="132" t="n">
        <v>-4.444733583606504</v>
      </c>
      <c r="Q160" s="127" t="n">
        <v>278.48903105</v>
      </c>
      <c r="R160" s="132" t="n">
        <v>3.179535556040419</v>
      </c>
      <c r="S160" s="133" t="n">
        <v>2.1319</v>
      </c>
      <c r="T160" s="132" t="n">
        <v>7.624269139646936</v>
      </c>
      <c r="U160" s="132" t="n">
        <v>8.664999999999999</v>
      </c>
      <c r="V160" s="132" t="n">
        <v>0.9019999999999992</v>
      </c>
      <c r="W160" s="127" t="n">
        <v>100.43</v>
      </c>
      <c r="X160" s="132" t="n">
        <v>-11.08220256833483</v>
      </c>
    </row>
    <row r="161">
      <c r="C161" s="112" t="n">
        <v>41426</v>
      </c>
      <c r="D161" s="127" t="n">
        <v>4629.1509</v>
      </c>
      <c r="E161" s="132" t="n">
        <v>-8.38438598790067</v>
      </c>
      <c r="F161" s="127" t="n">
        <v>116.3892257286514</v>
      </c>
      <c r="G161" s="127" t="n">
        <v>1.346021590309933</v>
      </c>
      <c r="H161" s="132" t="n">
        <v>2.7</v>
      </c>
      <c r="I161" s="132" t="n">
        <v>-0.4324999999999997</v>
      </c>
      <c r="J161" s="132" t="n">
        <v>5.875</v>
      </c>
      <c r="K161" s="132" t="n">
        <v>0.1725000000000003</v>
      </c>
      <c r="L161" s="132" t="n">
        <v>6.5</v>
      </c>
      <c r="M161" s="132" t="n">
        <v>0.1900000000000004</v>
      </c>
      <c r="N161" s="132" t="n">
        <v>1.396368564500006</v>
      </c>
      <c r="O161" s="127" t="n">
        <v>124.4663</v>
      </c>
      <c r="P161" s="132" t="n">
        <v>-9.941581468291888</v>
      </c>
      <c r="Q161" s="127" t="n">
        <v>275.76753428</v>
      </c>
      <c r="R161" s="132" t="n">
        <v>-0.391605200548438</v>
      </c>
      <c r="S161" s="133" t="n">
        <v>2.2156</v>
      </c>
      <c r="T161" s="132" t="n">
        <v>9.549976267743441</v>
      </c>
      <c r="U161" s="132" t="n">
        <v>9.391999999999999</v>
      </c>
      <c r="V161" s="132" t="n">
        <v>1.473999999999999</v>
      </c>
      <c r="W161" s="127" t="n">
        <v>102.49</v>
      </c>
      <c r="X161" s="132" t="n">
        <v>-5.661620856944296</v>
      </c>
    </row>
    <row r="162">
      <c r="C162" s="112" t="n">
        <v>41456</v>
      </c>
      <c r="D162" s="127" t="n">
        <v>4365.3354</v>
      </c>
      <c r="E162" s="132" t="n">
        <v>-16.21981409544625</v>
      </c>
      <c r="F162" s="127" t="n">
        <v>113.9502589823455</v>
      </c>
      <c r="G162" s="127" t="n">
        <v>-2.260340195373742</v>
      </c>
      <c r="H162" s="132" t="n">
        <v>2.45</v>
      </c>
      <c r="I162" s="132" t="n">
        <v>-0.7166666666666668</v>
      </c>
      <c r="J162" s="132" t="n">
        <v>5.808333333333333</v>
      </c>
      <c r="K162" s="132" t="n">
        <v>0.08833333333333293</v>
      </c>
      <c r="L162" s="132" t="n">
        <v>6.7</v>
      </c>
      <c r="M162" s="132" t="n">
        <v>0.1100000000000003</v>
      </c>
      <c r="N162" s="132" t="n">
        <v>1.184432291000004</v>
      </c>
      <c r="O162" s="127" t="n">
        <v>126.1571</v>
      </c>
      <c r="P162" s="132" t="n">
        <v>-5.755880437355632</v>
      </c>
      <c r="Q162" s="127" t="n">
        <v>288.9376061299999</v>
      </c>
      <c r="R162" s="132" t="n">
        <v>7.712718946455813</v>
      </c>
      <c r="S162" s="133" t="n">
        <v>2.2903</v>
      </c>
      <c r="T162" s="132" t="n">
        <v>13.46859938381144</v>
      </c>
      <c r="U162" s="132" t="n">
        <v>9.288</v>
      </c>
      <c r="V162" s="132" t="n">
        <v>1.277000000000001</v>
      </c>
      <c r="W162" s="127" t="n">
        <v>107.89</v>
      </c>
      <c r="X162" s="132" t="n">
        <v>6.075786825011734</v>
      </c>
    </row>
    <row r="163">
      <c r="C163" s="112" t="n">
        <v>41487</v>
      </c>
      <c r="D163" s="127" t="n">
        <v>4350.5103</v>
      </c>
      <c r="E163" s="132" t="n">
        <v>-8.036339846121772</v>
      </c>
      <c r="F163" s="127" t="n">
        <v>114.6797539639088</v>
      </c>
      <c r="G163" s="127" t="n">
        <v>-1.694520573393256</v>
      </c>
      <c r="H163" s="132" t="n">
        <v>2.306666666666667</v>
      </c>
      <c r="I163" s="132" t="n">
        <v>-0.7258333333333331</v>
      </c>
      <c r="J163" s="132" t="n">
        <v>5.836666666666667</v>
      </c>
      <c r="K163" s="132" t="n">
        <v>0.03666666666666707</v>
      </c>
      <c r="L163" s="132" t="n">
        <v>6.27</v>
      </c>
      <c r="M163" s="132" t="n">
        <v>-0.2200000000000006</v>
      </c>
      <c r="N163" s="132" t="n">
        <v>0.6611512885999815</v>
      </c>
      <c r="O163" s="127" t="n">
        <v>130.4445</v>
      </c>
      <c r="P163" s="132" t="n">
        <v>-0.1417222940351736</v>
      </c>
      <c r="Q163" s="127" t="n">
        <v>309.47957625</v>
      </c>
      <c r="R163" s="132" t="n">
        <v>10.5513427673235</v>
      </c>
      <c r="S163" s="133" t="n">
        <v>2.3725</v>
      </c>
      <c r="T163" s="132" t="n">
        <v>10.69306506135866</v>
      </c>
      <c r="U163" s="132" t="n">
        <v>10.194</v>
      </c>
      <c r="V163" s="132" t="n">
        <v>1.529000000000002</v>
      </c>
      <c r="W163" s="127" t="n">
        <v>115.97</v>
      </c>
      <c r="X163" s="132" t="n">
        <v>14.38705695633642</v>
      </c>
    </row>
    <row r="164">
      <c r="C164" s="112" t="n">
        <v>41518</v>
      </c>
      <c r="D164" s="127" t="n">
        <v>2507.7051</v>
      </c>
      <c r="E164" s="132" t="n">
        <v>-61.30054282261364</v>
      </c>
      <c r="F164" s="127" t="n">
        <v>113.8590461037023</v>
      </c>
      <c r="G164" s="127" t="n">
        <v>-2.197872285660498</v>
      </c>
      <c r="H164" s="132" t="n">
        <v>2.24</v>
      </c>
      <c r="I164" s="132" t="n">
        <v>-0.46</v>
      </c>
      <c r="J164" s="132" t="n">
        <v>5.9325</v>
      </c>
      <c r="K164" s="132" t="n">
        <v>0.05750000000000011</v>
      </c>
      <c r="L164" s="132" t="n">
        <v>6.09</v>
      </c>
      <c r="M164" s="132" t="n">
        <v>-0.4100000000000001</v>
      </c>
      <c r="N164" s="132" t="n">
        <v>0.5307741871999783</v>
      </c>
      <c r="O164" s="127" t="n">
        <v>127.1103</v>
      </c>
      <c r="P164" s="132" t="n">
        <v>2.10202169316273</v>
      </c>
      <c r="Q164" s="127" t="n">
        <v>283.455969</v>
      </c>
      <c r="R164" s="132" t="n">
        <v>2.749855522684294</v>
      </c>
      <c r="S164" s="133" t="n">
        <v>2.23</v>
      </c>
      <c r="T164" s="132" t="n">
        <v>0.6478338295215683</v>
      </c>
      <c r="U164" s="132" t="n">
        <v>10.07</v>
      </c>
      <c r="V164" s="132" t="n">
        <v>0.6780000000000008</v>
      </c>
      <c r="W164" s="127" t="n">
        <v>107.85</v>
      </c>
      <c r="X164" s="132" t="n">
        <v>5.097613999169389</v>
      </c>
    </row>
    <row r="165">
      <c r="C165" s="112" t="n">
        <v>41548</v>
      </c>
      <c r="D165" s="127" t="n">
        <v>2196.1936</v>
      </c>
      <c r="E165" s="132" t="n">
        <v>-68.69693447747795</v>
      </c>
      <c r="F165" s="127" t="n">
        <v>110.7371623124587</v>
      </c>
      <c r="G165" s="127" t="n">
        <v>-2.860254216901947</v>
      </c>
      <c r="H165" s="132" t="n">
        <v>2.2</v>
      </c>
      <c r="I165" s="132" t="n">
        <v>-0.25</v>
      </c>
      <c r="J165" s="132" t="n">
        <v>5.905</v>
      </c>
      <c r="K165" s="132" t="n">
        <v>0.09666666666666757</v>
      </c>
      <c r="L165" s="132" t="n">
        <v>5.86</v>
      </c>
      <c r="M165" s="132" t="n">
        <v>-0.8399999999999999</v>
      </c>
      <c r="N165" s="132" t="n">
        <v>0.6210172520000112</v>
      </c>
      <c r="O165" s="127" t="n">
        <v>125.2281</v>
      </c>
      <c r="P165" s="132" t="n">
        <v>-0.7391081329531464</v>
      </c>
      <c r="Q165" s="127" t="n">
        <v>275.82741306</v>
      </c>
      <c r="R165" s="132" t="n">
        <v>-4.643541393346254</v>
      </c>
      <c r="S165" s="133" t="n">
        <v>2.2026</v>
      </c>
      <c r="T165" s="132" t="n">
        <v>-3.904433260393122</v>
      </c>
      <c r="U165" s="132" t="n">
        <v>10.503</v>
      </c>
      <c r="V165" s="132" t="n">
        <v>1.215</v>
      </c>
      <c r="W165" s="127" t="n">
        <v>107.53</v>
      </c>
      <c r="X165" s="132" t="n">
        <v>-0.3342311160813773</v>
      </c>
    </row>
    <row r="166">
      <c r="C166" s="112" t="n">
        <v>41579</v>
      </c>
      <c r="D166" s="127" t="n">
        <v>4932.4839</v>
      </c>
      <c r="E166" s="132" t="n">
        <v>12.55495462793305</v>
      </c>
      <c r="F166" s="127" t="n">
        <v>115.0450667581135</v>
      </c>
      <c r="G166" s="127" t="n">
        <v>0.3180440850848651</v>
      </c>
      <c r="H166" s="132" t="n">
        <v>2.1425</v>
      </c>
      <c r="I166" s="132" t="n">
        <v>-0.164166666666667</v>
      </c>
      <c r="J166" s="132" t="n">
        <v>5.910833333333334</v>
      </c>
      <c r="K166" s="132" t="n">
        <v>0.07416666666666671</v>
      </c>
      <c r="L166" s="132" t="n">
        <v>5.84</v>
      </c>
      <c r="M166" s="132" t="n">
        <v>-0.4299999999999997</v>
      </c>
      <c r="N166" s="132" t="n">
        <v>1.164207788000016</v>
      </c>
      <c r="O166" s="127" t="n">
        <v>124.2192</v>
      </c>
      <c r="P166" s="132" t="n">
        <v>-4.890010202245655</v>
      </c>
      <c r="Q166" s="127" t="n">
        <v>288.79721808</v>
      </c>
      <c r="R166" s="132" t="n">
        <v>-6.916732616275996</v>
      </c>
      <c r="S166" s="133" t="n">
        <v>2.3249</v>
      </c>
      <c r="T166" s="132" t="n">
        <v>-2.026722414030337</v>
      </c>
      <c r="U166" s="132" t="n">
        <v>10.603</v>
      </c>
      <c r="V166" s="132" t="n">
        <v>0.4089999999999989</v>
      </c>
      <c r="W166" s="127" t="n">
        <v>111.07</v>
      </c>
      <c r="X166" s="132" t="n">
        <v>-4.317090378958327</v>
      </c>
    </row>
    <row r="167">
      <c r="C167" s="112" t="n">
        <v>41609</v>
      </c>
      <c r="D167" s="127" t="n">
        <v>5011.5361</v>
      </c>
      <c r="E167" s="132" t="n">
        <v>69.23744427638375</v>
      </c>
      <c r="F167" s="127" t="n">
        <v>117.2007849234977</v>
      </c>
      <c r="G167" s="127" t="n">
        <v>2.892732873202201</v>
      </c>
      <c r="H167" s="132" t="n">
        <v>2</v>
      </c>
      <c r="I167" s="132" t="n">
        <v>-0.2400000000000002</v>
      </c>
      <c r="J167" s="132" t="n">
        <v>5.97</v>
      </c>
      <c r="K167" s="132" t="n">
        <v>0.03749999999999964</v>
      </c>
      <c r="L167" s="132" t="n">
        <v>5.77</v>
      </c>
      <c r="M167" s="132" t="n">
        <v>-0.3200000000000003</v>
      </c>
      <c r="N167" s="132" t="n">
        <v>1.466973773000024</v>
      </c>
      <c r="O167" s="127" t="n">
        <v>125.7515</v>
      </c>
      <c r="P167" s="132" t="n">
        <v>-1.074747612615445</v>
      </c>
      <c r="Q167" s="127" t="n">
        <v>294.5854639</v>
      </c>
      <c r="R167" s="132" t="n">
        <v>3.851236205545535</v>
      </c>
      <c r="S167" s="133" t="n">
        <v>2.3426</v>
      </c>
      <c r="T167" s="132" t="n">
        <v>4.925983818160986</v>
      </c>
      <c r="U167" s="132" t="n">
        <v>10.574</v>
      </c>
      <c r="V167" s="132" t="n">
        <v>0.5039999999999996</v>
      </c>
      <c r="W167" s="127" t="n">
        <v>109.95</v>
      </c>
      <c r="X167" s="132" t="n">
        <v>1.92843441656049</v>
      </c>
    </row>
    <row r="168">
      <c r="C168" s="112" t="n">
        <v>41640</v>
      </c>
      <c r="D168" s="127" t="n">
        <v>4995.4746</v>
      </c>
      <c r="E168" s="132" t="n">
        <v>82.18067425490581</v>
      </c>
      <c r="F168" s="127" t="n">
        <v>116.7002937738926</v>
      </c>
      <c r="G168" s="127" t="n">
        <v>5.24495703401561</v>
      </c>
      <c r="H168" s="132" t="n">
        <v>1.934166666666667</v>
      </c>
      <c r="I168" s="132" t="n">
        <v>-0.2658333333333336</v>
      </c>
      <c r="J168" s="132" t="n">
        <v>5.975000000000001</v>
      </c>
      <c r="K168" s="132" t="n">
        <v>0.07000000000000028</v>
      </c>
      <c r="L168" s="132" t="n">
        <v>5.91</v>
      </c>
      <c r="M168" s="132" t="n">
        <v>0.04999999999999982</v>
      </c>
      <c r="N168" s="132" t="n">
        <v>2.043318317600007</v>
      </c>
      <c r="O168" s="127" t="n">
        <v>126.1206</v>
      </c>
      <c r="P168" s="132" t="n">
        <v>0.7101717661996165</v>
      </c>
      <c r="Q168" s="127" t="n">
        <v>306.00641178</v>
      </c>
      <c r="R168" s="132" t="n">
        <v>10.38307001360866</v>
      </c>
      <c r="S168" s="133" t="n">
        <v>2.4263</v>
      </c>
      <c r="T168" s="132" t="n">
        <v>9.672898247409043</v>
      </c>
      <c r="U168" s="132" t="n">
        <v>11.771</v>
      </c>
      <c r="V168" s="132" t="n">
        <v>1.268000000000001</v>
      </c>
      <c r="W168" s="127" t="n">
        <v>108.16</v>
      </c>
      <c r="X168" s="132" t="n">
        <v>0.5841733892219048</v>
      </c>
    </row>
    <row r="169">
      <c r="C169" s="112" t="n">
        <v>41671</v>
      </c>
      <c r="D169" s="127" t="n">
        <v>5016.522</v>
      </c>
      <c r="E169" s="132" t="n">
        <v>1.689417005724183</v>
      </c>
      <c r="F169" s="127" t="n">
        <v>116.3707640136379</v>
      </c>
      <c r="G169" s="127" t="n">
        <v>1.145739903199305</v>
      </c>
      <c r="H169" s="132" t="n">
        <v>1.75</v>
      </c>
      <c r="I169" s="132" t="n">
        <v>-0.3924999999999996</v>
      </c>
      <c r="J169" s="132" t="n">
        <v>5.95</v>
      </c>
      <c r="K169" s="132" t="n">
        <v>0.03916666666666657</v>
      </c>
      <c r="L169" s="132" t="n">
        <v>5.59</v>
      </c>
      <c r="M169" s="132" t="n">
        <v>-0.25</v>
      </c>
      <c r="N169" s="132" t="n">
        <v>2.023025324000027</v>
      </c>
      <c r="O169" s="127" t="n">
        <v>133.9783</v>
      </c>
      <c r="P169" s="132" t="n">
        <v>7.563009961500454</v>
      </c>
      <c r="Q169" s="127" t="n">
        <v>312.62496522</v>
      </c>
      <c r="R169" s="132" t="n">
        <v>7.927950366098147</v>
      </c>
      <c r="S169" s="133" t="n">
        <v>2.3334</v>
      </c>
      <c r="T169" s="132" t="n">
        <v>0.3649404045977215</v>
      </c>
      <c r="U169" s="132" t="n">
        <v>11.218</v>
      </c>
      <c r="V169" s="132" t="n">
        <v>0.6150000000000002</v>
      </c>
      <c r="W169" s="127" t="n">
        <v>108.98</v>
      </c>
      <c r="X169" s="132" t="n">
        <v>-1.899625402407624</v>
      </c>
    </row>
    <row r="170">
      <c r="C170" s="112" t="n">
        <v>41699</v>
      </c>
      <c r="D170" s="127" t="n">
        <v>5086.041</v>
      </c>
      <c r="E170" s="132" t="n">
        <v>1.475725342335827</v>
      </c>
      <c r="F170" s="127" t="n">
        <v>118.1260243592702</v>
      </c>
      <c r="G170" s="127" t="n">
        <v>0.7863483180862375</v>
      </c>
      <c r="H170" s="132" t="n">
        <v>1.7375</v>
      </c>
      <c r="I170" s="132" t="n">
        <v>-0.2625000000000002</v>
      </c>
      <c r="J170" s="132" t="n">
        <v>6.1825</v>
      </c>
      <c r="K170" s="132" t="n">
        <v>0.2125000000000004</v>
      </c>
      <c r="L170" s="132" t="n">
        <v>5.68</v>
      </c>
      <c r="M170" s="132" t="n">
        <v>-0.08999999999999986</v>
      </c>
      <c r="N170" s="132" t="n">
        <v>2.175237914000006</v>
      </c>
      <c r="O170" s="127" t="n">
        <v>134.5234</v>
      </c>
      <c r="P170" s="132" t="n">
        <v>6.74304242665681</v>
      </c>
      <c r="Q170" s="127" t="n">
        <v>304.4264542</v>
      </c>
      <c r="R170" s="132" t="n">
        <v>3.286036726433138</v>
      </c>
      <c r="S170" s="133" t="n">
        <v>2.263</v>
      </c>
      <c r="T170" s="132" t="n">
        <v>-3.457005700223697</v>
      </c>
      <c r="U170" s="132" t="n">
        <v>11.376</v>
      </c>
      <c r="V170" s="132" t="n">
        <v>0.8019999999999996</v>
      </c>
      <c r="W170" s="127" t="n">
        <v>105.95</v>
      </c>
      <c r="X170" s="132" t="n">
        <v>-3.705843228646213</v>
      </c>
    </row>
    <row r="171">
      <c r="C171" s="112" t="n">
        <v>41730</v>
      </c>
      <c r="D171" s="127" t="n">
        <v>5142.7881</v>
      </c>
      <c r="E171" s="132" t="n">
        <v>2.906294170878935</v>
      </c>
      <c r="F171" s="127" t="n">
        <v>117.9600860485596</v>
      </c>
      <c r="G171" s="127" t="n">
        <v>1.073725678713216</v>
      </c>
      <c r="H171" s="132" t="n">
        <v>1.753333333333333</v>
      </c>
      <c r="I171" s="132" t="n">
        <v>-0.1808333333333332</v>
      </c>
      <c r="J171" s="132" t="n">
        <v>6.333333333333333</v>
      </c>
      <c r="K171" s="132" t="n">
        <v>0.3583333333333325</v>
      </c>
      <c r="L171" s="132" t="n">
        <v>6.15</v>
      </c>
      <c r="M171" s="132" t="n">
        <v>0.2400000000000002</v>
      </c>
      <c r="N171" s="132" t="n">
        <v>2.175237914000006</v>
      </c>
      <c r="O171" s="127" t="n">
        <v>137.7964</v>
      </c>
      <c r="P171" s="132" t="n">
        <v>8.853864138024829</v>
      </c>
      <c r="Q171" s="127" t="n">
        <v>308.1127504</v>
      </c>
      <c r="R171" s="132" t="n">
        <v>0.6859733450304161</v>
      </c>
      <c r="S171" s="133" t="n">
        <v>2.236</v>
      </c>
      <c r="T171" s="132" t="n">
        <v>-8.16789079299441</v>
      </c>
      <c r="U171" s="132" t="n">
        <v>11.333</v>
      </c>
      <c r="V171" s="132" t="n">
        <v>-0.4380000000000006</v>
      </c>
      <c r="W171" s="127" t="n">
        <v>108.63</v>
      </c>
      <c r="X171" s="132" t="n">
        <v>0.4336000151005519</v>
      </c>
    </row>
    <row r="172">
      <c r="C172" s="112" t="n">
        <v>41760</v>
      </c>
      <c r="D172" s="127" t="n">
        <v>5065.8779</v>
      </c>
      <c r="E172" s="132" t="n">
        <v>0.9790584531849401</v>
      </c>
      <c r="F172" s="127" t="n">
        <v>116.2441405048205</v>
      </c>
      <c r="G172" s="127" t="n">
        <v>-0.1088696544070578</v>
      </c>
      <c r="H172" s="132" t="n">
        <v>1.645833333333333</v>
      </c>
      <c r="I172" s="132" t="n">
        <v>-0.1041666666666667</v>
      </c>
      <c r="J172" s="132" t="n">
        <v>6.278333333333333</v>
      </c>
      <c r="K172" s="132" t="n">
        <v>0.3283333333333331</v>
      </c>
      <c r="L172" s="132" t="n">
        <v>6.28</v>
      </c>
      <c r="M172" s="132" t="n">
        <v>0.6900000000000004</v>
      </c>
      <c r="N172" s="132" t="n">
        <v>2.297177531599992</v>
      </c>
      <c r="O172" s="127" t="n">
        <v>133.8324</v>
      </c>
      <c r="P172" s="132" t="n">
        <v>-0.1089575692338278</v>
      </c>
      <c r="Q172" s="127" t="n">
        <v>299.6507436</v>
      </c>
      <c r="R172" s="132" t="n">
        <v>-4.238666948334017</v>
      </c>
      <c r="S172" s="133" t="n">
        <v>2.239</v>
      </c>
      <c r="T172" s="132" t="n">
        <v>-4.129709379100183</v>
      </c>
      <c r="U172" s="132" t="n">
        <v>11.104</v>
      </c>
      <c r="V172" s="132" t="n">
        <v>-0.1140000000000008</v>
      </c>
      <c r="W172" s="127" t="n">
        <v>109.21</v>
      </c>
      <c r="X172" s="132" t="n">
        <v>0.2108255054684576</v>
      </c>
    </row>
    <row r="173">
      <c r="C173" s="112" t="n">
        <v>41791</v>
      </c>
      <c r="D173" s="127" t="n">
        <v>5053.9609</v>
      </c>
      <c r="E173" s="132" t="n">
        <v>-0.6327455822606776</v>
      </c>
      <c r="F173" s="127" t="n">
        <v>115.3850719278158</v>
      </c>
      <c r="G173" s="127" t="n">
        <v>-2.347707127214279</v>
      </c>
      <c r="H173" s="132" t="n">
        <v>1.285</v>
      </c>
      <c r="I173" s="132" t="n">
        <v>-0.4524999999999997</v>
      </c>
      <c r="J173" s="132" t="n">
        <v>6.275</v>
      </c>
      <c r="K173" s="132" t="n">
        <v>0.09250000000000025</v>
      </c>
      <c r="L173" s="132" t="n">
        <v>6.37</v>
      </c>
      <c r="M173" s="132" t="n">
        <v>0.6900000000000004</v>
      </c>
      <c r="N173" s="132" t="n">
        <v>2.063506354400002</v>
      </c>
      <c r="O173" s="127" t="n">
        <v>134.6268</v>
      </c>
      <c r="P173" s="132" t="n">
        <v>0.07683442560091633</v>
      </c>
      <c r="Q173" s="127" t="n">
        <v>296.515527</v>
      </c>
      <c r="R173" s="132" t="n">
        <v>-2.632994356719348</v>
      </c>
      <c r="S173" s="133" t="n">
        <v>2.2025</v>
      </c>
      <c r="T173" s="132" t="n">
        <v>-2.709828782320271</v>
      </c>
      <c r="U173" s="132" t="n">
        <v>10.905</v>
      </c>
      <c r="V173" s="132" t="n">
        <v>-0.4710000000000001</v>
      </c>
      <c r="W173" s="127" t="n">
        <v>111.03</v>
      </c>
      <c r="X173" s="132" t="n">
        <v>4.683315035186624</v>
      </c>
    </row>
    <row r="174">
      <c r="C174" s="112" t="n">
        <v>41821</v>
      </c>
      <c r="D174" s="127" t="n">
        <v>5035.8843</v>
      </c>
      <c r="E174" s="132" t="n">
        <v>-2.100622297550197</v>
      </c>
      <c r="F174" s="127" t="n">
        <v>114.4262014988022</v>
      </c>
      <c r="G174" s="127" t="n">
        <v>-3.041622661733459</v>
      </c>
      <c r="H174" s="132" t="n">
        <v>1.233333333333333</v>
      </c>
      <c r="I174" s="132" t="n">
        <v>-0.5200000000000002</v>
      </c>
      <c r="J174" s="132" t="n">
        <v>6.3025</v>
      </c>
      <c r="K174" s="132" t="n">
        <v>-0.03083333333333282</v>
      </c>
      <c r="L174" s="132" t="n">
        <v>6.52</v>
      </c>
      <c r="M174" s="132" t="n">
        <v>0.3699999999999992</v>
      </c>
      <c r="N174" s="132" t="n">
        <v>1.537614327999992</v>
      </c>
      <c r="O174" s="127" t="n">
        <v>127.9143</v>
      </c>
      <c r="P174" s="132" t="n">
        <v>-7.441672498624609</v>
      </c>
      <c r="Q174" s="127" t="n">
        <v>290.03288382</v>
      </c>
      <c r="R174" s="132" t="n">
        <v>-6.047147967773771</v>
      </c>
      <c r="S174" s="133" t="n">
        <v>2.2674</v>
      </c>
      <c r="T174" s="132" t="n">
        <v>1.394524530850842</v>
      </c>
      <c r="U174" s="132" t="n">
        <v>10.973</v>
      </c>
      <c r="V174" s="132" t="n">
        <v>-0.3599999999999994</v>
      </c>
      <c r="W174" s="127" t="n">
        <v>104.94</v>
      </c>
      <c r="X174" s="132" t="n">
        <v>-3.455885418709383</v>
      </c>
    </row>
    <row r="175">
      <c r="C175" s="112" t="n">
        <v>41852</v>
      </c>
      <c r="D175" s="127" t="n">
        <v>5066.5815</v>
      </c>
      <c r="E175" s="132" t="n">
        <v>0.01388803987965676</v>
      </c>
      <c r="F175" s="127" t="n">
        <v>115.3913479712348</v>
      </c>
      <c r="G175" s="127" t="n">
        <v>-0.7363261926961322</v>
      </c>
      <c r="H175" s="132" t="n">
        <v>0.9066666666666668</v>
      </c>
      <c r="I175" s="132" t="n">
        <v>-0.7391666666666664</v>
      </c>
      <c r="J175" s="132" t="n">
        <v>6.283333333333334</v>
      </c>
      <c r="K175" s="132" t="n">
        <v>0.005000000000000782</v>
      </c>
      <c r="L175" s="132" t="n">
        <v>6.5</v>
      </c>
      <c r="M175" s="132" t="n">
        <v>0.2199999999999998</v>
      </c>
      <c r="N175" s="132" t="n">
        <v>0.8719261840000048</v>
      </c>
      <c r="O175" s="127" t="n">
        <v>126.5745</v>
      </c>
      <c r="P175" s="132" t="n">
        <v>-5.575720322528696</v>
      </c>
      <c r="Q175" s="127" t="n">
        <v>283.4762502</v>
      </c>
      <c r="R175" s="132" t="n">
        <v>-5.548926234930357</v>
      </c>
      <c r="S175" s="133" t="n">
        <v>2.2396</v>
      </c>
      <c r="T175" s="132" t="n">
        <v>0.02679408759834373</v>
      </c>
      <c r="U175" s="132" t="n">
        <v>11.091</v>
      </c>
      <c r="V175" s="132" t="n">
        <v>-0.0129999999999999</v>
      </c>
      <c r="W175" s="127" t="n">
        <v>101.12</v>
      </c>
      <c r="X175" s="132" t="n">
        <v>-7.696470381108968</v>
      </c>
    </row>
    <row r="176">
      <c r="C176" s="112" t="n">
        <v>41883</v>
      </c>
      <c r="D176" s="127" t="n">
        <v>5012.8174</v>
      </c>
      <c r="E176" s="132" t="n">
        <v>-0.817416016598267</v>
      </c>
      <c r="F176" s="127" t="n">
        <v>115.583781832598</v>
      </c>
      <c r="G176" s="127" t="n">
        <v>0.1720664501498544</v>
      </c>
      <c r="H176" s="132" t="n">
        <v>0.8149999999999999</v>
      </c>
      <c r="I176" s="132" t="n">
        <v>-0.4700000000000002</v>
      </c>
      <c r="J176" s="132" t="n">
        <v>6.302499999999999</v>
      </c>
      <c r="K176" s="132" t="n">
        <v>0.02749999999999897</v>
      </c>
      <c r="L176" s="132" t="n">
        <v>6.51</v>
      </c>
      <c r="M176" s="132" t="n">
        <v>0.1399999999999997</v>
      </c>
      <c r="N176" s="132" t="n">
        <v>0.6610650999999912</v>
      </c>
      <c r="O176" s="127" t="n">
        <v>118.6922</v>
      </c>
      <c r="P176" s="132" t="n">
        <v>-12.59729182828898</v>
      </c>
      <c r="Q176" s="127" t="n">
        <v>290.9145822</v>
      </c>
      <c r="R176" s="132" t="n">
        <v>-1.90698925651119</v>
      </c>
      <c r="S176" s="133" t="n">
        <v>2.451</v>
      </c>
      <c r="T176" s="132" t="n">
        <v>10.6903025717778</v>
      </c>
      <c r="U176" s="132" t="n">
        <v>11.768</v>
      </c>
      <c r="V176" s="132" t="n">
        <v>0.8630000000000013</v>
      </c>
      <c r="W176" s="127" t="n">
        <v>94.67</v>
      </c>
      <c r="X176" s="132" t="n">
        <v>-15.94032749253744</v>
      </c>
    </row>
    <row r="177">
      <c r="C177" s="112" t="n">
        <v>41913</v>
      </c>
      <c r="D177" s="127" t="n">
        <v>4877.8447</v>
      </c>
      <c r="E177" s="132" t="n">
        <v>-3.188567886662045</v>
      </c>
      <c r="F177" s="127" t="n">
        <v>111.1487793214862</v>
      </c>
      <c r="G177" s="127" t="n">
        <v>-2.906042871476747</v>
      </c>
      <c r="H177" s="132" t="n">
        <v>0.8733333333333334</v>
      </c>
      <c r="I177" s="132" t="n">
        <v>-0.3599999999999998</v>
      </c>
      <c r="J177" s="132" t="n">
        <v>6.341666666666668</v>
      </c>
      <c r="K177" s="132" t="n">
        <v>0.03916666666666746</v>
      </c>
      <c r="L177" s="132" t="n">
        <v>6.75</v>
      </c>
      <c r="M177" s="132" t="n">
        <v>0.2300000000000004</v>
      </c>
      <c r="N177" s="132" t="n">
        <v>0.8315071424999987</v>
      </c>
      <c r="O177" s="127" t="n">
        <v>117.7365</v>
      </c>
      <c r="P177" s="132" t="n">
        <v>-8.291143179125401</v>
      </c>
      <c r="Q177" s="127" t="n">
        <v>287.7715533</v>
      </c>
      <c r="R177" s="132" t="n">
        <v>-0.782736137085223</v>
      </c>
      <c r="S177" s="133" t="n">
        <v>2.4442</v>
      </c>
      <c r="T177" s="132" t="n">
        <v>7.50840704204019</v>
      </c>
      <c r="U177" s="132" t="n">
        <v>12.171</v>
      </c>
      <c r="V177" s="132" t="n">
        <v>1.197999999999999</v>
      </c>
      <c r="W177" s="127" t="n">
        <v>84.17</v>
      </c>
      <c r="X177" s="132" t="n">
        <v>-22.05501950350809</v>
      </c>
    </row>
    <row r="178">
      <c r="C178" s="112" t="n">
        <v>41944</v>
      </c>
      <c r="D178" s="127" t="n">
        <v>4837.5972</v>
      </c>
      <c r="E178" s="132" t="n">
        <v>-4.62481786550244</v>
      </c>
      <c r="F178" s="127" t="n">
        <v>109.5466408529211</v>
      </c>
      <c r="G178" s="127" t="n">
        <v>-5.197897458004478</v>
      </c>
      <c r="H178" s="132" t="n">
        <v>0.7216666666666667</v>
      </c>
      <c r="I178" s="132" t="n">
        <v>-0.1850000000000002</v>
      </c>
      <c r="J178" s="132" t="n">
        <v>6.485</v>
      </c>
      <c r="K178" s="132" t="n">
        <v>0.2016666666666662</v>
      </c>
      <c r="L178" s="132" t="n">
        <v>6.59</v>
      </c>
      <c r="M178" s="132" t="n">
        <v>0.08999999999999986</v>
      </c>
      <c r="N178" s="132" t="n">
        <v>1.244874984999988</v>
      </c>
      <c r="O178" s="127" t="n">
        <v>112.9451</v>
      </c>
      <c r="P178" s="132" t="n">
        <v>-11.39292076754936</v>
      </c>
      <c r="Q178" s="127" t="n">
        <v>289.15075051</v>
      </c>
      <c r="R178" s="132" t="n">
        <v>1.98198340604569</v>
      </c>
      <c r="S178" s="133" t="n">
        <v>2.5601</v>
      </c>
      <c r="T178" s="132" t="n">
        <v>13.37490417359503</v>
      </c>
      <c r="U178" s="132" t="n">
        <v>12.441</v>
      </c>
      <c r="V178" s="132" t="n">
        <v>1.350000000000001</v>
      </c>
      <c r="W178" s="127" t="n">
        <v>71.89</v>
      </c>
      <c r="X178" s="132" t="n">
        <v>-34.11707574027672</v>
      </c>
    </row>
    <row r="179">
      <c r="C179" s="112" t="n">
        <v>41974</v>
      </c>
      <c r="D179" s="127" t="n">
        <v>4666.0381</v>
      </c>
      <c r="E179" s="132" t="n">
        <v>-7.168777330560575</v>
      </c>
      <c r="F179" s="127" t="n">
        <v>102.5431374994322</v>
      </c>
      <c r="G179" s="127" t="n">
        <v>-11.97120871327722</v>
      </c>
      <c r="H179" s="132" t="n">
        <v>0.5</v>
      </c>
      <c r="I179" s="132" t="n">
        <v>-0.3149999999999999</v>
      </c>
      <c r="J179" s="132" t="n">
        <v>6.56</v>
      </c>
      <c r="K179" s="132" t="n">
        <v>0.2575000000000003</v>
      </c>
      <c r="L179" s="132" t="n">
        <v>6.56</v>
      </c>
      <c r="M179" s="132" t="n">
        <v>0.04999999999999982</v>
      </c>
      <c r="N179" s="132" t="n">
        <v>1.50745520940001</v>
      </c>
      <c r="O179" s="127" t="n">
        <v>104.3285</v>
      </c>
      <c r="P179" s="132" t="n">
        <v>-12.89890126574438</v>
      </c>
      <c r="Q179" s="127" t="n">
        <v>277.1173617</v>
      </c>
      <c r="R179" s="132" t="n">
        <v>-4.8588587219406</v>
      </c>
      <c r="S179" s="133" t="n">
        <v>2.6562</v>
      </c>
      <c r="T179" s="132" t="n">
        <v>8.040042543803775</v>
      </c>
      <c r="U179" s="132" t="n">
        <v>12.955</v>
      </c>
      <c r="V179" s="132" t="n">
        <v>1.186999999999999</v>
      </c>
      <c r="W179" s="127" t="n">
        <v>55.27</v>
      </c>
      <c r="X179" s="132" t="n">
        <v>-53.81668942956283</v>
      </c>
    </row>
    <row r="180">
      <c r="C180" s="112" t="n">
        <v>42005</v>
      </c>
      <c r="D180" s="127" t="n">
        <v>4540.5571</v>
      </c>
      <c r="E180" s="132" t="n">
        <v>-7.165374869236442</v>
      </c>
      <c r="F180" s="127" t="n">
        <v>96.80033273634906</v>
      </c>
      <c r="G180" s="127" t="n">
        <v>-13.82192264514663</v>
      </c>
      <c r="H180" s="132" t="n">
        <v>0.1525000000000001</v>
      </c>
      <c r="I180" s="132" t="n">
        <v>-0.7208333333333333</v>
      </c>
      <c r="J180" s="132" t="n">
        <v>6.8925</v>
      </c>
      <c r="K180" s="132" t="n">
        <v>0.5508333333333324</v>
      </c>
      <c r="L180" s="132" t="n">
        <v>6.41</v>
      </c>
      <c r="M180" s="132" t="n">
        <v>-0.3399999999999999</v>
      </c>
      <c r="N180" s="132" t="n">
        <v>1.71941270760001</v>
      </c>
      <c r="O180" s="127" t="n">
        <v>100.8413</v>
      </c>
      <c r="P180" s="132" t="n">
        <v>-15.49010826959606</v>
      </c>
      <c r="Q180" s="127" t="n">
        <v>268.46979299</v>
      </c>
      <c r="R180" s="132" t="n">
        <v>-6.942854287452308</v>
      </c>
      <c r="S180" s="133" t="n">
        <v>2.6623</v>
      </c>
      <c r="T180" s="132" t="n">
        <v>8.547253982143737</v>
      </c>
      <c r="U180" s="132" t="n">
        <v>12.747</v>
      </c>
      <c r="V180" s="132" t="n">
        <v>0.5760000000000005</v>
      </c>
      <c r="W180" s="127" t="n">
        <v>47.52</v>
      </c>
      <c r="X180" s="132" t="n">
        <v>-57.16878881690952</v>
      </c>
    </row>
    <row r="181">
      <c r="C181" s="112" t="n">
        <v>42036</v>
      </c>
      <c r="D181" s="127" t="n">
        <v>4481.2363</v>
      </c>
      <c r="E181" s="132" t="n">
        <v>-7.651918299887951</v>
      </c>
      <c r="F181" s="127" t="n">
        <v>94.35733403337582</v>
      </c>
      <c r="G181" s="127" t="n">
        <v>-14.92614014337039</v>
      </c>
      <c r="H181" s="132" t="n">
        <v>-0.2333333333333334</v>
      </c>
      <c r="I181" s="132" t="n">
        <v>-0.9550000000000001</v>
      </c>
      <c r="J181" s="132" t="n">
        <v>7.141666666666666</v>
      </c>
      <c r="K181" s="132" t="n">
        <v>0.6566666666666654</v>
      </c>
      <c r="L181" s="132" t="n">
        <v>7.14</v>
      </c>
      <c r="M181" s="132" t="n">
        <v>0.5499999999999998</v>
      </c>
      <c r="N181" s="132" t="n">
        <v>2.550023327200024</v>
      </c>
      <c r="O181" s="127" t="n">
        <v>103.4379</v>
      </c>
      <c r="P181" s="132" t="n">
        <v>-8.793042731214779</v>
      </c>
      <c r="Q181" s="127" t="n">
        <v>297.71496378</v>
      </c>
      <c r="R181" s="132" t="n">
        <v>2.918835121323706</v>
      </c>
      <c r="S181" s="133" t="n">
        <v>2.8782</v>
      </c>
      <c r="T181" s="132" t="n">
        <v>11.71187785253849</v>
      </c>
      <c r="U181" s="132" t="n">
        <v>13.05</v>
      </c>
      <c r="V181" s="132" t="n">
        <v>0.609</v>
      </c>
      <c r="W181" s="127" t="n">
        <v>61.89</v>
      </c>
      <c r="X181" s="132" t="n">
        <v>-14.97785572445101</v>
      </c>
    </row>
    <row r="182">
      <c r="C182" s="112" t="n">
        <v>42064</v>
      </c>
      <c r="D182" s="127" t="n">
        <v>4316.4131</v>
      </c>
      <c r="E182" s="132" t="n">
        <v>-7.788558257875129</v>
      </c>
      <c r="F182" s="127" t="n">
        <v>89.81558938659026</v>
      </c>
      <c r="G182" s="127" t="n">
        <v>-13.25250022692145</v>
      </c>
      <c r="H182" s="132" t="n">
        <v>-0.455</v>
      </c>
      <c r="I182" s="132" t="n">
        <v>-0.9550000000000001</v>
      </c>
      <c r="J182" s="132" t="n">
        <v>7.535</v>
      </c>
      <c r="K182" s="132" t="n">
        <v>0.9750000000000005</v>
      </c>
      <c r="L182" s="132" t="n">
        <v>7.7</v>
      </c>
      <c r="M182" s="132" t="n">
        <v>1.140000000000001</v>
      </c>
      <c r="N182" s="132" t="n">
        <v>3.274433998399995</v>
      </c>
      <c r="O182" s="127" t="n">
        <v>98.123</v>
      </c>
      <c r="P182" s="132" t="n">
        <v>-6.13227811911244</v>
      </c>
      <c r="Q182" s="127" t="n">
        <v>314.778584</v>
      </c>
      <c r="R182" s="132" t="n">
        <v>12.74283788291305</v>
      </c>
      <c r="S182" s="133" t="n">
        <v>3.208</v>
      </c>
      <c r="T182" s="132" t="n">
        <v>18.87511600202548</v>
      </c>
      <c r="U182" s="132" t="n">
        <v>13.519</v>
      </c>
      <c r="V182" s="132" t="n">
        <v>0.5640000000000001</v>
      </c>
      <c r="W182" s="127" t="n">
        <v>53.69</v>
      </c>
      <c r="X182" s="132" t="n">
        <v>-2.900350141069352</v>
      </c>
    </row>
    <row r="183">
      <c r="C183" s="112" t="n">
        <v>42095</v>
      </c>
      <c r="D183" s="127" t="n">
        <v>4035.8179</v>
      </c>
      <c r="E183" s="132" t="n">
        <v>-11.78407312323539</v>
      </c>
      <c r="F183" s="127" t="n">
        <v>83.08969308838144</v>
      </c>
      <c r="G183" s="127" t="n">
        <v>-15.27297676906334</v>
      </c>
      <c r="H183" s="132" t="n">
        <v>-0.4533333333333333</v>
      </c>
      <c r="I183" s="132" t="n">
        <v>-0.6058333333333333</v>
      </c>
      <c r="J183" s="132" t="n">
        <v>7.373333333333333</v>
      </c>
      <c r="K183" s="132" t="n">
        <v>0.480833333333333</v>
      </c>
      <c r="L183" s="132" t="n">
        <v>8.130000000000001</v>
      </c>
      <c r="M183" s="132" t="n">
        <v>1.720000000000001</v>
      </c>
      <c r="N183" s="132" t="n">
        <v>3.827799689600009</v>
      </c>
      <c r="O183" s="127" t="n">
        <v>103.7471</v>
      </c>
      <c r="P183" s="132" t="n">
        <v>2.840821296665908</v>
      </c>
      <c r="Q183" s="127" t="n">
        <v>310.57731856</v>
      </c>
      <c r="R183" s="132" t="n">
        <v>14.56944786611465</v>
      </c>
      <c r="S183" s="133" t="n">
        <v>2.9936</v>
      </c>
      <c r="T183" s="132" t="n">
        <v>11.72862656944875</v>
      </c>
      <c r="U183" s="132" t="n">
        <v>13.667</v>
      </c>
      <c r="V183" s="132" t="n">
        <v>0.9199999999999999</v>
      </c>
      <c r="W183" s="127" t="n">
        <v>63.9</v>
      </c>
      <c r="X183" s="132" t="n">
        <v>29.61686863290995</v>
      </c>
    </row>
    <row r="184">
      <c r="C184" s="112" t="n">
        <v>42125</v>
      </c>
      <c r="D184" s="127" t="n">
        <v>4199.71</v>
      </c>
      <c r="E184" s="132" t="n">
        <v>-6.488349289203597</v>
      </c>
      <c r="F184" s="127" t="n">
        <v>86.99162255167182</v>
      </c>
      <c r="G184" s="127" t="n">
        <v>-8.127717948816635</v>
      </c>
      <c r="H184" s="132" t="n">
        <v>-0.3241666666666667</v>
      </c>
      <c r="I184" s="132" t="n">
        <v>-0.09083333333333332</v>
      </c>
      <c r="J184" s="132" t="n">
        <v>7.185833333333333</v>
      </c>
      <c r="K184" s="132" t="n">
        <v>0.04416666666666735</v>
      </c>
      <c r="L184" s="132" t="n">
        <v>8.17</v>
      </c>
      <c r="M184" s="132" t="n">
        <v>1.03</v>
      </c>
      <c r="N184" s="132" t="n">
        <v>3.284252338400018</v>
      </c>
      <c r="O184" s="127" t="n">
        <v>100.9465</v>
      </c>
      <c r="P184" s="132" t="n">
        <v>-2.438075910460929</v>
      </c>
      <c r="Q184" s="127" t="n">
        <v>320.8887342</v>
      </c>
      <c r="R184" s="132" t="n">
        <v>7.495790922534183</v>
      </c>
      <c r="S184" s="133" t="n">
        <v>3.1788</v>
      </c>
      <c r="T184" s="132" t="n">
        <v>9.933866832995102</v>
      </c>
      <c r="U184" s="132" t="n">
        <v>13.756</v>
      </c>
      <c r="V184" s="132" t="n">
        <v>0.7059999999999995</v>
      </c>
      <c r="W184" s="127" t="n">
        <v>63.16</v>
      </c>
      <c r="X184" s="132" t="n">
        <v>2.031257363617109</v>
      </c>
    </row>
    <row r="185">
      <c r="C185" s="112" t="n">
        <v>42156</v>
      </c>
      <c r="D185" s="127" t="n">
        <v>4293.2578</v>
      </c>
      <c r="E185" s="132" t="n">
        <v>-0.5378917753722752</v>
      </c>
      <c r="F185" s="127" t="n">
        <v>88.87714404031655</v>
      </c>
      <c r="G185" s="127" t="n">
        <v>-1.050354937279391</v>
      </c>
      <c r="H185" s="132" t="n">
        <v>-0.5</v>
      </c>
      <c r="I185" s="132" t="n">
        <v>-0.04499999999999998</v>
      </c>
      <c r="J185" s="132" t="n">
        <v>7.255</v>
      </c>
      <c r="K185" s="132" t="n">
        <v>-0.2800000000000002</v>
      </c>
      <c r="L185" s="132" t="n">
        <v>8.470000000000001</v>
      </c>
      <c r="M185" s="132" t="n">
        <v>0.7700000000000005</v>
      </c>
      <c r="N185" s="132" t="n">
        <v>2.794463352800025</v>
      </c>
      <c r="O185" s="127" t="n">
        <v>102.6892</v>
      </c>
      <c r="P185" s="132" t="n">
        <v>4.548515701337143</v>
      </c>
      <c r="Q185" s="127" t="n">
        <v>318.60351192</v>
      </c>
      <c r="R185" s="132" t="n">
        <v>1.2077936657197</v>
      </c>
      <c r="S185" s="133" t="n">
        <v>3.1026</v>
      </c>
      <c r="T185" s="132" t="n">
        <v>-3.340722035617445</v>
      </c>
      <c r="U185" s="132" t="n">
        <v>14.272</v>
      </c>
      <c r="V185" s="132" t="n">
        <v>0.7530000000000001</v>
      </c>
      <c r="W185" s="127" t="n">
        <v>60.31</v>
      </c>
      <c r="X185" s="132" t="n">
        <v>11.62711630284173</v>
      </c>
    </row>
    <row r="186">
      <c r="C186" s="112" t="n">
        <v>42186</v>
      </c>
      <c r="D186" s="127" t="n">
        <v>4362.4937</v>
      </c>
      <c r="E186" s="132" t="n">
        <v>7.783486085758851</v>
      </c>
      <c r="F186" s="127" t="n">
        <v>90.95084502874023</v>
      </c>
      <c r="G186" s="127" t="n">
        <v>9.039853211113249</v>
      </c>
      <c r="H186" s="132" t="n">
        <v>-0.6333333333333333</v>
      </c>
      <c r="I186" s="132" t="n">
        <v>-0.18</v>
      </c>
      <c r="J186" s="132" t="n">
        <v>7.004166666666666</v>
      </c>
      <c r="K186" s="132" t="n">
        <v>-0.3691666666666666</v>
      </c>
      <c r="L186" s="132" t="n">
        <v>8.890000000000001</v>
      </c>
      <c r="M186" s="132" t="n">
        <v>0.7599999999999998</v>
      </c>
      <c r="N186" s="132" t="n">
        <v>2.256750506600014</v>
      </c>
      <c r="O186" s="127" t="n">
        <v>91.78270000000001</v>
      </c>
      <c r="P186" s="132" t="n">
        <v>-12.25323802050441</v>
      </c>
      <c r="Q186" s="127" t="n">
        <v>311.5104838</v>
      </c>
      <c r="R186" s="132" t="n">
        <v>0.3000110069302507</v>
      </c>
      <c r="S186" s="133" t="n">
        <v>3.394</v>
      </c>
      <c r="T186" s="132" t="n">
        <v>12.55324902743466</v>
      </c>
      <c r="U186" s="132" t="n">
        <v>13.909</v>
      </c>
      <c r="V186" s="132" t="n">
        <v>0.2420000000000009</v>
      </c>
      <c r="W186" s="127" t="n">
        <v>53.29</v>
      </c>
      <c r="X186" s="132" t="n">
        <v>-18.15706650747982</v>
      </c>
    </row>
    <row r="187">
      <c r="C187" s="112" t="n">
        <v>42217</v>
      </c>
      <c r="D187" s="127" t="n">
        <v>4363.3618</v>
      </c>
      <c r="E187" s="132" t="n">
        <v>3.822734001020978</v>
      </c>
      <c r="F187" s="127" t="n">
        <v>90.71736799160233</v>
      </c>
      <c r="G187" s="127" t="n">
        <v>4.193700561168404</v>
      </c>
      <c r="H187" s="132" t="n">
        <v>-1.103333333333333</v>
      </c>
      <c r="I187" s="132" t="n">
        <v>-0.7791666666666668</v>
      </c>
      <c r="J187" s="132" t="n">
        <v>6.766666666666667</v>
      </c>
      <c r="K187" s="132" t="n">
        <v>-0.4191666666666665</v>
      </c>
      <c r="L187" s="132" t="n">
        <v>9.56</v>
      </c>
      <c r="M187" s="132" t="n">
        <v>1.390000000000001</v>
      </c>
      <c r="N187" s="132" t="n">
        <v>2.165368245200017</v>
      </c>
      <c r="O187" s="127" t="n">
        <v>90.9328</v>
      </c>
      <c r="P187" s="132" t="n">
        <v>-10.44699013474238</v>
      </c>
      <c r="Q187" s="127" t="n">
        <v>331.60464176</v>
      </c>
      <c r="R187" s="132" t="n">
        <v>3.284898062046221</v>
      </c>
      <c r="S187" s="133" t="n">
        <v>3.6467</v>
      </c>
      <c r="T187" s="132" t="n">
        <v>13.73188819678863</v>
      </c>
      <c r="U187" s="132" t="n">
        <v>14.382</v>
      </c>
      <c r="V187" s="132" t="n">
        <v>0.6259999999999994</v>
      </c>
      <c r="W187" s="127" t="n">
        <v>47.97</v>
      </c>
      <c r="X187" s="132" t="n">
        <v>-27.50953738734688</v>
      </c>
    </row>
    <row r="188">
      <c r="C188" s="112" t="n">
        <v>42248</v>
      </c>
      <c r="D188" s="127" t="n">
        <v>4305.5249</v>
      </c>
      <c r="E188" s="132" t="n">
        <v>0.2853219752154913</v>
      </c>
      <c r="F188" s="127" t="n">
        <v>87.4726356327196</v>
      </c>
      <c r="G188" s="127" t="n">
        <v>-1.592900322986844</v>
      </c>
      <c r="H188" s="132" t="n">
        <v>-1.455</v>
      </c>
      <c r="I188" s="132" t="n">
        <v>-0.9550000000000001</v>
      </c>
      <c r="J188" s="132" t="n">
        <v>6.789999999999999</v>
      </c>
      <c r="K188" s="132" t="n">
        <v>-0.4650000000000007</v>
      </c>
      <c r="L188" s="132" t="n">
        <v>9.529999999999999</v>
      </c>
      <c r="M188" s="132" t="n">
        <v>1.059999999999999</v>
      </c>
      <c r="N188" s="132" t="n">
        <v>1.638010775599996</v>
      </c>
      <c r="O188" s="127" t="n">
        <v>87.8214</v>
      </c>
      <c r="P188" s="132" t="n">
        <v>-15.64017440371864</v>
      </c>
      <c r="Q188" s="127" t="n">
        <v>348.90564006</v>
      </c>
      <c r="R188" s="132" t="n">
        <v>9.08540929336114</v>
      </c>
      <c r="S188" s="133" t="n">
        <v>3.9729</v>
      </c>
      <c r="T188" s="132" t="n">
        <v>24.72558369707977</v>
      </c>
      <c r="U188" s="132" t="n">
        <v>15.561</v>
      </c>
      <c r="V188" s="132" t="n">
        <v>1.289</v>
      </c>
      <c r="W188" s="127" t="n">
        <v>47.29</v>
      </c>
      <c r="X188" s="132" t="n">
        <v>-24.3199070807111</v>
      </c>
    </row>
    <row r="189">
      <c r="C189" s="112" t="n">
        <v>42278</v>
      </c>
      <c r="D189" s="127" t="n">
        <v>4370.8042</v>
      </c>
      <c r="E189" s="132" t="n">
        <v>0.1903176235048753</v>
      </c>
      <c r="F189" s="127" t="n">
        <v>87.86993306698716</v>
      </c>
      <c r="G189" s="127" t="n">
        <v>-3.446150827633723</v>
      </c>
      <c r="H189" s="132" t="n">
        <v>-1.766666666666667</v>
      </c>
      <c r="I189" s="132" t="n">
        <v>-1.133333333333333</v>
      </c>
      <c r="J189" s="132" t="n">
        <v>6.893333333333334</v>
      </c>
      <c r="K189" s="132" t="n">
        <v>-0.1108333333333329</v>
      </c>
      <c r="L189" s="132" t="n">
        <v>9.49</v>
      </c>
      <c r="M189" s="132" t="n">
        <v>0.5999999999999996</v>
      </c>
      <c r="N189" s="132" t="n">
        <v>1.385907365600003</v>
      </c>
      <c r="O189" s="127" t="n">
        <v>87.4289</v>
      </c>
      <c r="P189" s="132" t="n">
        <v>-4.859793508799008</v>
      </c>
      <c r="Q189" s="127" t="n">
        <v>337.37938221</v>
      </c>
      <c r="R189" s="132" t="n">
        <v>7.977506687061784</v>
      </c>
      <c r="S189" s="133" t="n">
        <v>3.8589</v>
      </c>
      <c r="T189" s="132" t="n">
        <v>12.83730019586078</v>
      </c>
      <c r="U189" s="132" t="n">
        <v>15.389</v>
      </c>
      <c r="V189" s="132" t="n">
        <v>1.479999999999999</v>
      </c>
      <c r="W189" s="127" t="n">
        <v>48</v>
      </c>
      <c r="X189" s="132" t="n">
        <v>-10.45476854008</v>
      </c>
    </row>
    <row r="190">
      <c r="C190" s="112" t="n">
        <v>42309</v>
      </c>
      <c r="D190" s="127" t="n">
        <v>4342.1689</v>
      </c>
      <c r="E190" s="132" t="n">
        <v>-0.4868845472212308</v>
      </c>
      <c r="F190" s="127" t="n">
        <v>87.08328591041445</v>
      </c>
      <c r="G190" s="127" t="n">
        <v>-4.088385707896781</v>
      </c>
      <c r="H190" s="132" t="n">
        <v>-2.136666666666667</v>
      </c>
      <c r="I190" s="132" t="n">
        <v>-1.033333333333333</v>
      </c>
      <c r="J190" s="132" t="n">
        <v>6.9525</v>
      </c>
      <c r="K190" s="132" t="n">
        <v>0.1858333333333331</v>
      </c>
      <c r="L190" s="132" t="n">
        <v>9.93</v>
      </c>
      <c r="M190" s="132" t="n">
        <v>0.3699999999999992</v>
      </c>
      <c r="N190" s="132" t="n">
        <v>1.587429741599999</v>
      </c>
      <c r="O190" s="127" t="n">
        <v>81.07810000000001</v>
      </c>
      <c r="P190" s="132" t="n">
        <v>-11.4707884517913</v>
      </c>
      <c r="Q190" s="127" t="n">
        <v>312.19933186</v>
      </c>
      <c r="R190" s="132" t="n">
        <v>-6.030155325658832</v>
      </c>
      <c r="S190" s="133" t="n">
        <v>3.8506</v>
      </c>
      <c r="T190" s="132" t="n">
        <v>5.440633126132473</v>
      </c>
      <c r="U190" s="132" t="n">
        <v>15.71</v>
      </c>
      <c r="V190" s="132" t="n">
        <v>1.328000000000001</v>
      </c>
      <c r="W190" s="127" t="n">
        <v>43.73</v>
      </c>
      <c r="X190" s="132" t="n">
        <v>-9.254145008914341</v>
      </c>
    </row>
    <row r="191">
      <c r="C191" s="112" t="n">
        <v>42339</v>
      </c>
      <c r="D191" s="127" t="n">
        <v>4351.3862</v>
      </c>
      <c r="E191" s="132" t="n">
        <v>1.059540256603191</v>
      </c>
      <c r="F191" s="127" t="n">
        <v>87.23755999211532</v>
      </c>
      <c r="G191" s="127" t="n">
        <v>-0.2691036795252777</v>
      </c>
      <c r="H191" s="132" t="n">
        <v>-2.95</v>
      </c>
      <c r="I191" s="132" t="n">
        <v>-1.495</v>
      </c>
      <c r="J191" s="132" t="n">
        <v>6.87</v>
      </c>
      <c r="K191" s="132" t="n">
        <v>0.08000000000000096</v>
      </c>
      <c r="L191" s="132" t="n">
        <v>10.48</v>
      </c>
      <c r="M191" s="132" t="n">
        <v>0.9500000000000011</v>
      </c>
      <c r="N191" s="132" t="n">
        <v>2.388208722800012</v>
      </c>
      <c r="O191" s="127" t="n">
        <v>78.55880000000001</v>
      </c>
      <c r="P191" s="132" t="n">
        <v>-11.14578177249696</v>
      </c>
      <c r="Q191" s="127" t="n">
        <v>306.75640224</v>
      </c>
      <c r="R191" s="132" t="n">
        <v>-12.87475587530604</v>
      </c>
      <c r="S191" s="133" t="n">
        <v>3.9048</v>
      </c>
      <c r="T191" s="132" t="n">
        <v>-1.728974102809069</v>
      </c>
      <c r="U191" s="132" t="n">
        <v>15.857</v>
      </c>
      <c r="V191" s="132" t="n">
        <v>0.2959999999999994</v>
      </c>
      <c r="W191" s="127" t="n">
        <v>36.61</v>
      </c>
      <c r="X191" s="132" t="n">
        <v>-25.59774295236396</v>
      </c>
    </row>
    <row r="192">
      <c r="C192" s="112" t="n">
        <v>42370</v>
      </c>
      <c r="D192" s="127" t="n">
        <v>4055.5894</v>
      </c>
      <c r="E192" s="132" t="n">
        <v>-7.485099121359218</v>
      </c>
      <c r="F192" s="127" t="n">
        <v>80.41518840484338</v>
      </c>
      <c r="G192" s="127" t="n">
        <v>-8.865461892818365</v>
      </c>
      <c r="H192" s="132" t="n">
        <v>-2.700833333333333</v>
      </c>
      <c r="I192" s="132" t="n">
        <v>-0.9341666666666661</v>
      </c>
      <c r="J192" s="132" t="n">
        <v>7.138333333333333</v>
      </c>
      <c r="K192" s="132" t="n">
        <v>0.2449999999999992</v>
      </c>
      <c r="L192" s="132" t="n">
        <v>10.67</v>
      </c>
      <c r="M192" s="132" t="n">
        <v>1.18</v>
      </c>
      <c r="N192" s="132" t="n">
        <v>2.815929507199999</v>
      </c>
      <c r="O192" s="127" t="n">
        <v>77.2234</v>
      </c>
      <c r="P192" s="132" t="n">
        <v>-12.41233717090591</v>
      </c>
      <c r="Q192" s="127" t="n">
        <v>312.1987615199999</v>
      </c>
      <c r="R192" s="132" t="n">
        <v>-7.75680192613313</v>
      </c>
      <c r="S192" s="133" t="n">
        <v>4.0428</v>
      </c>
      <c r="T192" s="132" t="n">
        <v>4.65553524477279</v>
      </c>
      <c r="U192" s="132" t="n">
        <v>14.574</v>
      </c>
      <c r="V192" s="132" t="n">
        <v>-0.8149999999999995</v>
      </c>
      <c r="W192" s="127" t="n">
        <v>33.14</v>
      </c>
      <c r="X192" s="132" t="n">
        <v>-37.04599989094741</v>
      </c>
    </row>
    <row r="193">
      <c r="C193" s="112" t="n">
        <v>42401</v>
      </c>
      <c r="D193" s="127" t="n">
        <v>3920.8132</v>
      </c>
      <c r="E193" s="132" t="n">
        <v>-10.20748885569772</v>
      </c>
      <c r="F193" s="127" t="n">
        <v>77.28444964027082</v>
      </c>
      <c r="G193" s="127" t="n">
        <v>-11.93722036338011</v>
      </c>
      <c r="H193" s="132" t="n">
        <v>-2.791666666666667</v>
      </c>
      <c r="I193" s="132" t="n">
        <v>-0.6550000000000002</v>
      </c>
      <c r="J193" s="132" t="n">
        <v>7.308333333333334</v>
      </c>
      <c r="K193" s="132" t="n">
        <v>0.3558333333333339</v>
      </c>
      <c r="L193" s="132" t="n">
        <v>10.71</v>
      </c>
      <c r="M193" s="132" t="n">
        <v>0.7800000000000011</v>
      </c>
      <c r="N193" s="132" t="n">
        <v>3.274838139199998</v>
      </c>
      <c r="O193" s="127" t="n">
        <v>75.94629999999999</v>
      </c>
      <c r="P193" s="132" t="n">
        <v>-6.538637606903687</v>
      </c>
      <c r="Q193" s="127" t="n">
        <v>302.23589548</v>
      </c>
      <c r="R193" s="132" t="n">
        <v>-3.243404464906746</v>
      </c>
      <c r="S193" s="133" t="n">
        <v>3.9796</v>
      </c>
      <c r="T193" s="132" t="n">
        <v>3.29523314199695</v>
      </c>
      <c r="U193" s="132" t="n">
        <v>14.214</v>
      </c>
      <c r="V193" s="132" t="n">
        <v>-1.496</v>
      </c>
      <c r="W193" s="127" t="n">
        <v>35.92</v>
      </c>
      <c r="X193" s="132" t="n">
        <v>-19.67401219908303</v>
      </c>
    </row>
    <row r="194">
      <c r="C194" s="112" t="n">
        <v>42430</v>
      </c>
      <c r="D194" s="127" t="n">
        <v>3844.1367</v>
      </c>
      <c r="E194" s="132" t="n">
        <v>-12.39454086134129</v>
      </c>
      <c r="F194" s="127" t="n">
        <v>75.89421685619367</v>
      </c>
      <c r="G194" s="127" t="n">
        <v>-13.92944847846636</v>
      </c>
      <c r="H194" s="132" t="n">
        <v>-2.7075</v>
      </c>
      <c r="I194" s="132" t="n">
        <v>0.2425000000000006</v>
      </c>
      <c r="J194" s="132" t="n">
        <v>6.9675</v>
      </c>
      <c r="K194" s="132" t="n">
        <v>0.09750000000000014</v>
      </c>
      <c r="L194" s="132" t="n">
        <v>10.36</v>
      </c>
      <c r="M194" s="132" t="n">
        <v>-0.120000000000001</v>
      </c>
      <c r="N194" s="132" t="n">
        <v>3.16237172799998</v>
      </c>
      <c r="O194" s="127" t="n">
        <v>78.8272</v>
      </c>
      <c r="P194" s="132" t="n">
        <v>0.3410725988239524</v>
      </c>
      <c r="Q194" s="127" t="n">
        <v>280.53812208</v>
      </c>
      <c r="R194" s="132" t="n">
        <v>-8.934433124953085</v>
      </c>
      <c r="S194" s="133" t="n">
        <v>3.5589</v>
      </c>
      <c r="T194" s="132" t="n">
        <v>-9.275505723777036</v>
      </c>
      <c r="U194" s="132" t="n">
        <v>13.805</v>
      </c>
      <c r="V194" s="132" t="n">
        <v>-2.052</v>
      </c>
      <c r="W194" s="127" t="n">
        <v>36.75</v>
      </c>
      <c r="X194" s="132" t="n">
        <v>0.3816798526700811</v>
      </c>
    </row>
    <row r="195">
      <c r="C195" s="112" t="n">
        <v>42461</v>
      </c>
      <c r="D195" s="127" t="n">
        <v>3840.7729</v>
      </c>
      <c r="E195" s="132" t="n">
        <v>-5.442240603488758</v>
      </c>
      <c r="F195" s="127" t="n">
        <v>75.93794708722126</v>
      </c>
      <c r="G195" s="127" t="n">
        <v>-5.728654776569805</v>
      </c>
      <c r="H195" s="132" t="n">
        <v>-2.46</v>
      </c>
      <c r="I195" s="132" t="n">
        <v>0.2408333333333328</v>
      </c>
      <c r="J195" s="132" t="n">
        <v>6.533333333333333</v>
      </c>
      <c r="K195" s="132" t="n">
        <v>-0.6049999999999995</v>
      </c>
      <c r="L195" s="132" t="n">
        <v>9.390000000000001</v>
      </c>
      <c r="M195" s="132" t="n">
        <v>-1.279999999999999</v>
      </c>
      <c r="N195" s="132" t="n">
        <v>2.620810148999975</v>
      </c>
      <c r="O195" s="127" t="n">
        <v>85.5205</v>
      </c>
      <c r="P195" s="132" t="n">
        <v>10.20535933744661</v>
      </c>
      <c r="Q195" s="127" t="n">
        <v>295.1141414</v>
      </c>
      <c r="R195" s="132" t="n">
        <v>-5.62778396236175</v>
      </c>
      <c r="S195" s="133" t="n">
        <v>3.4508</v>
      </c>
      <c r="T195" s="132" t="n">
        <v>-15.83314329980837</v>
      </c>
      <c r="U195" s="132" t="n">
        <v>13.221</v>
      </c>
      <c r="V195" s="132" t="n">
        <v>-1.353</v>
      </c>
      <c r="W195" s="127" t="n">
        <v>45.64</v>
      </c>
      <c r="X195" s="132" t="n">
        <v>32.00435129954581</v>
      </c>
    </row>
    <row r="196">
      <c r="C196" s="112" t="n">
        <v>42491</v>
      </c>
      <c r="D196" s="127" t="n">
        <v>4134.6899</v>
      </c>
      <c r="E196" s="132" t="n">
        <v>5.311325044201786</v>
      </c>
      <c r="F196" s="127" t="n">
        <v>80.21492312455378</v>
      </c>
      <c r="G196" s="127" t="n">
        <v>3.721680502755639</v>
      </c>
      <c r="H196" s="132" t="n">
        <v>-1.985833333333334</v>
      </c>
      <c r="I196" s="132" t="n">
        <v>0.8058333333333334</v>
      </c>
      <c r="J196" s="132" t="n">
        <v>6.4275</v>
      </c>
      <c r="K196" s="132" t="n">
        <v>-0.8808333333333334</v>
      </c>
      <c r="L196" s="132" t="n">
        <v>9.279999999999999</v>
      </c>
      <c r="M196" s="132" t="n">
        <v>-1.430000000000001</v>
      </c>
      <c r="N196" s="132" t="n">
        <v>1.95200660699999</v>
      </c>
      <c r="O196" s="127" t="n">
        <v>85.3383</v>
      </c>
      <c r="P196" s="132" t="n">
        <v>11.65968456483082</v>
      </c>
      <c r="Q196" s="127" t="n">
        <v>306.79972233</v>
      </c>
      <c r="R196" s="132" t="n">
        <v>1.49873411130644</v>
      </c>
      <c r="S196" s="133" t="n">
        <v>3.5951</v>
      </c>
      <c r="T196" s="132" t="n">
        <v>-10.1609504535244</v>
      </c>
      <c r="U196" s="132" t="n">
        <v>13.175</v>
      </c>
      <c r="V196" s="132" t="n">
        <v>-1.039</v>
      </c>
      <c r="W196" s="127" t="n">
        <v>49.26</v>
      </c>
      <c r="X196" s="132" t="n">
        <v>31.58181492583929</v>
      </c>
    </row>
    <row r="197">
      <c r="C197" s="112" t="n">
        <v>42522</v>
      </c>
      <c r="D197" s="127" t="n">
        <v>4176.7749</v>
      </c>
      <c r="E197" s="132" t="n">
        <v>8.299034132056564</v>
      </c>
      <c r="F197" s="127" t="n">
        <v>81.5498390215827</v>
      </c>
      <c r="G197" s="127" t="n">
        <v>7.187386783519682</v>
      </c>
      <c r="H197" s="132" t="n">
        <v>-1.195</v>
      </c>
      <c r="I197" s="132" t="n">
        <v>1.5125</v>
      </c>
      <c r="J197" s="132" t="n">
        <v>6.385</v>
      </c>
      <c r="K197" s="132" t="n">
        <v>-0.5825000000000005</v>
      </c>
      <c r="L197" s="132" t="n">
        <v>9.32</v>
      </c>
      <c r="M197" s="132" t="n">
        <v>-1.039999999999999</v>
      </c>
      <c r="N197" s="132" t="n">
        <v>1.830755459399991</v>
      </c>
      <c r="O197" s="127" t="n">
        <v>88.84229999999999</v>
      </c>
      <c r="P197" s="132" t="n">
        <v>11.96047729614842</v>
      </c>
      <c r="Q197" s="127" t="n">
        <v>285.16601454</v>
      </c>
      <c r="R197" s="132" t="n">
        <v>1.636189451337271</v>
      </c>
      <c r="S197" s="133" t="n">
        <v>3.2098</v>
      </c>
      <c r="T197" s="132" t="n">
        <v>-10.32428784481115</v>
      </c>
      <c r="U197" s="132" t="n">
        <v>13.359</v>
      </c>
      <c r="V197" s="132" t="n">
        <v>-0.4459999999999997</v>
      </c>
      <c r="W197" s="127" t="n">
        <v>48.05</v>
      </c>
      <c r="X197" s="132" t="n">
        <v>26.81039097574558</v>
      </c>
    </row>
    <row r="198">
      <c r="C198" s="112" t="n">
        <v>42552</v>
      </c>
      <c r="D198" s="127" t="n">
        <v>4199.8755</v>
      </c>
      <c r="E198" s="132" t="n">
        <v>8.938125960482441</v>
      </c>
      <c r="F198" s="127" t="n">
        <v>82.43594922114355</v>
      </c>
      <c r="G198" s="127" t="n">
        <v>8.210509764404978</v>
      </c>
      <c r="H198" s="132" t="n">
        <v>-0.7083333333333335</v>
      </c>
      <c r="I198" s="132" t="n">
        <v>1.751666666666666</v>
      </c>
      <c r="J198" s="132" t="n">
        <v>6.0375</v>
      </c>
      <c r="K198" s="132" t="n">
        <v>-0.4958333333333336</v>
      </c>
      <c r="L198" s="132" t="n">
        <v>8.84</v>
      </c>
      <c r="M198" s="132" t="n">
        <v>-0.5500000000000007</v>
      </c>
      <c r="N198" s="132" t="n">
        <v>1.749639653000012</v>
      </c>
      <c r="O198" s="127" t="n">
        <v>84.2809</v>
      </c>
      <c r="P198" s="132" t="n">
        <v>-1.460084571624034</v>
      </c>
      <c r="Q198" s="127" t="n">
        <v>272.9858351</v>
      </c>
      <c r="R198" s="132" t="n">
        <v>-7.79422937473349</v>
      </c>
      <c r="S198" s="133" t="n">
        <v>3.239</v>
      </c>
      <c r="T198" s="132" t="n">
        <v>-6.334144803109454</v>
      </c>
      <c r="U198" s="132" t="n">
        <v>13.29</v>
      </c>
      <c r="V198" s="132" t="n">
        <v>0.06899999999999906</v>
      </c>
      <c r="W198" s="127" t="n">
        <v>40.76</v>
      </c>
      <c r="X198" s="132" t="n">
        <v>-11.30833166393509</v>
      </c>
    </row>
    <row r="199">
      <c r="C199" s="112" t="n">
        <v>42583</v>
      </c>
      <c r="D199" s="127" t="n">
        <v>4318.4429</v>
      </c>
      <c r="E199" s="132" t="n">
        <v>4.3482565757744</v>
      </c>
      <c r="F199" s="127" t="n">
        <v>85.15747592669229</v>
      </c>
      <c r="G199" s="127" t="n">
        <v>5.979262896223775</v>
      </c>
      <c r="H199" s="132" t="n">
        <v>-0.2199999999999998</v>
      </c>
      <c r="I199" s="132" t="n">
        <v>1.765833333333334</v>
      </c>
      <c r="J199" s="132" t="n">
        <v>5.87</v>
      </c>
      <c r="K199" s="132" t="n">
        <v>-0.5575000000000001</v>
      </c>
      <c r="L199" s="132" t="n">
        <v>8.74</v>
      </c>
      <c r="M199" s="132" t="n">
        <v>-0.5399999999999991</v>
      </c>
      <c r="N199" s="132" t="n">
        <v>1.658620196000005</v>
      </c>
      <c r="O199" s="127" t="n">
        <v>82.7727</v>
      </c>
      <c r="P199" s="132" t="n">
        <v>-3.052506036277049</v>
      </c>
      <c r="Q199" s="127" t="n">
        <v>268.20837981</v>
      </c>
      <c r="R199" s="132" t="n">
        <v>-13.44309494501931</v>
      </c>
      <c r="S199" s="133" t="n">
        <v>3.2403</v>
      </c>
      <c r="T199" s="132" t="n">
        <v>-10.39058890874226</v>
      </c>
      <c r="U199" s="132" t="n">
        <v>13.12</v>
      </c>
      <c r="V199" s="132" t="n">
        <v>-0.05500000000000149</v>
      </c>
      <c r="W199" s="127" t="n">
        <v>47.94</v>
      </c>
      <c r="X199" s="132" t="n">
        <v>-2.716216368615355</v>
      </c>
    </row>
    <row r="200">
      <c r="C200" s="112" t="n">
        <v>42614</v>
      </c>
      <c r="D200" s="127" t="n">
        <v>4393.5918</v>
      </c>
      <c r="E200" s="132" t="n">
        <v>5.060767652774312</v>
      </c>
      <c r="F200" s="127" t="n">
        <v>87.08611005526947</v>
      </c>
      <c r="G200" s="127" t="n">
        <v>6.568304482390361</v>
      </c>
      <c r="H200" s="132" t="n">
        <v>0.1900000000000001</v>
      </c>
      <c r="I200" s="132" t="n">
        <v>1.385</v>
      </c>
      <c r="J200" s="132" t="n">
        <v>5.61</v>
      </c>
      <c r="K200" s="132" t="n">
        <v>-0.7749999999999995</v>
      </c>
      <c r="L200" s="132" t="n">
        <v>8.970000000000001</v>
      </c>
      <c r="M200" s="132" t="n">
        <v>-0.3499999999999996</v>
      </c>
      <c r="N200" s="132" t="n">
        <v>1.31565600800001</v>
      </c>
      <c r="O200" s="127" t="n">
        <v>85.342</v>
      </c>
      <c r="P200" s="132" t="n">
        <v>-4.019617477585631</v>
      </c>
      <c r="Q200" s="127" t="n">
        <v>277.0372004</v>
      </c>
      <c r="R200" s="132" t="n">
        <v>-2.891972319194196</v>
      </c>
      <c r="S200" s="133" t="n">
        <v>3.2462</v>
      </c>
      <c r="T200" s="132" t="n">
        <v>1.127645158391428</v>
      </c>
      <c r="U200" s="132" t="n">
        <v>12.504</v>
      </c>
      <c r="V200" s="132" t="n">
        <v>-0.8550000000000004</v>
      </c>
      <c r="W200" s="127" t="n">
        <v>48.24</v>
      </c>
      <c r="X200" s="132" t="n">
        <v>0.3946417002628611</v>
      </c>
    </row>
    <row r="201">
      <c r="C201" s="112" t="n">
        <v>42644</v>
      </c>
      <c r="D201" s="127" t="n">
        <v>4442.0669</v>
      </c>
      <c r="E201" s="132" t="n">
        <v>5.606490414943239</v>
      </c>
      <c r="F201" s="127" t="n">
        <v>87.03880208934861</v>
      </c>
      <c r="G201" s="127" t="n">
        <v>5.433240152275212</v>
      </c>
      <c r="H201" s="132" t="n">
        <v>0.4583333333333334</v>
      </c>
      <c r="I201" s="132" t="n">
        <v>1.166666666666667</v>
      </c>
      <c r="J201" s="132" t="n">
        <v>5.305000000000001</v>
      </c>
      <c r="K201" s="132" t="n">
        <v>-0.732499999999999</v>
      </c>
      <c r="L201" s="132" t="n">
        <v>8.48</v>
      </c>
      <c r="M201" s="132" t="n">
        <v>-0.3599999999999994</v>
      </c>
      <c r="N201" s="132" t="n">
        <v>1.043057830399996</v>
      </c>
      <c r="O201" s="127" t="n">
        <v>84.9011</v>
      </c>
      <c r="P201" s="132" t="n">
        <v>0.7331782083632687</v>
      </c>
      <c r="Q201" s="127" t="n">
        <v>270.07888921</v>
      </c>
      <c r="R201" s="132" t="n">
        <v>-1.070580917753384</v>
      </c>
      <c r="S201" s="133" t="n">
        <v>3.1811</v>
      </c>
      <c r="T201" s="132" t="n">
        <v>-1.803759126116655</v>
      </c>
      <c r="U201" s="132" t="n">
        <v>12.425</v>
      </c>
      <c r="V201" s="132" t="n">
        <v>-0.8649999999999984</v>
      </c>
      <c r="W201" s="127" t="n">
        <v>46.2</v>
      </c>
      <c r="X201" s="132" t="n">
        <v>12.52785897331692</v>
      </c>
    </row>
    <row r="202">
      <c r="C202" s="112" t="n">
        <v>42675</v>
      </c>
      <c r="D202" s="127" t="n">
        <v>4624.2109</v>
      </c>
      <c r="E202" s="132" t="n">
        <v>6.841084272440921</v>
      </c>
      <c r="F202" s="127" t="n">
        <v>89.90070856722319</v>
      </c>
      <c r="G202" s="127" t="n">
        <v>5.420362277578196</v>
      </c>
      <c r="H202" s="132" t="n">
        <v>0.5216666666666667</v>
      </c>
      <c r="I202" s="132" t="n">
        <v>0.7416666666666665</v>
      </c>
      <c r="J202" s="132" t="n">
        <v>5.078333333333333</v>
      </c>
      <c r="K202" s="132" t="n">
        <v>-0.791666666666667</v>
      </c>
      <c r="L202" s="132" t="n">
        <v>7.87</v>
      </c>
      <c r="M202" s="132" t="n">
        <v>-0.8700000000000001</v>
      </c>
      <c r="N202" s="132" t="n">
        <v>0.7817049151999766</v>
      </c>
      <c r="O202" s="127" t="n">
        <v>86.00149999999999</v>
      </c>
      <c r="P202" s="132" t="n">
        <v>3.826644108191912</v>
      </c>
      <c r="Q202" s="127" t="n">
        <v>292.12129505</v>
      </c>
      <c r="R202" s="132" t="n">
        <v>8.540489503257817</v>
      </c>
      <c r="S202" s="133" t="n">
        <v>3.3967</v>
      </c>
      <c r="T202" s="132" t="n">
        <v>4.713845395065915</v>
      </c>
      <c r="U202" s="132" t="n">
        <v>12.169</v>
      </c>
      <c r="V202" s="132" t="n">
        <v>-0.9509999999999987</v>
      </c>
      <c r="W202" s="127" t="n">
        <v>47.95</v>
      </c>
      <c r="X202" s="132" t="n">
        <v>0.02085723232091201</v>
      </c>
    </row>
    <row r="203">
      <c r="C203" s="112" t="n">
        <v>42705</v>
      </c>
      <c r="D203" s="127" t="n">
        <v>4948.3706</v>
      </c>
      <c r="E203" s="132" t="n">
        <v>11.89112804358084</v>
      </c>
      <c r="F203" s="127" t="n">
        <v>96.07180005841845</v>
      </c>
      <c r="G203" s="127" t="n">
        <v>9.819842928757446</v>
      </c>
      <c r="H203" s="132" t="n">
        <v>0.5</v>
      </c>
      <c r="I203" s="132" t="n">
        <v>0.3099999999999999</v>
      </c>
      <c r="J203" s="132" t="n">
        <v>4.87</v>
      </c>
      <c r="K203" s="132" t="n">
        <v>-0.7400000000000002</v>
      </c>
      <c r="L203" s="132" t="n">
        <v>6.99</v>
      </c>
      <c r="M203" s="132" t="n">
        <v>-1.98</v>
      </c>
      <c r="N203" s="132" t="n">
        <v>0.5208203743999995</v>
      </c>
      <c r="O203" s="127" t="n">
        <v>87.51439999999999</v>
      </c>
      <c r="P203" s="132" t="n">
        <v>2.513663809741691</v>
      </c>
      <c r="Q203" s="127" t="n">
        <v>285.21818104</v>
      </c>
      <c r="R203" s="132" t="n">
        <v>2.91026402522312</v>
      </c>
      <c r="S203" s="133" t="n">
        <v>3.2591</v>
      </c>
      <c r="T203" s="132" t="n">
        <v>0.3966002154814289</v>
      </c>
      <c r="U203" s="132" t="n">
        <v>11.561</v>
      </c>
      <c r="V203" s="132" t="n">
        <v>-0.9429999999999996</v>
      </c>
      <c r="W203" s="127" t="n">
        <v>54.96</v>
      </c>
      <c r="X203" s="132" t="n">
        <v>13.04170954951639</v>
      </c>
    </row>
    <row r="204">
      <c r="C204" s="112" t="n">
        <v>42736</v>
      </c>
      <c r="D204" s="127" t="n">
        <v>5183.8608</v>
      </c>
      <c r="E204" s="132" t="n">
        <v>15.44303206953502</v>
      </c>
      <c r="F204" s="127" t="n">
        <v>102.1563184032445</v>
      </c>
      <c r="G204" s="127" t="n">
        <v>16.01501532658935</v>
      </c>
      <c r="H204" s="132" t="n">
        <v>0.6050000000000001</v>
      </c>
      <c r="I204" s="132" t="n">
        <v>0.1466666666666667</v>
      </c>
      <c r="J204" s="132" t="n">
        <v>4.674166666666667</v>
      </c>
      <c r="K204" s="132" t="n">
        <v>-0.6308333333333334</v>
      </c>
      <c r="L204" s="132" t="n">
        <v>6.29</v>
      </c>
      <c r="M204" s="132" t="n">
        <v>-2.19</v>
      </c>
      <c r="N204" s="132" t="n">
        <v>0.7417894039999817</v>
      </c>
      <c r="O204" s="127" t="n">
        <v>87.59220000000001</v>
      </c>
      <c r="P204" s="132" t="n">
        <v>3.120490322937683</v>
      </c>
      <c r="Q204" s="127" t="n">
        <v>273.9008094</v>
      </c>
      <c r="R204" s="132" t="n">
        <v>1.405193277705546</v>
      </c>
      <c r="S204" s="133" t="n">
        <v>3.127</v>
      </c>
      <c r="T204" s="132" t="n">
        <v>-1.715297045232148</v>
      </c>
      <c r="U204" s="132" t="n">
        <v>10.83</v>
      </c>
      <c r="V204" s="132" t="n">
        <v>-1.595000000000001</v>
      </c>
      <c r="W204" s="127" t="n">
        <v>55.25</v>
      </c>
      <c r="X204" s="132" t="n">
        <v>17.88885423101689</v>
      </c>
    </row>
    <row r="205">
      <c r="C205" s="112" t="n">
        <v>42767</v>
      </c>
      <c r="D205" s="127" t="n">
        <v>5382.7139</v>
      </c>
      <c r="E205" s="132" t="n">
        <v>15.18869491730193</v>
      </c>
      <c r="F205" s="127" t="n">
        <v>106.4060698544458</v>
      </c>
      <c r="G205" s="127" t="n">
        <v>16.85567996114526</v>
      </c>
      <c r="H205" s="132" t="n">
        <v>0.7949999999999999</v>
      </c>
      <c r="I205" s="132" t="n">
        <v>0.2733333333333332</v>
      </c>
      <c r="J205" s="132" t="n">
        <v>4.383333333333334</v>
      </c>
      <c r="K205" s="132" t="n">
        <v>-0.6949999999999994</v>
      </c>
      <c r="L205" s="132" t="n">
        <v>5.35</v>
      </c>
      <c r="M205" s="132" t="n">
        <v>-2.52</v>
      </c>
      <c r="N205" s="132" t="n">
        <v>0.8623660520000076</v>
      </c>
      <c r="O205" s="127" t="n">
        <v>87.7388</v>
      </c>
      <c r="P205" s="132" t="n">
        <v>1.999948091039294</v>
      </c>
      <c r="Q205" s="127" t="n">
        <v>271.92886284</v>
      </c>
      <c r="R205" s="132" t="n">
        <v>-7.16286116092949</v>
      </c>
      <c r="S205" s="133" t="n">
        <v>3.0993</v>
      </c>
      <c r="T205" s="132" t="n">
        <v>-9.162809251968786</v>
      </c>
      <c r="U205" s="132" t="n">
        <v>10.203</v>
      </c>
      <c r="V205" s="132" t="n">
        <v>-1.966000000000001</v>
      </c>
      <c r="W205" s="127" t="n">
        <v>53.36</v>
      </c>
      <c r="X205" s="132" t="n">
        <v>10.69026002779209</v>
      </c>
    </row>
    <row r="206">
      <c r="C206" s="112" t="n">
        <v>42795</v>
      </c>
      <c r="D206" s="127" t="n">
        <v>5572.0063</v>
      </c>
      <c r="E206" s="132" t="n">
        <v>11.86968358956609</v>
      </c>
      <c r="F206" s="127" t="n">
        <v>110.8036995905004</v>
      </c>
      <c r="G206" s="127" t="n">
        <v>14.26643343694346</v>
      </c>
      <c r="H206" s="132" t="n">
        <v>0.9775</v>
      </c>
      <c r="I206" s="132" t="n">
        <v>0.4775</v>
      </c>
      <c r="J206" s="132" t="n">
        <v>4.199999999999999</v>
      </c>
      <c r="K206" s="132" t="n">
        <v>-0.6700000000000008</v>
      </c>
      <c r="L206" s="132" t="n">
        <v>4.76</v>
      </c>
      <c r="M206" s="132" t="n">
        <v>-2.23</v>
      </c>
      <c r="N206" s="132" t="n">
        <v>1.013387761999995</v>
      </c>
      <c r="O206" s="127" t="n">
        <v>85.35080000000001</v>
      </c>
      <c r="P206" s="132" t="n">
        <v>-2.503352888592338</v>
      </c>
      <c r="Q206" s="127" t="n">
        <v>270.42547472</v>
      </c>
      <c r="R206" s="132" t="n">
        <v>-5.325788392158334</v>
      </c>
      <c r="S206" s="133" t="n">
        <v>3.1684</v>
      </c>
      <c r="T206" s="132" t="n">
        <v>-2.822435503565988</v>
      </c>
      <c r="U206" s="132" t="n">
        <v>9.670999999999999</v>
      </c>
      <c r="V206" s="132" t="n">
        <v>-1.890000000000001</v>
      </c>
      <c r="W206" s="127" t="n">
        <v>52.2</v>
      </c>
      <c r="X206" s="132" t="n">
        <v>-5.152315302550081</v>
      </c>
    </row>
    <row r="207">
      <c r="C207" s="112" t="n">
        <v>42826</v>
      </c>
      <c r="D207" s="127" t="n">
        <v>5475.9321</v>
      </c>
      <c r="E207" s="132" t="n">
        <v>5.481240094999894</v>
      </c>
      <c r="F207" s="127" t="n">
        <v>108.6842976812449</v>
      </c>
      <c r="G207" s="127" t="n">
        <v>6.194315461955303</v>
      </c>
      <c r="H207" s="132" t="n">
        <v>1.14</v>
      </c>
      <c r="I207" s="132" t="n">
        <v>0.535</v>
      </c>
      <c r="J207" s="132" t="n">
        <v>4.12</v>
      </c>
      <c r="K207" s="132" t="n">
        <v>-0.5541666666666671</v>
      </c>
      <c r="L207" s="132" t="n">
        <v>4.57</v>
      </c>
      <c r="M207" s="132" t="n">
        <v>-1.72</v>
      </c>
      <c r="N207" s="132" t="n">
        <v>0.9630321349999971</v>
      </c>
      <c r="O207" s="127" t="n">
        <v>84.0128</v>
      </c>
      <c r="P207" s="132" t="n">
        <v>-4.172278469516521</v>
      </c>
      <c r="Q207" s="127" t="n">
        <v>268.70653952</v>
      </c>
      <c r="R207" s="132" t="n">
        <v>-1.914617840687086</v>
      </c>
      <c r="S207" s="133" t="n">
        <v>3.1984</v>
      </c>
      <c r="T207" s="132" t="n">
        <v>2.257660628829435</v>
      </c>
      <c r="U207" s="132" t="n">
        <v>9.301</v>
      </c>
      <c r="V207" s="132" t="n">
        <v>-1.529</v>
      </c>
      <c r="W207" s="127" t="n">
        <v>49.46</v>
      </c>
      <c r="X207" s="132" t="n">
        <v>-11.07040783045921</v>
      </c>
    </row>
    <row r="208">
      <c r="C208" s="112" t="n">
        <v>42856</v>
      </c>
      <c r="D208" s="127" t="n">
        <v>5537.8755</v>
      </c>
      <c r="E208" s="132" t="n">
        <v>2.841825409139184</v>
      </c>
      <c r="F208" s="127" t="n">
        <v>111.0821023300067</v>
      </c>
      <c r="G208" s="127" t="n">
        <v>4.300696574432748</v>
      </c>
      <c r="H208" s="132" t="n">
        <v>1.280833333333333</v>
      </c>
      <c r="I208" s="132" t="n">
        <v>0.4858333333333333</v>
      </c>
      <c r="J208" s="132" t="n">
        <v>4.114166666666667</v>
      </c>
      <c r="K208" s="132" t="n">
        <v>-0.269166666666667</v>
      </c>
      <c r="L208" s="132" t="n">
        <v>4.08</v>
      </c>
      <c r="M208" s="132" t="n">
        <v>-1.27</v>
      </c>
      <c r="N208" s="132" t="n">
        <v>0.721638155000015</v>
      </c>
      <c r="O208" s="127" t="n">
        <v>82.8292</v>
      </c>
      <c r="P208" s="132" t="n">
        <v>-5.758356264507906</v>
      </c>
      <c r="Q208" s="127" t="n">
        <v>268.67307604</v>
      </c>
      <c r="R208" s="132" t="n">
        <v>-1.204518863137927</v>
      </c>
      <c r="S208" s="133" t="n">
        <v>3.2437</v>
      </c>
      <c r="T208" s="132" t="n">
        <v>4.553837401369975</v>
      </c>
      <c r="U208" s="132" t="n">
        <v>9.147</v>
      </c>
      <c r="V208" s="132" t="n">
        <v>-1.055999999999999</v>
      </c>
      <c r="W208" s="127" t="n">
        <v>49.4</v>
      </c>
      <c r="X208" s="132" t="n">
        <v>-7.711097741349142</v>
      </c>
    </row>
    <row r="209">
      <c r="C209" s="112" t="n">
        <v>42887</v>
      </c>
      <c r="D209" s="127" t="n">
        <v>5534.1045</v>
      </c>
      <c r="E209" s="132" t="n">
        <v>-0.6825422116662587</v>
      </c>
      <c r="F209" s="127" t="n">
        <v>112.1901046785957</v>
      </c>
      <c r="G209" s="127" t="n">
        <v>1.243463204219264</v>
      </c>
      <c r="H209" s="132" t="n">
        <v>1.195</v>
      </c>
      <c r="I209" s="132" t="n">
        <v>0.2175</v>
      </c>
      <c r="J209" s="132" t="n">
        <v>3.855</v>
      </c>
      <c r="K209" s="132" t="n">
        <v>-0.3449999999999993</v>
      </c>
      <c r="L209" s="132" t="n">
        <v>3.6</v>
      </c>
      <c r="M209" s="132" t="n">
        <v>-1.16</v>
      </c>
      <c r="N209" s="132" t="n">
        <v>0.7015600850000192</v>
      </c>
      <c r="O209" s="127" t="n">
        <v>82.60169999999999</v>
      </c>
      <c r="P209" s="132" t="n">
        <v>-3.273956093687919</v>
      </c>
      <c r="Q209" s="127" t="n">
        <v>273.26294394</v>
      </c>
      <c r="R209" s="132" t="n">
        <v>1.043794528111707</v>
      </c>
      <c r="S209" s="133" t="n">
        <v>3.3082</v>
      </c>
      <c r="T209" s="132" t="n">
        <v>4.317750621799611</v>
      </c>
      <c r="U209" s="132" t="n">
        <v>8.766</v>
      </c>
      <c r="V209" s="132" t="n">
        <v>-0.9049999999999994</v>
      </c>
      <c r="W209" s="127" t="n">
        <v>47.08</v>
      </c>
      <c r="X209" s="132" t="n">
        <v>-10.32342124965172</v>
      </c>
    </row>
    <row r="210">
      <c r="C210" s="112" t="n">
        <v>42917</v>
      </c>
      <c r="D210" s="127" t="n">
        <v>5500.3999</v>
      </c>
      <c r="E210" s="132" t="n">
        <v>0.4458290898553155</v>
      </c>
      <c r="F210" s="127" t="n">
        <v>111.669125543712</v>
      </c>
      <c r="G210" s="127" t="n">
        <v>2.709293457082986</v>
      </c>
      <c r="H210" s="132" t="n">
        <v>1.308333333333333</v>
      </c>
      <c r="I210" s="132" t="n">
        <v>0.168333333333333</v>
      </c>
      <c r="J210" s="132" t="n">
        <v>3.875</v>
      </c>
      <c r="K210" s="132" t="n">
        <v>-0.2450000000000001</v>
      </c>
      <c r="L210" s="132" t="n">
        <v>3</v>
      </c>
      <c r="M210" s="132" t="n">
        <v>-1.57</v>
      </c>
      <c r="N210" s="132" t="n">
        <v>0.2193980018000197</v>
      </c>
      <c r="O210" s="127" t="n">
        <v>84.39149999999999</v>
      </c>
      <c r="P210" s="132" t="n">
        <v>0.4497517442857593</v>
      </c>
      <c r="Q210" s="127" t="n">
        <v>264.20446905</v>
      </c>
      <c r="R210" s="132" t="n">
        <v>-1.689654560073773</v>
      </c>
      <c r="S210" s="133" t="n">
        <v>3.1307</v>
      </c>
      <c r="T210" s="132" t="n">
        <v>-2.139406304359547</v>
      </c>
      <c r="U210" s="132" t="n">
        <v>7.977</v>
      </c>
      <c r="V210" s="132" t="n">
        <v>-1.324</v>
      </c>
      <c r="W210" s="127" t="n">
        <v>51.99</v>
      </c>
      <c r="X210" s="132" t="n">
        <v>4.988713030235431</v>
      </c>
    </row>
    <row r="211">
      <c r="C211" s="112" t="n">
        <v>42948</v>
      </c>
      <c r="D211" s="127" t="n">
        <v>5512.0093</v>
      </c>
      <c r="E211" s="132" t="n">
        <v>-0.4681722518180559</v>
      </c>
      <c r="F211" s="127" t="n">
        <v>111.6306354146937</v>
      </c>
      <c r="G211" s="127" t="n">
        <v>0.492593463142876</v>
      </c>
      <c r="H211" s="132" t="n">
        <v>1.466666666666667</v>
      </c>
      <c r="I211" s="132" t="n">
        <v>0.1858333333333335</v>
      </c>
      <c r="J211" s="132" t="n">
        <v>3.923333333333334</v>
      </c>
      <c r="K211" s="132" t="n">
        <v>-0.190833333333333</v>
      </c>
      <c r="L211" s="132" t="n">
        <v>2.71</v>
      </c>
      <c r="M211" s="132" t="n">
        <v>-1.37</v>
      </c>
      <c r="N211" s="132" t="n">
        <v>0.3194772888000186</v>
      </c>
      <c r="O211" s="127" t="n">
        <v>84.65649999999999</v>
      </c>
      <c r="P211" s="132" t="n">
        <v>2.182123617306111</v>
      </c>
      <c r="Q211" s="127" t="n">
        <v>266.42247115</v>
      </c>
      <c r="R211" s="132" t="n">
        <v>-0.8412023509712895</v>
      </c>
      <c r="S211" s="133" t="n">
        <v>3.1471</v>
      </c>
      <c r="T211" s="132" t="n">
        <v>-3.023325968277393</v>
      </c>
      <c r="U211" s="132" t="n">
        <v>7.573</v>
      </c>
      <c r="V211" s="132" t="n">
        <v>-1.574</v>
      </c>
      <c r="W211" s="127" t="n">
        <v>52.69</v>
      </c>
      <c r="X211" s="132" t="n">
        <v>6.447526002731767</v>
      </c>
    </row>
    <row r="212">
      <c r="C212" s="112" t="n">
        <v>42979</v>
      </c>
      <c r="D212" s="127" t="n">
        <v>5500.3379</v>
      </c>
      <c r="E212" s="132" t="n">
        <v>-0.6120237738598205</v>
      </c>
      <c r="F212" s="127" t="n">
        <v>111.6617597271095</v>
      </c>
      <c r="G212" s="127" t="n">
        <v>-0.4720496154765267</v>
      </c>
      <c r="H212" s="132" t="n">
        <v>1.96</v>
      </c>
      <c r="I212" s="132" t="n">
        <v>0.7649999999999999</v>
      </c>
      <c r="J212" s="132" t="n">
        <v>3.7825</v>
      </c>
      <c r="K212" s="132" t="n">
        <v>-0.07250000000000023</v>
      </c>
      <c r="L212" s="132" t="n">
        <v>2.46</v>
      </c>
      <c r="M212" s="132" t="n">
        <v>-1.14</v>
      </c>
      <c r="N212" s="132" t="n">
        <v>0.1994659511999952</v>
      </c>
      <c r="O212" s="127" t="n">
        <v>84.4599</v>
      </c>
      <c r="P212" s="132" t="n">
        <v>2.224660408372864</v>
      </c>
      <c r="Q212" s="127" t="n">
        <v>267.5689632</v>
      </c>
      <c r="R212" s="132" t="n">
        <v>-2.105715679007547</v>
      </c>
      <c r="S212" s="133" t="n">
        <v>3.168</v>
      </c>
      <c r="T212" s="132" t="n">
        <v>-4.330376087380417</v>
      </c>
      <c r="U212" s="132" t="n">
        <v>7.125</v>
      </c>
      <c r="V212" s="132" t="n">
        <v>-1.641</v>
      </c>
      <c r="W212" s="127" t="n">
        <v>57.02</v>
      </c>
      <c r="X212" s="132" t="n">
        <v>19.15538010924501</v>
      </c>
    </row>
    <row r="213">
      <c r="C213" s="112" t="n">
        <v>43009</v>
      </c>
      <c r="D213" s="127" t="n">
        <v>5577.125</v>
      </c>
      <c r="E213" s="132" t="n">
        <v>1.385261195403357</v>
      </c>
      <c r="F213" s="127" t="n">
        <v>112.8485936246344</v>
      </c>
      <c r="G213" s="127" t="n">
        <v>1.050677813430066</v>
      </c>
      <c r="H213" s="132" t="n">
        <v>2.205</v>
      </c>
      <c r="I213" s="132" t="n">
        <v>0.8966666666666669</v>
      </c>
      <c r="J213" s="132" t="n">
        <v>3.863333333333333</v>
      </c>
      <c r="K213" s="132" t="n">
        <v>-0.01166666666666716</v>
      </c>
      <c r="L213" s="132" t="n">
        <v>2.54</v>
      </c>
      <c r="M213" s="132" t="n">
        <v>-0.46</v>
      </c>
      <c r="N213" s="132" t="n">
        <v>0.5911447296000016</v>
      </c>
      <c r="O213" s="127" t="n">
        <v>86.18819999999999</v>
      </c>
      <c r="P213" s="132" t="n">
        <v>2.106659171819574</v>
      </c>
      <c r="Q213" s="127" t="n">
        <v>282.43011258</v>
      </c>
      <c r="R213" s="132" t="n">
        <v>6.670782353326259</v>
      </c>
      <c r="S213" s="133" t="n">
        <v>3.2769</v>
      </c>
      <c r="T213" s="132" t="n">
        <v>4.564123181506698</v>
      </c>
      <c r="U213" s="132" t="n">
        <v>7.142</v>
      </c>
      <c r="V213" s="132" t="n">
        <v>-0.835</v>
      </c>
      <c r="W213" s="127" t="n">
        <v>61.35</v>
      </c>
      <c r="X213" s="132" t="n">
        <v>16.5543778761296</v>
      </c>
    </row>
    <row r="214">
      <c r="C214" s="112" t="n">
        <v>43040</v>
      </c>
      <c r="D214" s="127" t="n">
        <v>5709.207</v>
      </c>
      <c r="E214" s="132" t="n">
        <v>3.515091392614555</v>
      </c>
      <c r="F214" s="127" t="n">
        <v>115.089354728754</v>
      </c>
      <c r="G214" s="127" t="n">
        <v>3.051330113785206</v>
      </c>
      <c r="H214" s="132" t="n">
        <v>2.455</v>
      </c>
      <c r="I214" s="132" t="n">
        <v>0.9883333333333328</v>
      </c>
      <c r="J214" s="132" t="n">
        <v>3.9375</v>
      </c>
      <c r="K214" s="132" t="n">
        <v>0.01416666666666577</v>
      </c>
      <c r="L214" s="132" t="n">
        <v>2.7</v>
      </c>
      <c r="M214" s="132" t="n">
        <v>-0.009999999999999787</v>
      </c>
      <c r="N214" s="132" t="n">
        <v>0.7717752767999908</v>
      </c>
      <c r="O214" s="127" t="n">
        <v>85.7033</v>
      </c>
      <c r="P214" s="132" t="n">
        <v>1.228943887987711</v>
      </c>
      <c r="Q214" s="127" t="n">
        <v>279.52988328</v>
      </c>
      <c r="R214" s="132" t="n">
        <v>4.802591753048559</v>
      </c>
      <c r="S214" s="133" t="n">
        <v>3.2616</v>
      </c>
      <c r="T214" s="132" t="n">
        <v>3.573647865060846</v>
      </c>
      <c r="U214" s="132" t="n">
        <v>7.021</v>
      </c>
      <c r="V214" s="132" t="n">
        <v>-0.5520000000000005</v>
      </c>
      <c r="W214" s="127" t="n">
        <v>63.53</v>
      </c>
      <c r="X214" s="132" t="n">
        <v>18.70865510572476</v>
      </c>
    </row>
    <row r="215">
      <c r="C215" s="112" t="n">
        <v>43070</v>
      </c>
      <c r="D215" s="127" t="n">
        <v>5944.4844</v>
      </c>
      <c r="E215" s="132" t="n">
        <v>7.765427132355393</v>
      </c>
      <c r="F215" s="127" t="n">
        <v>118.926008430268</v>
      </c>
      <c r="G215" s="127" t="n">
        <v>6.302722238143653</v>
      </c>
      <c r="H215" s="132" t="n">
        <v>2.7</v>
      </c>
      <c r="I215" s="132" t="n">
        <v>0.7400000000000002</v>
      </c>
      <c r="J215" s="132" t="n">
        <v>3.96</v>
      </c>
      <c r="K215" s="132" t="n">
        <v>0.1775000000000002</v>
      </c>
      <c r="L215" s="132" t="n">
        <v>2.8</v>
      </c>
      <c r="M215" s="132" t="n">
        <v>0.3399999999999999</v>
      </c>
      <c r="N215" s="132" t="n">
        <v>0.8622978815999938</v>
      </c>
      <c r="O215" s="127" t="n">
        <v>88.1674</v>
      </c>
      <c r="P215" s="132" t="n">
        <v>4.296041466331964</v>
      </c>
      <c r="Q215" s="127" t="n">
        <v>291.6577592</v>
      </c>
      <c r="R215" s="132" t="n">
        <v>8.620371787258479</v>
      </c>
      <c r="S215" s="133" t="n">
        <v>3.308</v>
      </c>
      <c r="T215" s="132" t="n">
        <v>4.324330320926538</v>
      </c>
      <c r="U215" s="132" t="n">
        <v>6.855</v>
      </c>
      <c r="V215" s="132" t="n">
        <v>-0.2699999999999996</v>
      </c>
      <c r="W215" s="127" t="n">
        <v>66.73</v>
      </c>
      <c r="X215" s="132" t="n">
        <v>15.72525434309893</v>
      </c>
    </row>
    <row r="216">
      <c r="C216" s="112" t="n">
        <v>43101</v>
      </c>
      <c r="D216" s="127" t="n">
        <v>6179.4556</v>
      </c>
      <c r="E216" s="132" t="n">
        <v>10.25567663343164</v>
      </c>
      <c r="F216" s="127" t="n">
        <v>124.3071419999567</v>
      </c>
      <c r="G216" s="127" t="n">
        <v>9.670841378589776</v>
      </c>
      <c r="H216" s="132" t="n">
        <v>2.706666666666667</v>
      </c>
      <c r="I216" s="132" t="n">
        <v>0.5016666666666669</v>
      </c>
      <c r="J216" s="132" t="n">
        <v>3.975000000000001</v>
      </c>
      <c r="K216" s="132" t="n">
        <v>0.1116666666666677</v>
      </c>
      <c r="L216" s="132" t="n">
        <v>2.95</v>
      </c>
      <c r="M216" s="132" t="n">
        <v>0.4100000000000001</v>
      </c>
      <c r="N216" s="132" t="n">
        <v>1.144261174399985</v>
      </c>
      <c r="O216" s="127" t="n">
        <v>89.8001</v>
      </c>
      <c r="P216" s="132" t="n">
        <v>4.105281154533014</v>
      </c>
      <c r="Q216" s="127" t="n">
        <v>283.98383624</v>
      </c>
      <c r="R216" s="132" t="n">
        <v>0.5486191010198944</v>
      </c>
      <c r="S216" s="133" t="n">
        <v>3.1624</v>
      </c>
      <c r="T216" s="132" t="n">
        <v>-3.556662053513139</v>
      </c>
      <c r="U216" s="132" t="n">
        <v>6.89</v>
      </c>
      <c r="V216" s="132" t="n">
        <v>-0.2520000000000007</v>
      </c>
      <c r="W216" s="127" t="n">
        <v>67.78</v>
      </c>
      <c r="X216" s="132" t="n">
        <v>9.967199502198484</v>
      </c>
    </row>
    <row r="217">
      <c r="C217" s="112" t="n">
        <v>43132</v>
      </c>
      <c r="D217" s="127" t="n">
        <v>6463.8735</v>
      </c>
      <c r="E217" s="132" t="n">
        <v>12.41486162376122</v>
      </c>
      <c r="F217" s="127" t="n">
        <v>130.6534832617494</v>
      </c>
      <c r="G217" s="127" t="n">
        <v>12.68398283290963</v>
      </c>
      <c r="H217" s="132" t="n">
        <v>2.916666666666667</v>
      </c>
      <c r="I217" s="132" t="n">
        <v>0.4616666666666669</v>
      </c>
      <c r="J217" s="132" t="n">
        <v>3.816666666666666</v>
      </c>
      <c r="K217" s="132" t="n">
        <v>-0.1208333333333331</v>
      </c>
      <c r="L217" s="132" t="n">
        <v>2.86</v>
      </c>
      <c r="M217" s="132" t="n">
        <v>0.1599999999999997</v>
      </c>
      <c r="N217" s="132" t="n">
        <v>1.013323572799973</v>
      </c>
      <c r="O217" s="127" t="n">
        <v>88.1409</v>
      </c>
      <c r="P217" s="132" t="n">
        <v>2.80453391095017</v>
      </c>
      <c r="Q217" s="127" t="n">
        <v>286.00840641</v>
      </c>
      <c r="R217" s="132" t="n">
        <v>2.291199962681993</v>
      </c>
      <c r="S217" s="133" t="n">
        <v>3.2449</v>
      </c>
      <c r="T217" s="132" t="n">
        <v>-0.5133339482681895</v>
      </c>
      <c r="U217" s="132" t="n">
        <v>6.669</v>
      </c>
      <c r="V217" s="132" t="n">
        <v>-0.3520000000000003</v>
      </c>
      <c r="W217" s="127" t="n">
        <v>66.08</v>
      </c>
      <c r="X217" s="132" t="n">
        <v>3.935389393428064</v>
      </c>
    </row>
    <row r="218">
      <c r="C218" s="112" t="n">
        <v>43160</v>
      </c>
      <c r="D218" s="127" t="n">
        <v>6749.9937</v>
      </c>
      <c r="E218" s="132" t="n">
        <v>12.70777735121901</v>
      </c>
      <c r="F218" s="127" t="n">
        <v>132.9400646412933</v>
      </c>
      <c r="G218" s="127" t="n">
        <v>11.13968630268573</v>
      </c>
      <c r="H218" s="132" t="n">
        <v>2.88</v>
      </c>
      <c r="I218" s="132" t="n">
        <v>0.1799999999999997</v>
      </c>
      <c r="J218" s="132" t="n">
        <v>3.675</v>
      </c>
      <c r="K218" s="132" t="n">
        <v>-0.2849999999999997</v>
      </c>
      <c r="L218" s="132" t="n">
        <v>2.84</v>
      </c>
      <c r="M218" s="132" t="n">
        <v>0.04000000000000004</v>
      </c>
      <c r="N218" s="132" t="n">
        <v>1.053616083199982</v>
      </c>
      <c r="O218" s="127" t="n">
        <v>87.4729</v>
      </c>
      <c r="P218" s="132" t="n">
        <v>-0.7908249069513996</v>
      </c>
      <c r="Q218" s="127" t="n">
        <v>290.74242502</v>
      </c>
      <c r="R218" s="132" t="n">
        <v>-0.3143319519672966</v>
      </c>
      <c r="S218" s="133" t="n">
        <v>3.3238</v>
      </c>
      <c r="T218" s="132" t="n">
        <v>0.4764929549840951</v>
      </c>
      <c r="U218" s="132" t="n">
        <v>6.292</v>
      </c>
      <c r="V218" s="132" t="n">
        <v>-0.5630000000000006</v>
      </c>
      <c r="W218" s="127" t="n">
        <v>69.02</v>
      </c>
      <c r="X218" s="132" t="n">
        <v>3.374169075434204</v>
      </c>
    </row>
    <row r="219">
      <c r="C219" s="112" t="n">
        <v>43191</v>
      </c>
      <c r="D219" s="127" t="n">
        <v>6833.7041</v>
      </c>
      <c r="E219" s="132" t="n">
        <v>10.06366775663904</v>
      </c>
      <c r="F219" s="127" t="n">
        <v>136.33012477446</v>
      </c>
      <c r="G219" s="127" t="n">
        <v>9.232387780692648</v>
      </c>
      <c r="H219" s="132" t="n">
        <v>2.833333333333333</v>
      </c>
      <c r="I219" s="132" t="n">
        <v>0.126666666666666</v>
      </c>
      <c r="J219" s="132" t="n">
        <v>3.673333333333334</v>
      </c>
      <c r="K219" s="132" t="n">
        <v>-0.3016666666666667</v>
      </c>
      <c r="L219" s="132" t="n">
        <v>2.68</v>
      </c>
      <c r="M219" s="132" t="n">
        <v>-0.27</v>
      </c>
      <c r="N219" s="132" t="n">
        <v>0.7014778351999817</v>
      </c>
      <c r="O219" s="127" t="n">
        <v>89.593</v>
      </c>
      <c r="P219" s="132" t="n">
        <v>-0.2308896964311888</v>
      </c>
      <c r="Q219" s="127" t="n">
        <v>311.8821923</v>
      </c>
      <c r="R219" s="132" t="n">
        <v>9.370820582921853</v>
      </c>
      <c r="S219" s="133" t="n">
        <v>3.4811</v>
      </c>
      <c r="T219" s="132" t="n">
        <v>9.601710279353048</v>
      </c>
      <c r="U219" s="132" t="n">
        <v>6.378</v>
      </c>
      <c r="V219" s="132" t="n">
        <v>-0.5119999999999996</v>
      </c>
      <c r="W219" s="127" t="n">
        <v>75.92</v>
      </c>
      <c r="X219" s="132" t="n">
        <v>11.34129881227672</v>
      </c>
    </row>
    <row r="220">
      <c r="C220" s="112" t="n">
        <v>43221</v>
      </c>
      <c r="D220" s="127" t="n">
        <v>7006.3262</v>
      </c>
      <c r="E220" s="132" t="n">
        <v>8.058473268119979</v>
      </c>
      <c r="F220" s="127" t="n">
        <v>144.3401838877236</v>
      </c>
      <c r="G220" s="127" t="n">
        <v>9.962424900607212</v>
      </c>
      <c r="H220" s="132" t="n">
        <v>2.591666666666667</v>
      </c>
      <c r="I220" s="132" t="n">
        <v>-0.3249999999999997</v>
      </c>
      <c r="J220" s="132" t="n">
        <v>3.7825</v>
      </c>
      <c r="K220" s="132" t="n">
        <v>-0.03416666666666668</v>
      </c>
      <c r="L220" s="132" t="n">
        <v>2.76</v>
      </c>
      <c r="M220" s="132" t="n">
        <v>-0.1000000000000001</v>
      </c>
      <c r="N220" s="132" t="n">
        <v>0.6311906335999984</v>
      </c>
      <c r="O220" s="127" t="n">
        <v>90.7159</v>
      </c>
      <c r="P220" s="132" t="n">
        <v>2.879597456501589</v>
      </c>
      <c r="Q220" s="127" t="n">
        <v>339.0053183</v>
      </c>
      <c r="R220" s="132" t="n">
        <v>16.99945920281379</v>
      </c>
      <c r="S220" s="133" t="n">
        <v>3.737</v>
      </c>
      <c r="T220" s="132" t="n">
        <v>14.11986174631221</v>
      </c>
      <c r="U220" s="132" t="n">
        <v>7.22</v>
      </c>
      <c r="V220" s="132" t="n">
        <v>0.5510000000000002</v>
      </c>
      <c r="W220" s="127" t="n">
        <v>76.45</v>
      </c>
      <c r="X220" s="132" t="n">
        <v>14.57708031623488</v>
      </c>
    </row>
    <row r="221">
      <c r="C221" s="112" t="n">
        <v>43252</v>
      </c>
      <c r="D221" s="127" t="n">
        <v>7059.3154</v>
      </c>
      <c r="E221" s="132" t="n">
        <v>4.480650641417245</v>
      </c>
      <c r="F221" s="127" t="n">
        <v>145.7501207877949</v>
      </c>
      <c r="G221" s="127" t="n">
        <v>9.199526910554741</v>
      </c>
      <c r="H221" s="132" t="n">
        <v>2.025</v>
      </c>
      <c r="I221" s="132" t="n">
        <v>-0.855</v>
      </c>
      <c r="J221" s="132" t="n">
        <v>4.065</v>
      </c>
      <c r="K221" s="132" t="n">
        <v>0.3899999999999992</v>
      </c>
      <c r="L221" s="132" t="n">
        <v>2.86</v>
      </c>
      <c r="M221" s="132" t="n">
        <v>0.02000000000000002</v>
      </c>
      <c r="N221" s="132" t="n">
        <v>0.7114387919999743</v>
      </c>
      <c r="O221" s="127" t="n">
        <v>87.40949999999999</v>
      </c>
      <c r="P221" s="132" t="n">
        <v>-0.07250586997606147</v>
      </c>
      <c r="Q221" s="127" t="n">
        <v>337.0335501</v>
      </c>
      <c r="R221" s="132" t="n">
        <v>14.7744742772185</v>
      </c>
      <c r="S221" s="133" t="n">
        <v>3.8558</v>
      </c>
      <c r="T221" s="132" t="n">
        <v>14.84698014719455</v>
      </c>
      <c r="U221" s="132" t="n">
        <v>7.575</v>
      </c>
      <c r="V221" s="132" t="n">
        <v>1.283</v>
      </c>
      <c r="W221" s="127" t="n">
        <v>77.44</v>
      </c>
      <c r="X221" s="132" t="n">
        <v>11.51071252984643</v>
      </c>
    </row>
    <row r="222">
      <c r="C222" s="112" t="n">
        <v>43282</v>
      </c>
      <c r="D222" s="127" t="n">
        <v>7234.7583</v>
      </c>
      <c r="E222" s="132" t="n">
        <v>5.703009793545528</v>
      </c>
      <c r="F222" s="127" t="n">
        <v>149.207250138822</v>
      </c>
      <c r="G222" s="127" t="n">
        <v>9.025694757669358</v>
      </c>
      <c r="H222" s="132" t="n">
        <v>2.083333333333333</v>
      </c>
      <c r="I222" s="132" t="n">
        <v>-0.75</v>
      </c>
      <c r="J222" s="132" t="n">
        <v>4.1</v>
      </c>
      <c r="K222" s="132" t="n">
        <v>0.4266666666666659</v>
      </c>
      <c r="L222" s="132" t="n">
        <v>4.39</v>
      </c>
      <c r="M222" s="132" t="n">
        <v>1.71</v>
      </c>
      <c r="N222" s="132" t="n">
        <v>1.888703087999999</v>
      </c>
      <c r="O222" s="127" t="n">
        <v>85.3947</v>
      </c>
      <c r="P222" s="132" t="n">
        <v>-4.79931539502303</v>
      </c>
      <c r="Q222" s="127" t="n">
        <v>320.64855903</v>
      </c>
      <c r="R222" s="132" t="n">
        <v>2.772016395892745</v>
      </c>
      <c r="S222" s="133" t="n">
        <v>3.7549</v>
      </c>
      <c r="T222" s="132" t="n">
        <v>7.571331790915798</v>
      </c>
      <c r="U222" s="132" t="n">
        <v>7.396</v>
      </c>
      <c r="V222" s="132" t="n">
        <v>1.018</v>
      </c>
      <c r="W222" s="127" t="n">
        <v>74.16</v>
      </c>
      <c r="X222" s="132" t="n">
        <v>-2.345523304407276</v>
      </c>
    </row>
    <row r="223">
      <c r="C223" s="112" t="n">
        <v>43313</v>
      </c>
      <c r="D223" s="127" t="n">
        <v>7458.1426</v>
      </c>
      <c r="E223" s="132" t="n">
        <v>6.249291819869445</v>
      </c>
      <c r="F223" s="127" t="n">
        <v>153.7819257464635</v>
      </c>
      <c r="G223" s="127" t="n">
        <v>6.336263062905119</v>
      </c>
      <c r="H223" s="132" t="n">
        <v>2.146666666666667</v>
      </c>
      <c r="I223" s="132" t="n">
        <v>-0.4449999999999998</v>
      </c>
      <c r="J223" s="132" t="n">
        <v>4.126666666666667</v>
      </c>
      <c r="K223" s="132" t="n">
        <v>0.3441666666666672</v>
      </c>
      <c r="L223" s="132" t="n">
        <v>4.48</v>
      </c>
      <c r="M223" s="132" t="n">
        <v>1.720000000000001</v>
      </c>
      <c r="N223" s="132" t="n">
        <v>2.000534631999984</v>
      </c>
      <c r="O223" s="127" t="n">
        <v>83.736</v>
      </c>
      <c r="P223" s="132" t="n">
        <v>-8.006365240205218</v>
      </c>
      <c r="Q223" s="127" t="n">
        <v>346.2734808</v>
      </c>
      <c r="R223" s="132" t="n">
        <v>2.121307432909918</v>
      </c>
      <c r="S223" s="133" t="n">
        <v>4.1353</v>
      </c>
      <c r="T223" s="132" t="n">
        <v>10.12767267311512</v>
      </c>
      <c r="U223" s="132" t="n">
        <v>8.188000000000001</v>
      </c>
      <c r="V223" s="132" t="n">
        <v>0.9680000000000009</v>
      </c>
      <c r="W223" s="127" t="n">
        <v>76.94</v>
      </c>
      <c r="X223" s="132" t="n">
        <v>0.6388964949077685</v>
      </c>
    </row>
    <row r="224">
      <c r="C224" s="112" t="n">
        <v>43344</v>
      </c>
      <c r="D224" s="127" t="n">
        <v>7740.3882</v>
      </c>
      <c r="E224" s="132" t="n">
        <v>9.210376341783155</v>
      </c>
      <c r="F224" s="127" t="n">
        <v>159.6960778435433</v>
      </c>
      <c r="G224" s="127" t="n">
        <v>9.13788414294245</v>
      </c>
      <c r="H224" s="132" t="n">
        <v>2.2125</v>
      </c>
      <c r="I224" s="132" t="n">
        <v>0.1875</v>
      </c>
      <c r="J224" s="132" t="n">
        <v>4.225000000000001</v>
      </c>
      <c r="K224" s="132" t="n">
        <v>0.160000000000001</v>
      </c>
      <c r="L224" s="132" t="n">
        <v>4.19</v>
      </c>
      <c r="M224" s="132" t="n">
        <v>1.330000000000001</v>
      </c>
      <c r="N224" s="132" t="n">
        <v>1.502723257800009</v>
      </c>
      <c r="O224" s="127" t="n">
        <v>85.20099999999999</v>
      </c>
      <c r="P224" s="132" t="n">
        <v>-2.559080155112649</v>
      </c>
      <c r="Q224" s="127" t="n">
        <v>341.1362839</v>
      </c>
      <c r="R224" s="132" t="n">
        <v>1.209957638176013</v>
      </c>
      <c r="S224" s="133" t="n">
        <v>4.0039</v>
      </c>
      <c r="T224" s="132" t="n">
        <v>3.769037793288656</v>
      </c>
      <c r="U224" s="132" t="n">
        <v>7.951</v>
      </c>
      <c r="V224" s="132" t="n">
        <v>0.3759999999999994</v>
      </c>
      <c r="W224" s="127" t="n">
        <v>82.72</v>
      </c>
      <c r="X224" s="132" t="n">
        <v>6.595796779179737</v>
      </c>
    </row>
    <row r="225">
      <c r="C225" s="112" t="n">
        <v>43374</v>
      </c>
      <c r="D225" s="127" t="n">
        <v>7890.7725</v>
      </c>
      <c r="E225" s="132" t="n">
        <v>8.679708633392929</v>
      </c>
      <c r="F225" s="127" t="n">
        <v>163.8323173812521</v>
      </c>
      <c r="G225" s="127" t="n">
        <v>9.35071697553791</v>
      </c>
      <c r="H225" s="132" t="n">
        <v>2.31</v>
      </c>
      <c r="I225" s="132" t="n">
        <v>0.226666666666667</v>
      </c>
      <c r="J225" s="132" t="n">
        <v>4.253333333333333</v>
      </c>
      <c r="K225" s="132" t="n">
        <v>0.1533333333333333</v>
      </c>
      <c r="L225" s="132" t="n">
        <v>4.53</v>
      </c>
      <c r="M225" s="132" t="n">
        <v>0.1400000000000006</v>
      </c>
      <c r="N225" s="132" t="n">
        <v>0.7208535743999933</v>
      </c>
      <c r="O225" s="127" t="n">
        <v>83.19029999999999</v>
      </c>
      <c r="P225" s="132" t="n">
        <v>-2.615328348677515</v>
      </c>
      <c r="Q225" s="127" t="n">
        <v>309.2765783099999</v>
      </c>
      <c r="R225" s="132" t="n">
        <v>-3.610973968827263</v>
      </c>
      <c r="S225" s="133" t="n">
        <v>3.7177</v>
      </c>
      <c r="T225" s="132" t="n">
        <v>-0.9956456201497422</v>
      </c>
      <c r="U225" s="132" t="n">
        <v>7.001</v>
      </c>
      <c r="V225" s="132" t="n">
        <v>-0.3949999999999996</v>
      </c>
      <c r="W225" s="127" t="n">
        <v>74.84</v>
      </c>
      <c r="X225" s="132" t="n">
        <v>0.9127580148289247</v>
      </c>
    </row>
    <row r="226">
      <c r="C226" s="112" t="n">
        <v>43405</v>
      </c>
      <c r="D226" s="127" t="n">
        <v>8341.815399999999</v>
      </c>
      <c r="E226" s="132" t="n">
        <v>11.19744645625967</v>
      </c>
      <c r="F226" s="127" t="n">
        <v>162.0102659622586</v>
      </c>
      <c r="G226" s="127" t="n">
        <v>5.212417109956551</v>
      </c>
      <c r="H226" s="132" t="n">
        <v>2.429166666666666</v>
      </c>
      <c r="I226" s="132" t="n">
        <v>0.2824999999999993</v>
      </c>
      <c r="J226" s="132" t="n">
        <v>4.091666666666667</v>
      </c>
      <c r="K226" s="132" t="n">
        <v>-0.03500000000000014</v>
      </c>
      <c r="L226" s="132" t="n">
        <v>4.56</v>
      </c>
      <c r="M226" s="132" t="n">
        <v>0.07999999999999918</v>
      </c>
      <c r="N226" s="132" t="n">
        <v>0.8413210559999884</v>
      </c>
      <c r="O226" s="127" t="n">
        <v>82.5607</v>
      </c>
      <c r="P226" s="132" t="n">
        <v>-1.41352121731034</v>
      </c>
      <c r="Q226" s="127" t="n">
        <v>318.95675231</v>
      </c>
      <c r="R226" s="132" t="n">
        <v>-8.217334888896959</v>
      </c>
      <c r="S226" s="133" t="n">
        <v>3.8633</v>
      </c>
      <c r="T226" s="132" t="n">
        <v>-6.803813671586615</v>
      </c>
      <c r="U226" s="132" t="n">
        <v>6.909</v>
      </c>
      <c r="V226" s="132" t="n">
        <v>-1.279000000000001</v>
      </c>
      <c r="W226" s="127" t="n">
        <v>57.71</v>
      </c>
      <c r="X226" s="132" t="n">
        <v>-28.75954286012739</v>
      </c>
    </row>
    <row r="227">
      <c r="C227" s="112" t="n">
        <v>43435</v>
      </c>
      <c r="D227" s="127" t="n">
        <v>8526.640600000001</v>
      </c>
      <c r="E227" s="132" t="n">
        <v>9.674360901940005</v>
      </c>
      <c r="F227" s="127" t="n">
        <v>162.7548817924438</v>
      </c>
      <c r="G227" s="127" t="n">
        <v>1.897278089890521</v>
      </c>
      <c r="H227" s="132" t="n">
        <v>2.53</v>
      </c>
      <c r="I227" s="132" t="n">
        <v>0.3174999999999999</v>
      </c>
      <c r="J227" s="132" t="n">
        <v>4.01</v>
      </c>
      <c r="K227" s="132" t="n">
        <v>-0.2150000000000007</v>
      </c>
      <c r="L227" s="132" t="n">
        <v>4.05</v>
      </c>
      <c r="M227" s="132" t="n">
        <v>-0.1400000000000006</v>
      </c>
      <c r="N227" s="132" t="n">
        <v>0.7202024639999749</v>
      </c>
      <c r="O227" s="127" t="n">
        <v>76.7154</v>
      </c>
      <c r="P227" s="132" t="n">
        <v>-10.49107003678653</v>
      </c>
      <c r="Q227" s="127" t="n">
        <v>297.25683192</v>
      </c>
      <c r="R227" s="132" t="n">
        <v>-13.76855379138905</v>
      </c>
      <c r="S227" s="133" t="n">
        <v>3.8748</v>
      </c>
      <c r="T227" s="132" t="n">
        <v>-3.277483754602518</v>
      </c>
      <c r="U227" s="132" t="n">
        <v>6.545</v>
      </c>
      <c r="V227" s="132" t="n">
        <v>-1.406</v>
      </c>
      <c r="W227" s="127" t="n">
        <v>50.57</v>
      </c>
      <c r="X227" s="132" t="n">
        <v>-49.21028956682272</v>
      </c>
    </row>
    <row r="228">
      <c r="C228" s="112" t="n">
        <v>43466</v>
      </c>
      <c r="D228" s="127" t="n">
        <v>7915.1655</v>
      </c>
      <c r="E228" s="132" t="n">
        <v>0.3086563969282541</v>
      </c>
      <c r="F228" s="127" t="n">
        <v>162.6699807869672</v>
      </c>
      <c r="G228" s="127" t="n">
        <v>-0.7119959100288581</v>
      </c>
      <c r="H228" s="132" t="n">
        <v>2.5</v>
      </c>
      <c r="I228" s="132" t="n">
        <v>0.1899999999999999</v>
      </c>
      <c r="J228" s="132" t="n">
        <v>4</v>
      </c>
      <c r="K228" s="132" t="n">
        <v>-0.253333333333333</v>
      </c>
      <c r="L228" s="132" t="n">
        <v>3.75</v>
      </c>
      <c r="M228" s="132" t="n">
        <v>-0.7800000000000002</v>
      </c>
      <c r="N228" s="132" t="n">
        <v>0.3894135824999978</v>
      </c>
      <c r="O228" s="127" t="n">
        <v>80.7252</v>
      </c>
      <c r="P228" s="132" t="n">
        <v>-3.007996030346453</v>
      </c>
      <c r="Q228" s="127" t="n">
        <v>294.80035788</v>
      </c>
      <c r="R228" s="132" t="n">
        <v>-4.793757770347082</v>
      </c>
      <c r="S228" s="133" t="n">
        <v>3.6519</v>
      </c>
      <c r="T228" s="132" t="n">
        <v>-1.785761740000635</v>
      </c>
      <c r="U228" s="132" t="n">
        <v>6.416</v>
      </c>
      <c r="V228" s="132" t="n">
        <v>-0.585</v>
      </c>
      <c r="W228" s="127" t="n">
        <v>62.46</v>
      </c>
      <c r="X228" s="132" t="n">
        <v>-18.08261495509563</v>
      </c>
    </row>
    <row r="229">
      <c r="C229" s="112" t="n">
        <v>43497</v>
      </c>
      <c r="D229" s="127" t="n">
        <v>8062.0854</v>
      </c>
      <c r="E229" s="132" t="n">
        <v>-3.410860900019309</v>
      </c>
      <c r="F229" s="127" t="n">
        <v>166.0599132449653</v>
      </c>
      <c r="G229" s="127" t="n">
        <v>2.468894303990698</v>
      </c>
      <c r="H229" s="132" t="n">
        <v>2.516666666666667</v>
      </c>
      <c r="I229" s="132" t="n">
        <v>0.08750000000000036</v>
      </c>
      <c r="J229" s="132" t="n">
        <v>3.875</v>
      </c>
      <c r="K229" s="132" t="n">
        <v>-0.2166666666666668</v>
      </c>
      <c r="L229" s="132" t="n">
        <v>3.78</v>
      </c>
      <c r="M229" s="132" t="n">
        <v>-0.7799999999999998</v>
      </c>
      <c r="N229" s="132" t="n">
        <v>0.259491992000016</v>
      </c>
      <c r="O229" s="127" t="n">
        <v>81.3904</v>
      </c>
      <c r="P229" s="132" t="n">
        <v>-1.427645044393157</v>
      </c>
      <c r="Q229" s="127" t="n">
        <v>304.2780104</v>
      </c>
      <c r="R229" s="132" t="n">
        <v>-4.711372950473025</v>
      </c>
      <c r="S229" s="133" t="n">
        <v>3.7385</v>
      </c>
      <c r="T229" s="132" t="n">
        <v>-3.283727906079866</v>
      </c>
      <c r="U229" s="132" t="n">
        <v>6.541</v>
      </c>
      <c r="V229" s="132" t="n">
        <v>-0.3679999999999994</v>
      </c>
      <c r="W229" s="127" t="n">
        <v>65.03</v>
      </c>
      <c r="X229" s="132" t="n">
        <v>11.94182331581855</v>
      </c>
    </row>
    <row r="230">
      <c r="C230" s="112" t="n">
        <v>43525</v>
      </c>
      <c r="D230" s="127" t="n">
        <v>8234.608399999999</v>
      </c>
      <c r="E230" s="132" t="n">
        <v>-3.484964103005325</v>
      </c>
      <c r="F230" s="127" t="n">
        <v>169.1281752462314</v>
      </c>
      <c r="G230" s="127" t="n">
        <v>3.841158457613381</v>
      </c>
      <c r="H230" s="132" t="n">
        <v>2.1725</v>
      </c>
      <c r="I230" s="132" t="n">
        <v>-0.3574999999999999</v>
      </c>
      <c r="J230" s="132" t="n">
        <v>3.9175</v>
      </c>
      <c r="K230" s="132" t="n">
        <v>-0.0924999999999998</v>
      </c>
      <c r="L230" s="132" t="n">
        <v>3.89</v>
      </c>
      <c r="M230" s="132" t="n">
        <v>-0.1599999999999997</v>
      </c>
      <c r="N230" s="132" t="n">
        <v>0.9025030639999931</v>
      </c>
      <c r="O230" s="127" t="n">
        <v>81.0872</v>
      </c>
      <c r="P230" s="132" t="n">
        <v>5.542264833749586</v>
      </c>
      <c r="Q230" s="127" t="n">
        <v>315.97249224</v>
      </c>
      <c r="R230" s="132" t="n">
        <v>6.105864086661398</v>
      </c>
      <c r="S230" s="133" t="n">
        <v>3.8967</v>
      </c>
      <c r="T230" s="132" t="n">
        <v>0.5635992529118088</v>
      </c>
      <c r="U230" s="132" t="n">
        <v>6.579</v>
      </c>
      <c r="V230" s="132" t="n">
        <v>0.03399999999999981</v>
      </c>
      <c r="W230" s="127" t="n">
        <v>67.93000000000001</v>
      </c>
      <c r="X230" s="132" t="n">
        <v>29.51192481113189</v>
      </c>
    </row>
    <row r="231">
      <c r="C231" s="112" t="n">
        <v>43556</v>
      </c>
      <c r="D231" s="127" t="n">
        <v>8294.647499999999</v>
      </c>
      <c r="E231" s="132" t="n">
        <v>4.682982448068068</v>
      </c>
      <c r="F231" s="127" t="n">
        <v>170.1726203601639</v>
      </c>
      <c r="G231" s="127" t="n">
        <v>4.508984508175313</v>
      </c>
      <c r="H231" s="132" t="n">
        <v>1.873333333333334</v>
      </c>
      <c r="I231" s="132" t="n">
        <v>-0.6266666666666665</v>
      </c>
      <c r="J231" s="132" t="n">
        <v>4.013333333333334</v>
      </c>
      <c r="K231" s="132" t="n">
        <v>0.01333333333333364</v>
      </c>
      <c r="L231" s="132" t="n">
        <v>4.58</v>
      </c>
      <c r="M231" s="132" t="n">
        <v>0.8300000000000001</v>
      </c>
      <c r="N231" s="132" t="n">
        <v>1.507011320000018</v>
      </c>
      <c r="O231" s="127" t="n">
        <v>80.57380000000001</v>
      </c>
      <c r="P231" s="132" t="n">
        <v>-0.1877259554770145</v>
      </c>
      <c r="Q231" s="127" t="n">
        <v>317.88781314</v>
      </c>
      <c r="R231" s="132" t="n">
        <v>7.540015737759864</v>
      </c>
      <c r="S231" s="133" t="n">
        <v>3.9453</v>
      </c>
      <c r="T231" s="132" t="n">
        <v>7.727741693236863</v>
      </c>
      <c r="U231" s="132" t="n">
        <v>6.566</v>
      </c>
      <c r="V231" s="132" t="n">
        <v>0.1499999999999995</v>
      </c>
      <c r="W231" s="127" t="n">
        <v>72.19</v>
      </c>
      <c r="X231" s="132" t="n">
        <v>14.47751802961372</v>
      </c>
    </row>
    <row r="232">
      <c r="C232" s="112" t="n">
        <v>43586</v>
      </c>
      <c r="D232" s="127" t="n">
        <v>8209.9082</v>
      </c>
      <c r="E232" s="132" t="n">
        <v>1.816948437197498</v>
      </c>
      <c r="F232" s="127" t="n">
        <v>170.6703551564414</v>
      </c>
      <c r="G232" s="127" t="n">
        <v>2.73853019807434</v>
      </c>
      <c r="H232" s="132" t="n">
        <v>1.700833333333333</v>
      </c>
      <c r="I232" s="132" t="n">
        <v>-0.8158333333333334</v>
      </c>
      <c r="J232" s="132" t="n">
        <v>4.0175</v>
      </c>
      <c r="K232" s="132" t="n">
        <v>0.1425000000000001</v>
      </c>
      <c r="L232" s="132" t="n">
        <v>4.94</v>
      </c>
      <c r="M232" s="132" t="n">
        <v>1.160000000000001</v>
      </c>
      <c r="N232" s="132" t="n">
        <v>1.759969382500004</v>
      </c>
      <c r="O232" s="127" t="n">
        <v>77.7043</v>
      </c>
      <c r="P232" s="132" t="n">
        <v>-4.634673303786453</v>
      </c>
      <c r="Q232" s="127" t="n">
        <v>306.20933501</v>
      </c>
      <c r="R232" s="132" t="n">
        <v>0.632717800821141</v>
      </c>
      <c r="S232" s="133" t="n">
        <v>3.9407</v>
      </c>
      <c r="T232" s="132" t="n">
        <v>5.267391104607603</v>
      </c>
      <c r="U232" s="132" t="n">
        <v>6.275</v>
      </c>
      <c r="V232" s="132" t="n">
        <v>-0.266</v>
      </c>
      <c r="W232" s="127" t="n">
        <v>66.78</v>
      </c>
      <c r="X232" s="132" t="n">
        <v>2.655493263444794</v>
      </c>
    </row>
    <row r="233">
      <c r="C233" s="112" t="n">
        <v>43617</v>
      </c>
      <c r="D233" s="127" t="n">
        <v>8146.6211</v>
      </c>
      <c r="E233" s="132" t="n">
        <v>-1.074255704206695</v>
      </c>
      <c r="F233" s="127" t="n">
        <v>170.485776053678</v>
      </c>
      <c r="G233" s="127" t="n">
        <v>0.7995007470957785</v>
      </c>
      <c r="H233" s="132" t="n">
        <v>1.525</v>
      </c>
      <c r="I233" s="132" t="n">
        <v>-0.6474999999999997</v>
      </c>
      <c r="J233" s="132" t="n">
        <v>3.855</v>
      </c>
      <c r="K233" s="132" t="n">
        <v>-0.0625</v>
      </c>
      <c r="L233" s="132" t="n">
        <v>4.66</v>
      </c>
      <c r="M233" s="132" t="n">
        <v>0.77</v>
      </c>
      <c r="N233" s="132" t="n">
        <v>1.455996557500017</v>
      </c>
      <c r="O233" s="127" t="n">
        <v>79.65300000000001</v>
      </c>
      <c r="P233" s="132" t="n">
        <v>-1.784541839503831</v>
      </c>
      <c r="Q233" s="127" t="n">
        <v>305.2462266</v>
      </c>
      <c r="R233" s="132" t="n">
        <v>-3.453640868078793</v>
      </c>
      <c r="S233" s="133" t="n">
        <v>3.8322</v>
      </c>
      <c r="T233" s="132" t="n">
        <v>-1.669099028574953</v>
      </c>
      <c r="U233" s="132" t="n">
        <v>5.803</v>
      </c>
      <c r="V233" s="132" t="n">
        <v>-0.7759999999999998</v>
      </c>
      <c r="W233" s="127" t="n">
        <v>67.52</v>
      </c>
      <c r="X233" s="132" t="n">
        <v>-0.6053912915509063</v>
      </c>
    </row>
    <row r="234">
      <c r="C234" s="112" t="n">
        <v>43647</v>
      </c>
      <c r="D234" s="127" t="n">
        <v>8102.9888</v>
      </c>
      <c r="E234" s="132" t="n">
        <v>-2.337744598673384</v>
      </c>
      <c r="F234" s="127" t="n">
        <v>170.2251370164061</v>
      </c>
      <c r="G234" s="127" t="n">
        <v>0.03085605326168605</v>
      </c>
      <c r="H234" s="132" t="n">
        <v>1.566666666666666</v>
      </c>
      <c r="I234" s="132" t="n">
        <v>-0.3066666666666671</v>
      </c>
      <c r="J234" s="132" t="n">
        <v>3.858333333333333</v>
      </c>
      <c r="K234" s="132" t="n">
        <v>-0.1550000000000011</v>
      </c>
      <c r="L234" s="132" t="n">
        <v>3.37</v>
      </c>
      <c r="M234" s="132" t="n">
        <v>-1.21</v>
      </c>
      <c r="N234" s="132" t="n">
        <v>0.710811074100004</v>
      </c>
      <c r="O234" s="127" t="n">
        <v>78.9631</v>
      </c>
      <c r="P234" s="132" t="n">
        <v>-2.019287989416548</v>
      </c>
      <c r="Q234" s="127" t="n">
        <v>297.28817519</v>
      </c>
      <c r="R234" s="132" t="n">
        <v>-6.699657645390163</v>
      </c>
      <c r="S234" s="133" t="n">
        <v>3.7649</v>
      </c>
      <c r="T234" s="132" t="n">
        <v>-4.680369655973614</v>
      </c>
      <c r="U234" s="132" t="n">
        <v>5.453</v>
      </c>
      <c r="V234" s="132" t="n">
        <v>-1.113</v>
      </c>
      <c r="W234" s="127" t="n">
        <v>64.06999999999999</v>
      </c>
      <c r="X234" s="132" t="n">
        <v>-11.93252965001395</v>
      </c>
    </row>
    <row r="235">
      <c r="C235" s="112" t="n">
        <v>43678</v>
      </c>
      <c r="D235" s="127" t="n">
        <v>7973.7251</v>
      </c>
      <c r="E235" s="132" t="n">
        <v>-2.918996809319072</v>
      </c>
      <c r="F235" s="127" t="n">
        <v>169.4359535275304</v>
      </c>
      <c r="G235" s="127" t="n">
        <v>-0.7258948262231402</v>
      </c>
      <c r="H235" s="132" t="n">
        <v>1.69</v>
      </c>
      <c r="I235" s="132" t="n">
        <v>-0.01083333333333303</v>
      </c>
      <c r="J235" s="132" t="n">
        <v>3.763333333333334</v>
      </c>
      <c r="K235" s="132" t="n">
        <v>-0.2541666666666664</v>
      </c>
      <c r="L235" s="132" t="n">
        <v>3.22</v>
      </c>
      <c r="M235" s="132" t="n">
        <v>-1.72</v>
      </c>
      <c r="N235" s="132" t="n">
        <v>0.3302790247000198</v>
      </c>
      <c r="O235" s="127" t="n">
        <v>77.0044</v>
      </c>
      <c r="P235" s="132" t="n">
        <v>-0.9048033819447293</v>
      </c>
      <c r="Q235" s="127" t="n">
        <v>318.6827094</v>
      </c>
      <c r="R235" s="132" t="n">
        <v>3.992699701995687</v>
      </c>
      <c r="S235" s="133" t="n">
        <v>4.1385</v>
      </c>
      <c r="T235" s="132" t="n">
        <v>4.897503083940417</v>
      </c>
      <c r="U235" s="132" t="n">
        <v>5.384</v>
      </c>
      <c r="V235" s="132" t="n">
        <v>-0.891</v>
      </c>
      <c r="W235" s="127" t="n">
        <v>61.04</v>
      </c>
      <c r="X235" s="132" t="n">
        <v>-8.987424753930696</v>
      </c>
    </row>
    <row r="236">
      <c r="C236" s="112" t="n">
        <v>43709</v>
      </c>
      <c r="D236" s="127" t="n">
        <v>7870.2744</v>
      </c>
      <c r="E236" s="132" t="n">
        <v>-3.451032392650979</v>
      </c>
      <c r="F236" s="127" t="n">
        <v>168.4887363034957</v>
      </c>
      <c r="G236" s="127" t="n">
        <v>-1.178296764386785</v>
      </c>
      <c r="H236" s="132" t="n">
        <v>1.7175</v>
      </c>
      <c r="I236" s="132" t="n">
        <v>0.1924999999999999</v>
      </c>
      <c r="J236" s="132" t="n">
        <v>3.6925</v>
      </c>
      <c r="K236" s="132" t="n">
        <v>-0.1625000000000001</v>
      </c>
      <c r="L236" s="132" t="n">
        <v>3.43</v>
      </c>
      <c r="M236" s="132" t="n">
        <v>-1.23</v>
      </c>
      <c r="N236" s="132" t="n">
        <v>0.3102390209000161</v>
      </c>
      <c r="O236" s="127" t="n">
        <v>77.77970000000001</v>
      </c>
      <c r="P236" s="132" t="n">
        <v>-2.379922874267826</v>
      </c>
      <c r="Q236" s="127" t="n">
        <v>323.90578268</v>
      </c>
      <c r="R236" s="132" t="n">
        <v>5.933392806232121</v>
      </c>
      <c r="S236" s="133" t="n">
        <v>4.1644</v>
      </c>
      <c r="T236" s="132" t="n">
        <v>8.313315680499937</v>
      </c>
      <c r="U236" s="132" t="n">
        <v>4.846</v>
      </c>
      <c r="V236" s="132" t="n">
        <v>-0.9569999999999999</v>
      </c>
      <c r="W236" s="127" t="n">
        <v>60.99</v>
      </c>
      <c r="X236" s="132" t="n">
        <v>-10.17139339793366</v>
      </c>
    </row>
    <row r="237">
      <c r="C237" s="112" t="n">
        <v>43739</v>
      </c>
      <c r="D237" s="127" t="n">
        <v>7787.6797</v>
      </c>
      <c r="E237" s="132" t="n">
        <v>-3.969002198476089</v>
      </c>
      <c r="F237" s="127" t="n">
        <v>166.3191180872543</v>
      </c>
      <c r="G237" s="127" t="n">
        <v>-2.321355525222565</v>
      </c>
      <c r="H237" s="132" t="n">
        <v>1.845</v>
      </c>
      <c r="I237" s="132" t="n">
        <v>0.2783333333333335</v>
      </c>
      <c r="J237" s="132" t="n">
        <v>3.55</v>
      </c>
      <c r="K237" s="132" t="n">
        <v>-0.3083333333333327</v>
      </c>
      <c r="L237" s="132" t="n">
        <v>2.89</v>
      </c>
      <c r="M237" s="132" t="n">
        <v>-0.48</v>
      </c>
      <c r="N237" s="132" t="n">
        <v>0.2600889164000142</v>
      </c>
      <c r="O237" s="127" t="n">
        <v>79.2367</v>
      </c>
      <c r="P237" s="132" t="n">
        <v>0.3458920590065735</v>
      </c>
      <c r="Q237" s="127" t="n">
        <v>317.27167047</v>
      </c>
      <c r="R237" s="132" t="n">
        <v>6.505645628198844</v>
      </c>
      <c r="S237" s="133" t="n">
        <v>4.0041</v>
      </c>
      <c r="T237" s="132" t="n">
        <v>6.159753569192268</v>
      </c>
      <c r="U237" s="132" t="n">
        <v>4.455</v>
      </c>
      <c r="V237" s="132" t="n">
        <v>-0.9980000000000002</v>
      </c>
      <c r="W237" s="127" t="n">
        <v>59.3</v>
      </c>
      <c r="X237" s="132" t="n">
        <v>-7.736692964725038</v>
      </c>
    </row>
    <row r="238">
      <c r="C238" s="112" t="n">
        <v>43770</v>
      </c>
      <c r="D238" s="127" t="n">
        <v>7878.6665</v>
      </c>
      <c r="E238" s="132" t="n">
        <v>-1.199311016149353</v>
      </c>
      <c r="F238" s="127" t="n">
        <v>167.4428148070114</v>
      </c>
      <c r="G238" s="127" t="n">
        <v>-1.183311128418372</v>
      </c>
      <c r="H238" s="132" t="n">
        <v>2.1175</v>
      </c>
      <c r="I238" s="132" t="n">
        <v>0.4275</v>
      </c>
      <c r="J238" s="132" t="n">
        <v>3.593333333333333</v>
      </c>
      <c r="K238" s="132" t="n">
        <v>-0.1700000000000004</v>
      </c>
      <c r="L238" s="132" t="n">
        <v>2.54</v>
      </c>
      <c r="M238" s="132" t="n">
        <v>-0.6800000000000002</v>
      </c>
      <c r="N238" s="132" t="n">
        <v>0.1700259559999973</v>
      </c>
      <c r="O238" s="127" t="n">
        <v>77.1108</v>
      </c>
      <c r="P238" s="132" t="n">
        <v>0.1380785502077579</v>
      </c>
      <c r="Q238" s="127" t="n">
        <v>325.7160192</v>
      </c>
      <c r="R238" s="132" t="n">
        <v>2.182992856272473</v>
      </c>
      <c r="S238" s="133" t="n">
        <v>4.224</v>
      </c>
      <c r="T238" s="132" t="n">
        <v>2.044914306064713</v>
      </c>
      <c r="U238" s="132" t="n">
        <v>4.65</v>
      </c>
      <c r="V238" s="132" t="n">
        <v>-0.734</v>
      </c>
      <c r="W238" s="127" t="n">
        <v>64.5</v>
      </c>
      <c r="X238" s="132" t="n">
        <v>5.513583682552527</v>
      </c>
    </row>
    <row r="239">
      <c r="C239" s="112" t="n">
        <v>43800</v>
      </c>
      <c r="D239" s="127" t="n">
        <v>7929.311</v>
      </c>
      <c r="E239" s="132" t="n">
        <v>0.7473218222669683</v>
      </c>
      <c r="F239" s="127" t="n">
        <v>168.8949350421873</v>
      </c>
      <c r="G239" s="127" t="n">
        <v>0.2407934760673114</v>
      </c>
      <c r="H239" s="132" t="n">
        <v>2.3</v>
      </c>
      <c r="I239" s="132" t="n">
        <v>0.5824999999999998</v>
      </c>
      <c r="J239" s="132" t="n">
        <v>3.61</v>
      </c>
      <c r="K239" s="132" t="n">
        <v>-0.08250000000000002</v>
      </c>
      <c r="L239" s="132" t="n">
        <v>3.27</v>
      </c>
      <c r="M239" s="132" t="n">
        <v>-0.1600000000000001</v>
      </c>
      <c r="N239" s="132" t="n">
        <v>0.5702657960000135</v>
      </c>
      <c r="O239" s="127" t="n">
        <v>80.8871</v>
      </c>
      <c r="P239" s="132" t="n">
        <v>3.917388354379591</v>
      </c>
      <c r="Q239" s="127" t="n">
        <v>326.03163397</v>
      </c>
      <c r="R239" s="132" t="n">
        <v>0.6541734070774023</v>
      </c>
      <c r="S239" s="133" t="n">
        <v>4.0307</v>
      </c>
      <c r="T239" s="132" t="n">
        <v>-3.263214947302179</v>
      </c>
      <c r="U239" s="132" t="n">
        <v>4.548</v>
      </c>
      <c r="V239" s="132" t="n">
        <v>-0.298</v>
      </c>
      <c r="W239" s="127" t="n">
        <v>67.77</v>
      </c>
      <c r="X239" s="132" t="n">
        <v>10.54097028396566</v>
      </c>
    </row>
    <row r="240">
      <c r="C240" s="112" t="n">
        <v>43831</v>
      </c>
      <c r="D240" s="127" t="n">
        <v>7782.5386</v>
      </c>
      <c r="E240" s="132" t="n">
        <v>-0.06603761216160088</v>
      </c>
      <c r="F240" s="127" t="n">
        <v>169.6773084950315</v>
      </c>
      <c r="G240" s="127" t="n">
        <v>1.999010686010403</v>
      </c>
      <c r="H240" s="132" t="n">
        <v>2.316666666666666</v>
      </c>
      <c r="I240" s="132" t="n">
        <v>0.4716666666666665</v>
      </c>
      <c r="J240" s="132" t="n">
        <v>3.429166666666666</v>
      </c>
      <c r="K240" s="132" t="n">
        <v>-0.1208333333333336</v>
      </c>
      <c r="L240" s="132" t="n">
        <v>4.31</v>
      </c>
      <c r="M240" s="132" t="n">
        <v>1.419999999999999</v>
      </c>
      <c r="N240" s="132" t="n">
        <v>1.767530865000011</v>
      </c>
      <c r="O240" s="127" t="n">
        <v>74.8374</v>
      </c>
      <c r="P240" s="132" t="n">
        <v>-5.712181530754568</v>
      </c>
      <c r="Q240" s="127" t="n">
        <v>319.5182793</v>
      </c>
      <c r="R240" s="132" t="n">
        <v>0.7056072891899816</v>
      </c>
      <c r="S240" s="133" t="n">
        <v>4.2695</v>
      </c>
      <c r="T240" s="132" t="n">
        <v>6.417788819944518</v>
      </c>
      <c r="U240" s="132" t="n">
        <v>4.411</v>
      </c>
      <c r="V240" s="132" t="n">
        <v>-0.04400000000000048</v>
      </c>
      <c r="W240" s="127" t="n">
        <v>57.77</v>
      </c>
      <c r="X240" s="132" t="n">
        <v>-2.613969621050555</v>
      </c>
    </row>
    <row r="241">
      <c r="C241" s="112" t="n">
        <v>43862</v>
      </c>
      <c r="D241" s="127" t="n">
        <v>7819.1777</v>
      </c>
      <c r="E241" s="132" t="n">
        <v>-0.7579268085624273</v>
      </c>
      <c r="F241" s="127" t="n">
        <v>169.9099137271758</v>
      </c>
      <c r="G241" s="127" t="n">
        <v>1.462648850530948</v>
      </c>
      <c r="H241" s="132" t="n">
        <v>2.225</v>
      </c>
      <c r="I241" s="132" t="n">
        <v>0.1074999999999999</v>
      </c>
      <c r="J241" s="132" t="n">
        <v>3.283333333333333</v>
      </c>
      <c r="K241" s="132" t="n">
        <v>-0.3100000000000001</v>
      </c>
      <c r="L241" s="132" t="n">
        <v>4.19</v>
      </c>
      <c r="M241" s="132" t="n">
        <v>1.65</v>
      </c>
      <c r="N241" s="132" t="n">
        <v>1.879363316500005</v>
      </c>
      <c r="O241" s="127" t="n">
        <v>70.9799</v>
      </c>
      <c r="P241" s="132" t="n">
        <v>-8.28466102105183</v>
      </c>
      <c r="Q241" s="127" t="n">
        <v>319.31727613</v>
      </c>
      <c r="R241" s="132" t="n">
        <v>-1.984069046352681</v>
      </c>
      <c r="S241" s="133" t="n">
        <v>4.4987</v>
      </c>
      <c r="T241" s="132" t="n">
        <v>6.300591974699159</v>
      </c>
      <c r="U241" s="132" t="n">
        <v>4.139</v>
      </c>
      <c r="V241" s="132" t="n">
        <v>-0.5110000000000001</v>
      </c>
      <c r="W241" s="127" t="n">
        <v>51.31</v>
      </c>
      <c r="X241" s="132" t="n">
        <v>-22.87795588478533</v>
      </c>
    </row>
    <row r="242">
      <c r="C242" s="112" t="n">
        <v>43891</v>
      </c>
      <c r="D242" s="127" t="n">
        <v>6753.8911</v>
      </c>
      <c r="E242" s="132" t="n">
        <v>-16.04473485712285</v>
      </c>
      <c r="F242" s="127" t="n">
        <v>140.394693799298</v>
      </c>
      <c r="G242" s="127" t="n">
        <v>-18.48191380299841</v>
      </c>
      <c r="H242" s="132" t="n">
        <v>-0.05000000000000004</v>
      </c>
      <c r="I242" s="132" t="n">
        <v>-2.35</v>
      </c>
      <c r="J242" s="132" t="n">
        <v>3.0125</v>
      </c>
      <c r="K242" s="132" t="n">
        <v>-0.5975000000000001</v>
      </c>
      <c r="L242" s="132" t="n">
        <v>4.01</v>
      </c>
      <c r="M242" s="132" t="n">
        <v>0.7399999999999998</v>
      </c>
      <c r="N242" s="132" t="n">
        <v>1.615821037499998</v>
      </c>
      <c r="O242" s="127" t="n">
        <v>61.8577</v>
      </c>
      <c r="P242" s="132" t="n">
        <v>-26.82177693962816</v>
      </c>
      <c r="Q242" s="127" t="n">
        <v>321.57962499</v>
      </c>
      <c r="R242" s="132" t="n">
        <v>-1.374923320954811</v>
      </c>
      <c r="S242" s="133" t="n">
        <v>5.1987</v>
      </c>
      <c r="T242" s="132" t="n">
        <v>25.44685361867334</v>
      </c>
      <c r="U242" s="132" t="n">
        <v>3.33</v>
      </c>
      <c r="V242" s="132" t="n">
        <v>-1.218</v>
      </c>
      <c r="W242" s="127" t="n">
        <v>14.85</v>
      </c>
      <c r="X242" s="132" t="n">
        <v>-151.8119753899313</v>
      </c>
    </row>
    <row r="243">
      <c r="C243" s="112" t="n">
        <v>43922</v>
      </c>
      <c r="D243" s="127" t="n">
        <v>5874.3818</v>
      </c>
      <c r="E243" s="132" t="n">
        <v>-28.1281754205421</v>
      </c>
      <c r="F243" s="127" t="n">
        <v>122.2882888279648</v>
      </c>
      <c r="G243" s="127" t="n">
        <v>-32.75171675255986</v>
      </c>
      <c r="H243" s="132" t="n">
        <v>-1.44</v>
      </c>
      <c r="I243" s="132" t="n">
        <v>-3.756666666666666</v>
      </c>
      <c r="J243" s="132" t="n">
        <v>2.413333333333333</v>
      </c>
      <c r="K243" s="132" t="n">
        <v>-1.015833333333333</v>
      </c>
      <c r="L243" s="132" t="n">
        <v>3.3</v>
      </c>
      <c r="M243" s="132" t="n">
        <v>-1.01</v>
      </c>
      <c r="N243" s="132" t="n">
        <v>0.5308473674999981</v>
      </c>
      <c r="O243" s="127" t="n">
        <v>60.8983</v>
      </c>
      <c r="P243" s="132" t="n">
        <v>-20.61125003099729</v>
      </c>
      <c r="Q243" s="127" t="n">
        <v>330.4950741</v>
      </c>
      <c r="R243" s="132" t="n">
        <v>3.377727040577094</v>
      </c>
      <c r="S243" s="133" t="n">
        <v>5.427</v>
      </c>
      <c r="T243" s="132" t="n">
        <v>23.98897707157439</v>
      </c>
      <c r="U243" s="132" t="n">
        <v>2.938</v>
      </c>
      <c r="V243" s="132" t="n">
        <v>-1.472999999999999</v>
      </c>
      <c r="W243" s="127" t="n">
        <v>18.11</v>
      </c>
      <c r="X243" s="132" t="n">
        <v>-116.0005337897852</v>
      </c>
    </row>
    <row r="244">
      <c r="C244" s="112" t="n">
        <v>43952</v>
      </c>
      <c r="D244" s="127" t="n">
        <v>5433.6445</v>
      </c>
      <c r="E244" s="132" t="n">
        <v>-36.39693081321254</v>
      </c>
      <c r="F244" s="127" t="n">
        <v>109.423381313163</v>
      </c>
      <c r="G244" s="127" t="n">
        <v>-44.004378703413</v>
      </c>
      <c r="H244" s="132" t="n">
        <v>-2.1875</v>
      </c>
      <c r="I244" s="132" t="n">
        <v>-4.4125</v>
      </c>
      <c r="J244" s="132" t="n">
        <v>2.195833333333333</v>
      </c>
      <c r="K244" s="132" t="n">
        <v>-1.0875</v>
      </c>
      <c r="L244" s="132" t="n">
        <v>2.4</v>
      </c>
      <c r="M244" s="132" t="n">
        <v>-1.79</v>
      </c>
      <c r="N244" s="132" t="n">
        <v>0.009182457499989916</v>
      </c>
      <c r="O244" s="127" t="n">
        <v>63.5353</v>
      </c>
      <c r="P244" s="132" t="n">
        <v>-11.08010814175672</v>
      </c>
      <c r="Q244" s="127" t="n">
        <v>344.76159839</v>
      </c>
      <c r="R244" s="132" t="n">
        <v>7.666795448740693</v>
      </c>
      <c r="S244" s="133" t="n">
        <v>5.4263</v>
      </c>
      <c r="T244" s="132" t="n">
        <v>18.74690359049741</v>
      </c>
      <c r="U244" s="132" t="n">
        <v>2.532</v>
      </c>
      <c r="V244" s="132" t="n">
        <v>-1.607</v>
      </c>
      <c r="W244" s="127" t="n">
        <v>34.15</v>
      </c>
      <c r="X244" s="132" t="n">
        <v>-40.71230789370745</v>
      </c>
    </row>
    <row r="245">
      <c r="C245" s="112" t="n">
        <v>43983</v>
      </c>
      <c r="D245" s="127" t="n">
        <v>5099.2627</v>
      </c>
      <c r="E245" s="132" t="n">
        <v>-28.10228374031069</v>
      </c>
      <c r="F245" s="127" t="n">
        <v>103.1750499656065</v>
      </c>
      <c r="G245" s="127" t="n">
        <v>-30.80306375065294</v>
      </c>
      <c r="H245" s="132" t="n">
        <v>-1.55</v>
      </c>
      <c r="I245" s="132" t="n">
        <v>-1.5</v>
      </c>
      <c r="J245" s="132" t="n">
        <v>2.315</v>
      </c>
      <c r="K245" s="132" t="n">
        <v>-0.6974999999999998</v>
      </c>
      <c r="L245" s="132" t="n">
        <v>1.88</v>
      </c>
      <c r="M245" s="132" t="n">
        <v>-2.13</v>
      </c>
      <c r="N245" s="132" t="n">
        <v>-0.619304175400015</v>
      </c>
      <c r="O245" s="127" t="n">
        <v>64.97620000000001</v>
      </c>
      <c r="P245" s="132" t="n">
        <v>4.918446316377514</v>
      </c>
      <c r="Q245" s="127" t="n">
        <v>355.8096712</v>
      </c>
      <c r="R245" s="132" t="n">
        <v>10.11507762578053</v>
      </c>
      <c r="S245" s="133" t="n">
        <v>5.476</v>
      </c>
      <c r="T245" s="132" t="n">
        <v>5.196631309403024</v>
      </c>
      <c r="U245" s="132" t="n">
        <v>2.36</v>
      </c>
      <c r="V245" s="132" t="n">
        <v>-0.9700000000000002</v>
      </c>
      <c r="W245" s="127" t="n">
        <v>41.64</v>
      </c>
      <c r="X245" s="132" t="n">
        <v>103.106137849806</v>
      </c>
    </row>
    <row r="246">
      <c r="C246" s="112" t="n">
        <v>44013</v>
      </c>
      <c r="D246" s="127" t="n">
        <v>5443.7983</v>
      </c>
      <c r="E246" s="132" t="n">
        <v>-7.612379482212252</v>
      </c>
      <c r="F246" s="127" t="n">
        <v>108.6881843274899</v>
      </c>
      <c r="G246" s="127" t="n">
        <v>-11.78981919847103</v>
      </c>
      <c r="H246" s="132" t="n">
        <v>-0.3166666666666669</v>
      </c>
      <c r="I246" s="132" t="n">
        <v>1.123333333333333</v>
      </c>
      <c r="J246" s="132" t="n">
        <v>2.429166666666666</v>
      </c>
      <c r="K246" s="132" t="n">
        <v>0.01583333333333314</v>
      </c>
      <c r="L246" s="132" t="n">
        <v>2.13</v>
      </c>
      <c r="M246" s="132" t="n">
        <v>-1.17</v>
      </c>
      <c r="N246" s="132" t="n">
        <v>-0.4306129372000034</v>
      </c>
      <c r="O246" s="127" t="n">
        <v>68.6767</v>
      </c>
      <c r="P246" s="132" t="n">
        <v>12.02047262402392</v>
      </c>
      <c r="Q246" s="127" t="n">
        <v>357.3454731099999</v>
      </c>
      <c r="R246" s="132" t="n">
        <v>7.811127084777918</v>
      </c>
      <c r="S246" s="133" t="n">
        <v>5.2033</v>
      </c>
      <c r="T246" s="132" t="n">
        <v>-4.209345539246017</v>
      </c>
      <c r="U246" s="132" t="n">
        <v>2.26</v>
      </c>
      <c r="V246" s="132" t="n">
        <v>-0.6780000000000004</v>
      </c>
      <c r="W246" s="127" t="n">
        <v>43.13</v>
      </c>
      <c r="X246" s="132" t="n">
        <v>86.775453876443</v>
      </c>
    </row>
    <row r="247">
      <c r="C247" s="112" t="n">
        <v>44044</v>
      </c>
      <c r="D247" s="127" t="n">
        <v>6051.4639</v>
      </c>
      <c r="E247" s="132" t="n">
        <v>10.76901222722226</v>
      </c>
      <c r="F247" s="127" t="n">
        <v>120.3053144061926</v>
      </c>
      <c r="G247" s="127" t="n">
        <v>9.480820797507279</v>
      </c>
      <c r="H247" s="132" t="n">
        <v>0.6000000000000001</v>
      </c>
      <c r="I247" s="132" t="n">
        <v>2.7875</v>
      </c>
      <c r="J247" s="132" t="n">
        <v>2.593333333333333</v>
      </c>
      <c r="K247" s="132" t="n">
        <v>0.3975</v>
      </c>
      <c r="L247" s="132" t="n">
        <v>2.31</v>
      </c>
      <c r="M247" s="132" t="n">
        <v>-0.08999999999999986</v>
      </c>
      <c r="N247" s="132" t="n">
        <v>0.2385764432000004</v>
      </c>
      <c r="O247" s="127" t="n">
        <v>73.315</v>
      </c>
      <c r="P247" s="132" t="n">
        <v>14.31695694768144</v>
      </c>
      <c r="Q247" s="127" t="n">
        <v>401.1283595</v>
      </c>
      <c r="R247" s="132" t="n">
        <v>15.14283155815597</v>
      </c>
      <c r="S247" s="133" t="n">
        <v>5.4713</v>
      </c>
      <c r="T247" s="132" t="n">
        <v>0.8258746104745307</v>
      </c>
      <c r="U247" s="132" t="n">
        <v>2.59</v>
      </c>
      <c r="V247" s="132" t="n">
        <v>0.05799999999999983</v>
      </c>
      <c r="W247" s="127" t="n">
        <v>45.22</v>
      </c>
      <c r="X247" s="132" t="n">
        <v>28.07768808330247</v>
      </c>
    </row>
    <row r="248">
      <c r="C248" s="112" t="n">
        <v>44075</v>
      </c>
      <c r="D248" s="127" t="n">
        <v>6637.833</v>
      </c>
      <c r="E248" s="132" t="n">
        <v>26.36895941493579</v>
      </c>
      <c r="F248" s="127" t="n">
        <v>131.5827414983357</v>
      </c>
      <c r="G248" s="127" t="n">
        <v>24.32088067427737</v>
      </c>
      <c r="H248" s="132" t="n">
        <v>1.37</v>
      </c>
      <c r="I248" s="132" t="n">
        <v>2.92</v>
      </c>
      <c r="J248" s="132" t="n">
        <v>2.765</v>
      </c>
      <c r="K248" s="132" t="n">
        <v>0.4500000000000002</v>
      </c>
      <c r="L248" s="132" t="n">
        <v>2.44</v>
      </c>
      <c r="M248" s="132" t="n">
        <v>0.5600000000000001</v>
      </c>
      <c r="N248" s="132" t="n">
        <v>0.8624262463999832</v>
      </c>
      <c r="O248" s="127" t="n">
        <v>70.8516</v>
      </c>
      <c r="P248" s="132" t="n">
        <v>8.656649980456868</v>
      </c>
      <c r="Q248" s="127" t="n">
        <v>399.65262012</v>
      </c>
      <c r="R248" s="132" t="n">
        <v>11.61997636620708</v>
      </c>
      <c r="S248" s="133" t="n">
        <v>5.6407</v>
      </c>
      <c r="T248" s="132" t="n">
        <v>2.963326385750232</v>
      </c>
      <c r="U248" s="132" t="n">
        <v>2.77</v>
      </c>
      <c r="V248" s="132" t="n">
        <v>0.4100000000000001</v>
      </c>
      <c r="W248" s="127" t="n">
        <v>40.3</v>
      </c>
      <c r="X248" s="132" t="n">
        <v>-3.270977479413093</v>
      </c>
    </row>
    <row r="249">
      <c r="C249" s="112" t="n">
        <v>44105</v>
      </c>
      <c r="D249" s="127" t="n">
        <v>7521.7153</v>
      </c>
      <c r="E249" s="132" t="n">
        <v>32.33171762159274</v>
      </c>
      <c r="F249" s="127" t="n">
        <v>149.1148583094899</v>
      </c>
      <c r="G249" s="127" t="n">
        <v>31.62337817423207</v>
      </c>
      <c r="H249" s="132" t="n">
        <v>1.981666666666667</v>
      </c>
      <c r="I249" s="132" t="n">
        <v>2.298333333333334</v>
      </c>
      <c r="J249" s="132" t="n">
        <v>3.095</v>
      </c>
      <c r="K249" s="132" t="n">
        <v>0.6658333333333339</v>
      </c>
      <c r="L249" s="132" t="n">
        <v>3.14</v>
      </c>
      <c r="M249" s="132" t="n">
        <v>1.01</v>
      </c>
      <c r="N249" s="132" t="n">
        <v>1.244709529599985</v>
      </c>
      <c r="O249" s="127" t="n">
        <v>71.8436</v>
      </c>
      <c r="P249" s="132" t="n">
        <v>4.508154814463746</v>
      </c>
      <c r="Q249" s="127" t="n">
        <v>414.6668904799999</v>
      </c>
      <c r="R249" s="132" t="n">
        <v>14.87724987324781</v>
      </c>
      <c r="S249" s="133" t="n">
        <v>5.7718</v>
      </c>
      <c r="T249" s="132" t="n">
        <v>10.36909505878406</v>
      </c>
      <c r="U249" s="132" t="n">
        <v>3.16</v>
      </c>
      <c r="V249" s="132" t="n">
        <v>0.9000000000000004</v>
      </c>
      <c r="W249" s="127" t="n">
        <v>36.33</v>
      </c>
      <c r="X249" s="132" t="n">
        <v>-17.15749644266414</v>
      </c>
    </row>
    <row r="250">
      <c r="C250" s="112" t="n">
        <v>44136</v>
      </c>
      <c r="D250" s="127" t="n">
        <v>8322.8066</v>
      </c>
      <c r="E250" s="132" t="n">
        <v>31.86993199647105</v>
      </c>
      <c r="F250" s="127" t="n">
        <v>163.4254491379002</v>
      </c>
      <c r="G250" s="127" t="n">
        <v>30.63241194940246</v>
      </c>
      <c r="H250" s="132" t="n">
        <v>2.796666666666666</v>
      </c>
      <c r="I250" s="132" t="n">
        <v>2.196666666666666</v>
      </c>
      <c r="J250" s="132" t="n">
        <v>3.494166666666667</v>
      </c>
      <c r="K250" s="132" t="n">
        <v>0.9008333333333334</v>
      </c>
      <c r="L250" s="132" t="n">
        <v>3.92</v>
      </c>
      <c r="M250" s="132" t="n">
        <v>1.61</v>
      </c>
      <c r="N250" s="132" t="n">
        <v>1.749117209599982</v>
      </c>
      <c r="O250" s="127" t="n">
        <v>74.3612</v>
      </c>
      <c r="P250" s="132" t="n">
        <v>1.416907400243473</v>
      </c>
      <c r="Q250" s="127" t="n">
        <v>396.47161004</v>
      </c>
      <c r="R250" s="132" t="n">
        <v>-1.167703749067296</v>
      </c>
      <c r="S250" s="133" t="n">
        <v>5.3317</v>
      </c>
      <c r="T250" s="132" t="n">
        <v>-2.584611149310773</v>
      </c>
      <c r="U250" s="132" t="n">
        <v>3.15</v>
      </c>
      <c r="V250" s="132" t="n">
        <v>0.5600000000000001</v>
      </c>
      <c r="W250" s="127" t="n">
        <v>46.84</v>
      </c>
      <c r="X250" s="132" t="n">
        <v>3.519807187969281</v>
      </c>
    </row>
    <row r="251">
      <c r="C251" s="112" t="n">
        <v>44166</v>
      </c>
      <c r="D251" s="127" t="n">
        <v>8936.738300000001</v>
      </c>
      <c r="E251" s="132" t="n">
        <v>29.73851244122936</v>
      </c>
      <c r="F251" s="127" t="n">
        <v>179.1990453537575</v>
      </c>
      <c r="G251" s="127" t="n">
        <v>30.88613065981905</v>
      </c>
      <c r="H251" s="132" t="n">
        <v>3.4</v>
      </c>
      <c r="I251" s="132" t="n">
        <v>2.03</v>
      </c>
      <c r="J251" s="132" t="n">
        <v>3.32</v>
      </c>
      <c r="K251" s="132" t="n">
        <v>0.5549999999999997</v>
      </c>
      <c r="L251" s="132" t="n">
        <v>4.31</v>
      </c>
      <c r="M251" s="132" t="n">
        <v>1.87</v>
      </c>
      <c r="N251" s="132" t="n">
        <v>2.40890298559997</v>
      </c>
      <c r="O251" s="127" t="n">
        <v>78.0543</v>
      </c>
      <c r="P251" s="132" t="n">
        <v>9.681718952969243</v>
      </c>
      <c r="Q251" s="127" t="n">
        <v>405.62478081</v>
      </c>
      <c r="R251" s="132" t="n">
        <v>1.483282699517605</v>
      </c>
      <c r="S251" s="133" t="n">
        <v>5.1967</v>
      </c>
      <c r="T251" s="132" t="n">
        <v>-8.198436253451646</v>
      </c>
      <c r="U251" s="132" t="n">
        <v>2.83</v>
      </c>
      <c r="V251" s="132" t="n">
        <v>0.06000000000000005</v>
      </c>
      <c r="W251" s="127" t="n">
        <v>51.22</v>
      </c>
      <c r="X251" s="132" t="n">
        <v>23.97786118187419</v>
      </c>
    </row>
    <row r="252">
      <c r="C252" s="112" t="n">
        <v>44197</v>
      </c>
      <c r="D252" s="127" t="n">
        <v>9774.742200000001</v>
      </c>
      <c r="E252" s="132" t="n">
        <v>26.20075217665927</v>
      </c>
      <c r="F252" s="127" t="n">
        <v>192.3642315252908</v>
      </c>
      <c r="G252" s="127" t="n">
        <v>25.46737439934518</v>
      </c>
      <c r="H252" s="132" t="n">
        <v>3.416666666666667</v>
      </c>
      <c r="I252" s="132" t="n">
        <v>1.435</v>
      </c>
      <c r="J252" s="132" t="n">
        <v>3.5275</v>
      </c>
      <c r="K252" s="132" t="n">
        <v>0.4324999999999997</v>
      </c>
      <c r="L252" s="132" t="n">
        <v>4.52</v>
      </c>
      <c r="M252" s="132" t="n">
        <v>1.379999999999999</v>
      </c>
      <c r="N252" s="132" t="n">
        <v>3.131382328999988</v>
      </c>
      <c r="O252" s="127" t="n">
        <v>80.0981</v>
      </c>
      <c r="P252" s="132" t="n">
        <v>10.87605993464321</v>
      </c>
      <c r="Q252" s="127" t="n">
        <v>438.60918579</v>
      </c>
      <c r="R252" s="132" t="n">
        <v>5.613325482449532</v>
      </c>
      <c r="S252" s="133" t="n">
        <v>5.4759</v>
      </c>
      <c r="T252" s="132" t="n">
        <v>-5.262734452193687</v>
      </c>
      <c r="U252" s="132" t="n">
        <v>3.44</v>
      </c>
      <c r="V252" s="132" t="n">
        <v>0.2799999999999998</v>
      </c>
      <c r="W252" s="127" t="n">
        <v>55.25</v>
      </c>
      <c r="X252" s="132" t="n">
        <v>41.92244941647516</v>
      </c>
    </row>
    <row r="253">
      <c r="C253" s="112" t="n">
        <v>44228</v>
      </c>
      <c r="D253" s="127" t="n">
        <v>10215.0762</v>
      </c>
      <c r="E253" s="132" t="n">
        <v>20.48651581796407</v>
      </c>
      <c r="F253" s="127" t="n">
        <v>202.1462948752795</v>
      </c>
      <c r="G253" s="127" t="n">
        <v>21.26347495510698</v>
      </c>
      <c r="H253" s="132" t="n">
        <v>3.158333333333333</v>
      </c>
      <c r="I253" s="132" t="n">
        <v>0.3616666666666668</v>
      </c>
      <c r="J253" s="132" t="n">
        <v>3.808333333333334</v>
      </c>
      <c r="K253" s="132" t="n">
        <v>0.3141666666666669</v>
      </c>
      <c r="L253" s="132" t="n">
        <v>4.56</v>
      </c>
      <c r="M253" s="132" t="n">
        <v>0.6399999999999997</v>
      </c>
      <c r="N253" s="132" t="n">
        <v>2.507645037500006</v>
      </c>
      <c r="O253" s="127" t="n">
        <v>85.2778</v>
      </c>
      <c r="P253" s="132" t="n">
        <v>13.69798622799409</v>
      </c>
      <c r="Q253" s="127" t="n">
        <v>471.60328956</v>
      </c>
      <c r="R253" s="132" t="n">
        <v>17.35337068579135</v>
      </c>
      <c r="S253" s="133" t="n">
        <v>5.5302</v>
      </c>
      <c r="T253" s="132" t="n">
        <v>3.655384457797277</v>
      </c>
      <c r="U253" s="132" t="n">
        <v>4.08</v>
      </c>
      <c r="V253" s="132" t="n">
        <v>0.9300000000000002</v>
      </c>
      <c r="W253" s="127" t="n">
        <v>65.86</v>
      </c>
      <c r="X253" s="132" t="n">
        <v>34.07937382187016</v>
      </c>
    </row>
    <row r="254">
      <c r="C254" s="112" t="n">
        <v>44256</v>
      </c>
      <c r="D254" s="127" t="n">
        <v>11289.5273</v>
      </c>
      <c r="E254" s="132" t="n">
        <v>23.37048291610737</v>
      </c>
      <c r="F254" s="127" t="n">
        <v>220.6500336141356</v>
      </c>
      <c r="G254" s="127" t="n">
        <v>20.80807147973085</v>
      </c>
      <c r="H254" s="132" t="n">
        <v>2.96315</v>
      </c>
      <c r="I254" s="132" t="n">
        <v>-0.4368499999999997</v>
      </c>
      <c r="J254" s="132" t="n">
        <v>4.492150000000001</v>
      </c>
      <c r="K254" s="132" t="n">
        <v>1.172150000000001</v>
      </c>
      <c r="L254" s="132" t="n">
        <v>5.2</v>
      </c>
      <c r="M254" s="132" t="n">
        <v>0.8900000000000006</v>
      </c>
      <c r="N254" s="132" t="n">
        <v>2.477164025</v>
      </c>
      <c r="O254" s="127" t="n">
        <v>83.44450000000001</v>
      </c>
      <c r="P254" s="132" t="n">
        <v>6.677700187359805</v>
      </c>
      <c r="Q254" s="127" t="n">
        <v>475.40834985</v>
      </c>
      <c r="R254" s="132" t="n">
        <v>15.87455715305818</v>
      </c>
      <c r="S254" s="133" t="n">
        <v>5.6973</v>
      </c>
      <c r="T254" s="132" t="n">
        <v>9.196856965698389</v>
      </c>
      <c r="U254" s="132" t="n">
        <v>5.08</v>
      </c>
      <c r="V254" s="132" t="n">
        <v>2.25</v>
      </c>
      <c r="W254" s="127" t="n">
        <v>63.52</v>
      </c>
      <c r="X254" s="132" t="n">
        <v>21.52247361675011</v>
      </c>
    </row>
    <row r="255">
      <c r="C255" s="112" t="n">
        <v>44287</v>
      </c>
      <c r="D255" s="127" t="n">
        <v>12347.4277</v>
      </c>
      <c r="E255" s="132" t="n">
        <v>23.36460258570658</v>
      </c>
      <c r="F255" s="127" t="n">
        <v>241.4058433485035</v>
      </c>
      <c r="G255" s="127" t="n">
        <v>22.70889003381665</v>
      </c>
      <c r="H255" s="132" t="n">
        <v>2.863933333333333</v>
      </c>
      <c r="I255" s="132" t="n">
        <v>-0.5527333333333333</v>
      </c>
      <c r="J255" s="132" t="n">
        <v>4.562066666666666</v>
      </c>
      <c r="K255" s="132" t="n">
        <v>1.034566666666667</v>
      </c>
      <c r="L255" s="132" t="n">
        <v>6.1</v>
      </c>
      <c r="M255" s="132" t="n">
        <v>1.58</v>
      </c>
      <c r="N255" s="132" t="n">
        <v>2.052492994999988</v>
      </c>
      <c r="O255" s="127" t="n">
        <v>90.361</v>
      </c>
      <c r="P255" s="132" t="n">
        <v>12.05606249388831</v>
      </c>
      <c r="Q255" s="127" t="n">
        <v>488.2746996</v>
      </c>
      <c r="R255" s="132" t="n">
        <v>10.72693772975612</v>
      </c>
      <c r="S255" s="133" t="n">
        <v>5.4036</v>
      </c>
      <c r="T255" s="132" t="n">
        <v>-1.329124764132194</v>
      </c>
      <c r="U255" s="132" t="n">
        <v>5.22</v>
      </c>
      <c r="V255" s="132" t="n">
        <v>1.78</v>
      </c>
      <c r="W255" s="127" t="n">
        <v>67.73</v>
      </c>
      <c r="X255" s="132" t="n">
        <v>20.36608728289502</v>
      </c>
    </row>
    <row r="256">
      <c r="C256" s="112" t="n">
        <v>44317</v>
      </c>
      <c r="D256" s="127" t="n">
        <v>12220.3633</v>
      </c>
      <c r="E256" s="132" t="n">
        <v>17.92389953924522</v>
      </c>
      <c r="F256" s="127" t="n">
        <v>245.7874682496378</v>
      </c>
      <c r="G256" s="127" t="n">
        <v>19.54755449800045</v>
      </c>
      <c r="H256" s="132" t="n">
        <v>3.292625</v>
      </c>
      <c r="I256" s="132" t="n">
        <v>0.1342916666666669</v>
      </c>
      <c r="J256" s="132" t="n">
        <v>4.679175000000001</v>
      </c>
      <c r="K256" s="132" t="n">
        <v>0.8708416666666672</v>
      </c>
      <c r="L256" s="132" t="n">
        <v>6.76</v>
      </c>
      <c r="M256" s="132" t="n">
        <v>2.2</v>
      </c>
      <c r="N256" s="132" t="n">
        <v>2.113571793800006</v>
      </c>
      <c r="O256" s="127" t="n">
        <v>92.8252</v>
      </c>
      <c r="P256" s="132" t="n">
        <v>8.480399194137858</v>
      </c>
      <c r="Q256" s="127" t="n">
        <v>485.6800114399999</v>
      </c>
      <c r="R256" s="132" t="n">
        <v>2.941185041982757</v>
      </c>
      <c r="S256" s="133" t="n">
        <v>5.2322</v>
      </c>
      <c r="T256" s="132" t="n">
        <v>-5.539214152155109</v>
      </c>
      <c r="U256" s="132" t="n">
        <v>5.86</v>
      </c>
      <c r="V256" s="132" t="n">
        <v>1.78</v>
      </c>
      <c r="W256" s="127" t="n">
        <v>69.36</v>
      </c>
      <c r="X256" s="132" t="n">
        <v>5.177905552406811</v>
      </c>
    </row>
    <row r="257">
      <c r="C257" s="112" t="n">
        <v>44348</v>
      </c>
      <c r="D257" s="127" t="n">
        <v>12691.7617</v>
      </c>
      <c r="E257" s="132" t="n">
        <v>11.70775895635007</v>
      </c>
      <c r="F257" s="127" t="n">
        <v>256.507315576396</v>
      </c>
      <c r="G257" s="127" t="n">
        <v>15.0579296912821</v>
      </c>
      <c r="H257" s="132" t="n">
        <v>3.64305</v>
      </c>
      <c r="I257" s="132" t="n">
        <v>0.6798999999999995</v>
      </c>
      <c r="J257" s="132" t="n">
        <v>4.89165</v>
      </c>
      <c r="K257" s="132" t="n">
        <v>0.3994999999999997</v>
      </c>
      <c r="L257" s="132" t="n">
        <v>8.06</v>
      </c>
      <c r="M257" s="132" t="n">
        <v>2.86</v>
      </c>
      <c r="N257" s="132" t="n">
        <v>2.08319892890001</v>
      </c>
      <c r="O257" s="127" t="n">
        <v>94.5412</v>
      </c>
      <c r="P257" s="132" t="n">
        <v>12.48539781178622</v>
      </c>
      <c r="Q257" s="127" t="n">
        <v>472.91399064</v>
      </c>
      <c r="R257" s="132" t="n">
        <v>-0.5260584625824066</v>
      </c>
      <c r="S257" s="133" t="n">
        <v>5.0022</v>
      </c>
      <c r="T257" s="132" t="n">
        <v>-13.01145627436864</v>
      </c>
      <c r="U257" s="132" t="n">
        <v>6.57</v>
      </c>
      <c r="V257" s="132" t="n">
        <v>1.49</v>
      </c>
      <c r="W257" s="127" t="n">
        <v>76.94</v>
      </c>
      <c r="X257" s="132" t="n">
        <v>19.16710803852688</v>
      </c>
    </row>
    <row r="258">
      <c r="C258" s="112" t="n">
        <v>44378</v>
      </c>
      <c r="D258" s="127" t="n">
        <v>13227.2383</v>
      </c>
      <c r="E258" s="132" t="n">
        <v>6.883045308147206</v>
      </c>
      <c r="F258" s="127" t="n">
        <v>266.0676025599983</v>
      </c>
      <c r="G258" s="127" t="n">
        <v>9.727090700099097</v>
      </c>
      <c r="H258" s="132" t="n">
        <v>3.433041666666666</v>
      </c>
      <c r="I258" s="132" t="n">
        <v>0.5691083333333329</v>
      </c>
      <c r="J258" s="132" t="n">
        <v>5.055991666666666</v>
      </c>
      <c r="K258" s="132" t="n">
        <v>0.4939249999999999</v>
      </c>
      <c r="L258" s="132" t="n">
        <v>8.35</v>
      </c>
      <c r="M258" s="132" t="n">
        <v>2.25</v>
      </c>
      <c r="N258" s="132" t="n">
        <v>1.678628636900004</v>
      </c>
      <c r="O258" s="127" t="n">
        <v>96.2754</v>
      </c>
      <c r="P258" s="132" t="n">
        <v>6.340007607503606</v>
      </c>
      <c r="Q258" s="127" t="n">
        <v>493.08408864</v>
      </c>
      <c r="R258" s="132" t="n">
        <v>0.9801568195108378</v>
      </c>
      <c r="S258" s="133" t="n">
        <v>5.1216</v>
      </c>
      <c r="T258" s="132" t="n">
        <v>-5.359850787992761</v>
      </c>
      <c r="U258" s="132" t="n">
        <v>7.45</v>
      </c>
      <c r="V258" s="132" t="n">
        <v>2.23</v>
      </c>
      <c r="W258" s="127" t="n">
        <v>77.72</v>
      </c>
      <c r="X258" s="132" t="n">
        <v>13.75834112824269</v>
      </c>
    </row>
    <row r="259">
      <c r="C259" s="112" t="n">
        <v>44409</v>
      </c>
      <c r="D259" s="127" t="n">
        <v>13404.6924</v>
      </c>
      <c r="E259" s="132" t="n">
        <v>9.250114151052728</v>
      </c>
      <c r="F259" s="127" t="n">
        <v>268.4096544468184</v>
      </c>
      <c r="G259" s="127" t="n">
        <v>8.804716251121727</v>
      </c>
      <c r="H259" s="132" t="n">
        <v>3.074133333333334</v>
      </c>
      <c r="I259" s="132" t="n">
        <v>-0.2184916666666665</v>
      </c>
      <c r="J259" s="132" t="n">
        <v>5.090999999999999</v>
      </c>
      <c r="K259" s="132" t="n">
        <v>0.4118249999999986</v>
      </c>
      <c r="L259" s="132" t="n">
        <v>8.99</v>
      </c>
      <c r="M259" s="132" t="n">
        <v>2.23</v>
      </c>
      <c r="N259" s="132" t="n">
        <v>2.337497230400021</v>
      </c>
      <c r="O259" s="127" t="n">
        <v>95.9859</v>
      </c>
      <c r="P259" s="132" t="n">
        <v>3.348315102785041</v>
      </c>
      <c r="Q259" s="127" t="n">
        <v>493.68427947</v>
      </c>
      <c r="R259" s="132" t="n">
        <v>1.634620810842394</v>
      </c>
      <c r="S259" s="133" t="n">
        <v>5.1433</v>
      </c>
      <c r="T259" s="132" t="n">
        <v>-1.713694291942645</v>
      </c>
      <c r="U259" s="132" t="n">
        <v>8.18</v>
      </c>
      <c r="V259" s="132" t="n">
        <v>2.319999999999999</v>
      </c>
      <c r="W259" s="127" t="n">
        <v>73.45</v>
      </c>
      <c r="X259" s="132" t="n">
        <v>5.729457014760001</v>
      </c>
    </row>
    <row r="260">
      <c r="C260" s="112" t="n">
        <v>44440</v>
      </c>
      <c r="D260" s="127" t="n">
        <v>13593.0137</v>
      </c>
      <c r="E260" s="132" t="n">
        <v>6.860286428629777</v>
      </c>
      <c r="F260" s="127" t="n">
        <v>264.4751786356078</v>
      </c>
      <c r="G260" s="127" t="n">
        <v>3.059021933757754</v>
      </c>
      <c r="H260" s="132" t="n">
        <v>2.4355</v>
      </c>
      <c r="I260" s="132" t="n">
        <v>-1.207549999999999</v>
      </c>
      <c r="J260" s="132" t="n">
        <v>5.216125</v>
      </c>
      <c r="K260" s="132" t="n">
        <v>0.3244749999999996</v>
      </c>
      <c r="L260" s="132" t="n">
        <v>9.68</v>
      </c>
      <c r="M260" s="132" t="n">
        <v>1.619999999999999</v>
      </c>
      <c r="N260" s="132" t="n">
        <v>2.378095265600022</v>
      </c>
      <c r="O260" s="127" t="n">
        <v>100.7581</v>
      </c>
      <c r="P260" s="132" t="n">
        <v>6.368687629294</v>
      </c>
      <c r="Q260" s="127" t="n">
        <v>548.06360914</v>
      </c>
      <c r="R260" s="132" t="n">
        <v>14.74778212978151</v>
      </c>
      <c r="S260" s="133" t="n">
        <v>5.4394</v>
      </c>
      <c r="T260" s="132" t="n">
        <v>8.379094500487502</v>
      </c>
      <c r="U260" s="132" t="n">
        <v>8.98</v>
      </c>
      <c r="V260" s="132" t="n">
        <v>2.41</v>
      </c>
      <c r="W260" s="127" t="n">
        <v>77.81</v>
      </c>
      <c r="X260" s="132" t="n">
        <v>1.124406030468977</v>
      </c>
    </row>
    <row r="261">
      <c r="C261" s="112" t="n">
        <v>44470</v>
      </c>
      <c r="D261" s="127" t="n">
        <v>13187.5986</v>
      </c>
      <c r="E261" s="132" t="n">
        <v>-0.3001323075063196</v>
      </c>
      <c r="F261" s="127" t="n">
        <v>263.3178850704498</v>
      </c>
      <c r="G261" s="127" t="n">
        <v>-1.038843067202881</v>
      </c>
      <c r="H261" s="132" t="n">
        <v>1.821433333333333</v>
      </c>
      <c r="I261" s="132" t="n">
        <v>-1.611608333333333</v>
      </c>
      <c r="J261" s="132" t="n">
        <v>5.3167</v>
      </c>
      <c r="K261" s="132" t="n">
        <v>0.2607083333333335</v>
      </c>
      <c r="L261" s="132" t="n">
        <v>10.25</v>
      </c>
      <c r="M261" s="132" t="n">
        <v>1.9</v>
      </c>
      <c r="N261" s="132" t="n">
        <v>3.019676883199995</v>
      </c>
      <c r="O261" s="127" t="n">
        <v>103.3578</v>
      </c>
      <c r="P261" s="132" t="n">
        <v>7.098392052070734</v>
      </c>
      <c r="Q261" s="127" t="n">
        <v>583.2480654</v>
      </c>
      <c r="R261" s="132" t="n">
        <v>16.7932869274249</v>
      </c>
      <c r="S261" s="133" t="n">
        <v>5.643</v>
      </c>
      <c r="T261" s="132" t="n">
        <v>9.694894875354155</v>
      </c>
      <c r="U261" s="132" t="n">
        <v>11.92</v>
      </c>
      <c r="V261" s="132" t="n">
        <v>4.47</v>
      </c>
      <c r="W261" s="127" t="n">
        <v>83.09999999999999</v>
      </c>
      <c r="X261" s="132" t="n">
        <v>6.693207735216323</v>
      </c>
    </row>
    <row r="262">
      <c r="C262" s="112" t="n">
        <v>44501</v>
      </c>
      <c r="D262" s="127" t="n">
        <v>13130.2432</v>
      </c>
      <c r="E262" s="132" t="n">
        <v>-2.068661415215311</v>
      </c>
      <c r="F262" s="127" t="n">
        <v>268.5224037328637</v>
      </c>
      <c r="G262" s="127" t="n">
        <v>0.04199759950439474</v>
      </c>
      <c r="H262" s="132" t="n">
        <v>0.9483083333333333</v>
      </c>
      <c r="I262" s="132" t="n">
        <v>-2.125825</v>
      </c>
      <c r="J262" s="132" t="n">
        <v>5.430816666666667</v>
      </c>
      <c r="K262" s="132" t="n">
        <v>0.3398166666666675</v>
      </c>
      <c r="L262" s="132" t="n">
        <v>10.67</v>
      </c>
      <c r="M262" s="132" t="n">
        <v>1.68</v>
      </c>
      <c r="N262" s="132" t="n">
        <v>3.315593149999985</v>
      </c>
      <c r="O262" s="127" t="n">
        <v>95.7976</v>
      </c>
      <c r="P262" s="132" t="n">
        <v>-0.1963673209710531</v>
      </c>
      <c r="Q262" s="127" t="n">
        <v>538.3729322400001</v>
      </c>
      <c r="R262" s="132" t="n">
        <v>8.665530013871654</v>
      </c>
      <c r="S262" s="133" t="n">
        <v>5.6199</v>
      </c>
      <c r="T262" s="132" t="n">
        <v>8.8618973348427</v>
      </c>
      <c r="U262" s="132" t="n">
        <v>11.75</v>
      </c>
      <c r="V262" s="132" t="n">
        <v>3.57</v>
      </c>
      <c r="W262" s="127" t="n">
        <v>70.86</v>
      </c>
      <c r="X262" s="132" t="n">
        <v>-3.58988031825604</v>
      </c>
    </row>
    <row r="263">
      <c r="C263" s="112" t="n">
        <v>44531</v>
      </c>
      <c r="D263" s="127" t="n">
        <v>12894.4922</v>
      </c>
      <c r="E263" s="132" t="n">
        <v>-5.275570327088822</v>
      </c>
      <c r="F263" s="127" t="n">
        <v>262.8375616145847</v>
      </c>
      <c r="G263" s="127" t="n">
        <v>-0.6211199392014366</v>
      </c>
      <c r="H263" s="132" t="n">
        <v>0.3607</v>
      </c>
      <c r="I263" s="132" t="n">
        <v>-2.0748</v>
      </c>
      <c r="J263" s="132" t="n">
        <v>5.0302</v>
      </c>
      <c r="K263" s="132" t="n">
        <v>-0.1859250000000001</v>
      </c>
      <c r="L263" s="132" t="n">
        <v>10.74</v>
      </c>
      <c r="M263" s="132" t="n">
        <v>1.06</v>
      </c>
      <c r="N263" s="132" t="n">
        <v>3.39753275000001</v>
      </c>
      <c r="O263" s="127" t="n">
        <v>99.1694</v>
      </c>
      <c r="P263" s="132" t="n">
        <v>-1.589309565452591</v>
      </c>
      <c r="Q263" s="127" t="n">
        <v>553.4148366999999</v>
      </c>
      <c r="R263" s="132" t="n">
        <v>0.9716521791745752</v>
      </c>
      <c r="S263" s="133" t="n">
        <v>5.5805</v>
      </c>
      <c r="T263" s="132" t="n">
        <v>2.560961744627171</v>
      </c>
      <c r="U263" s="132" t="n">
        <v>11.79</v>
      </c>
      <c r="V263" s="132" t="n">
        <v>2.809999999999999</v>
      </c>
      <c r="W263" s="127" t="n">
        <v>77.23999999999999</v>
      </c>
      <c r="X263" s="132" t="n">
        <v>-0.7352500068525176</v>
      </c>
    </row>
    <row r="264">
      <c r="C264" s="112" t="n">
        <v>44562</v>
      </c>
      <c r="D264" s="127" t="n">
        <v>13222.499</v>
      </c>
      <c r="E264" s="132" t="n">
        <v>0.2642960343746303</v>
      </c>
      <c r="F264" s="127" t="n">
        <v>266.7773071026168</v>
      </c>
      <c r="G264" s="127" t="n">
        <v>1.305226380403794</v>
      </c>
      <c r="H264" s="132" t="n">
        <v>0.4041666666666667</v>
      </c>
      <c r="I264" s="132" t="n">
        <v>-1.417266666666666</v>
      </c>
      <c r="J264" s="132" t="n">
        <v>5.258075000000001</v>
      </c>
      <c r="K264" s="132" t="n">
        <v>-0.05862499999999926</v>
      </c>
      <c r="L264" s="132" t="n">
        <v>10.06</v>
      </c>
      <c r="M264" s="132" t="n">
        <v>-0.1899999999999995</v>
      </c>
      <c r="N264" s="132" t="n">
        <v>2.958021687500012</v>
      </c>
      <c r="O264" s="127" t="n">
        <v>107.8627</v>
      </c>
      <c r="P264" s="132" t="n">
        <v>4.266236706720082</v>
      </c>
      <c r="Q264" s="127" t="n">
        <v>577.86362898</v>
      </c>
      <c r="R264" s="132" t="n">
        <v>-0.9274689150713408</v>
      </c>
      <c r="S264" s="133" t="n">
        <v>5.3574</v>
      </c>
      <c r="T264" s="132" t="n">
        <v>-5.193705621791427</v>
      </c>
      <c r="U264" s="132" t="n">
        <v>12.25</v>
      </c>
      <c r="V264" s="132" t="n">
        <v>0.3300000000000001</v>
      </c>
      <c r="W264" s="127" t="n">
        <v>92.34999999999999</v>
      </c>
      <c r="X264" s="132" t="n">
        <v>10.55410047838465</v>
      </c>
    </row>
    <row r="265">
      <c r="C265" s="112" t="n">
        <v>44593</v>
      </c>
      <c r="D265" s="127" t="n">
        <v>13361.2461</v>
      </c>
      <c r="E265" s="132" t="n">
        <v>1.744022410632066</v>
      </c>
      <c r="F265" s="127" t="n">
        <v>269.3185867355326</v>
      </c>
      <c r="G265" s="127" t="n">
        <v>0.2960665320642852</v>
      </c>
      <c r="H265" s="132" t="n">
        <v>0.4999999999999999</v>
      </c>
      <c r="I265" s="132" t="n">
        <v>-0.4483083333333334</v>
      </c>
      <c r="J265" s="132" t="n">
        <v>5.2554</v>
      </c>
      <c r="K265" s="132" t="n">
        <v>-0.175416666666667</v>
      </c>
      <c r="L265" s="132" t="n">
        <v>10.38</v>
      </c>
      <c r="M265" s="132" t="n">
        <v>-0.2899999999999991</v>
      </c>
      <c r="N265" s="132" t="n">
        <v>2.23604444900003</v>
      </c>
      <c r="O265" s="127" t="n">
        <v>114.5522</v>
      </c>
      <c r="P265" s="132" t="n">
        <v>17.87929818312228</v>
      </c>
      <c r="Q265" s="127" t="n">
        <v>588.72957668</v>
      </c>
      <c r="R265" s="132" t="n">
        <v>8.941545281414726</v>
      </c>
      <c r="S265" s="133" t="n">
        <v>5.1394</v>
      </c>
      <c r="T265" s="132" t="n">
        <v>-8.937752901707558</v>
      </c>
      <c r="U265" s="132" t="n">
        <v>12.47</v>
      </c>
      <c r="V265" s="132" t="n">
        <v>0.7200000000000006</v>
      </c>
      <c r="W265" s="127" t="n">
        <v>103.08</v>
      </c>
      <c r="X265" s="132" t="n">
        <v>37.47992863468383</v>
      </c>
    </row>
    <row r="266">
      <c r="C266" s="112" t="n">
        <v>44621</v>
      </c>
      <c r="D266" s="127" t="n">
        <v>14429.3584</v>
      </c>
      <c r="E266" s="132" t="n">
        <v>11.24646499193981</v>
      </c>
      <c r="F266" s="127" t="n">
        <v>291.0705273035785</v>
      </c>
      <c r="G266" s="127" t="n">
        <v>10.20293947592125</v>
      </c>
      <c r="H266" s="132" t="n">
        <v>0.7039500000000001</v>
      </c>
      <c r="I266" s="132" t="n">
        <v>0.3432500000000001</v>
      </c>
      <c r="J266" s="132" t="n">
        <v>6.13845</v>
      </c>
      <c r="K266" s="132" t="n">
        <v>1.10825</v>
      </c>
      <c r="L266" s="132" t="n">
        <v>10.54</v>
      </c>
      <c r="M266" s="132" t="n">
        <v>-0.2000000000000011</v>
      </c>
      <c r="N266" s="132" t="n">
        <v>2.296808814200024</v>
      </c>
      <c r="O266" s="127" t="n">
        <v>124.4109</v>
      </c>
      <c r="P266" s="132" t="n">
        <v>22.67602980824669</v>
      </c>
      <c r="Q266" s="127" t="n">
        <v>589.43396202</v>
      </c>
      <c r="R266" s="132" t="n">
        <v>6.305481291072387</v>
      </c>
      <c r="S266" s="133" t="n">
        <v>4.7378</v>
      </c>
      <c r="T266" s="132" t="n">
        <v>-16.37054851717431</v>
      </c>
      <c r="U266" s="132" t="n">
        <v>12.72</v>
      </c>
      <c r="V266" s="132" t="n">
        <v>0.9300000000000015</v>
      </c>
      <c r="W266" s="127" t="n">
        <v>107.29</v>
      </c>
      <c r="X266" s="132" t="n">
        <v>32.86179910883413</v>
      </c>
    </row>
    <row r="267">
      <c r="C267" s="112" t="n">
        <v>44652</v>
      </c>
      <c r="D267" s="127" t="n">
        <v>15142.5166</v>
      </c>
      <c r="E267" s="132" t="n">
        <v>13.55866077953027</v>
      </c>
      <c r="F267" s="127" t="n">
        <v>298.3824508194689</v>
      </c>
      <c r="G267" s="127" t="n">
        <v>11.19618010867151</v>
      </c>
      <c r="H267" s="132" t="n">
        <v>0.8002</v>
      </c>
      <c r="I267" s="132" t="n">
        <v>0.3960333333333333</v>
      </c>
      <c r="J267" s="132" t="n">
        <v>6.628233333333333</v>
      </c>
      <c r="K267" s="132" t="n">
        <v>1.370158333333332</v>
      </c>
      <c r="L267" s="132" t="n">
        <v>11.3</v>
      </c>
      <c r="M267" s="132" t="n">
        <v>1.24</v>
      </c>
      <c r="N267" s="132" t="n">
        <v>3.200652354800004</v>
      </c>
      <c r="O267" s="127" t="n">
        <v>129.4827</v>
      </c>
      <c r="P267" s="132" t="n">
        <v>18.26881594367189</v>
      </c>
      <c r="Q267" s="127" t="n">
        <v>636.93834957</v>
      </c>
      <c r="R267" s="132" t="n">
        <v>9.733496360942553</v>
      </c>
      <c r="S267" s="133" t="n">
        <v>4.9191</v>
      </c>
      <c r="T267" s="132" t="n">
        <v>-8.535319582729329</v>
      </c>
      <c r="U267" s="132" t="n">
        <v>13.01</v>
      </c>
      <c r="V267" s="132" t="n">
        <v>0.7599999999999998</v>
      </c>
      <c r="W267" s="127" t="n">
        <v>108.36</v>
      </c>
      <c r="X267" s="132" t="n">
        <v>15.98733105716455</v>
      </c>
    </row>
    <row r="268">
      <c r="C268" s="112" t="n">
        <v>44682</v>
      </c>
      <c r="D268" s="127" t="n">
        <v>15650.0693</v>
      </c>
      <c r="E268" s="132" t="n">
        <v>15.8116910374256</v>
      </c>
      <c r="F268" s="127" t="n">
        <v>306.41107205504</v>
      </c>
      <c r="G268" s="127" t="n">
        <v>12.90325570289468</v>
      </c>
      <c r="H268" s="132" t="n">
        <v>1.026625</v>
      </c>
      <c r="I268" s="132" t="n">
        <v>0.5266249999999999</v>
      </c>
      <c r="J268" s="132" t="n">
        <v>6.946766666666667</v>
      </c>
      <c r="K268" s="132" t="n">
        <v>1.691366666666667</v>
      </c>
      <c r="L268" s="132" t="n">
        <v>12.13</v>
      </c>
      <c r="M268" s="132" t="n">
        <v>1.75</v>
      </c>
      <c r="N268" s="132" t="n">
        <v>3.734413437199979</v>
      </c>
      <c r="O268" s="127" t="n">
        <v>131.343</v>
      </c>
      <c r="P268" s="132" t="n">
        <v>13.67816076799324</v>
      </c>
      <c r="Q268" s="127" t="n">
        <v>621.1079127</v>
      </c>
      <c r="R268" s="132" t="n">
        <v>5.353788386249147</v>
      </c>
      <c r="S268" s="133" t="n">
        <v>4.7289</v>
      </c>
      <c r="T268" s="132" t="n">
        <v>-8.324372381744077</v>
      </c>
      <c r="U268" s="132" t="n">
        <v>13.39</v>
      </c>
      <c r="V268" s="132" t="n">
        <v>0.9199999999999999</v>
      </c>
      <c r="W268" s="127" t="n">
        <v>125.53</v>
      </c>
      <c r="X268" s="132" t="n">
        <v>19.70393880459527</v>
      </c>
    </row>
    <row r="269">
      <c r="C269" s="112" t="n">
        <v>44713</v>
      </c>
      <c r="D269" s="127" t="n">
        <v>15966.0938</v>
      </c>
      <c r="E269" s="132" t="n">
        <v>10.12024273178799</v>
      </c>
      <c r="F269" s="127" t="n">
        <v>317.1692754282723</v>
      </c>
      <c r="G269" s="127" t="n">
        <v>8.587002356707536</v>
      </c>
      <c r="H269" s="132" t="n">
        <v>1.0037</v>
      </c>
      <c r="I269" s="132" t="n">
        <v>0.29975</v>
      </c>
      <c r="J269" s="132" t="n">
        <v>6.53665</v>
      </c>
      <c r="K269" s="132" t="n">
        <v>0.3982000000000001</v>
      </c>
      <c r="L269" s="132" t="n">
        <v>11.73</v>
      </c>
      <c r="M269" s="132" t="n">
        <v>1.190000000000001</v>
      </c>
      <c r="N269" s="132" t="n">
        <v>3.179848708399979</v>
      </c>
      <c r="O269" s="127" t="n">
        <v>117.0482</v>
      </c>
      <c r="P269" s="132" t="n">
        <v>-6.100398127029323</v>
      </c>
      <c r="Q269" s="127" t="n">
        <v>613.0984716</v>
      </c>
      <c r="R269" s="132" t="n">
        <v>3.936287187333781</v>
      </c>
      <c r="S269" s="133" t="n">
        <v>5.238</v>
      </c>
      <c r="T269" s="132" t="n">
        <v>10.03668531436309</v>
      </c>
      <c r="U269" s="132" t="n">
        <v>13.78</v>
      </c>
      <c r="V269" s="132" t="n">
        <v>1.059999999999999</v>
      </c>
      <c r="W269" s="127" t="n">
        <v>119.78</v>
      </c>
      <c r="X269" s="132" t="n">
        <v>11.01212781876615</v>
      </c>
    </row>
    <row r="270">
      <c r="C270" s="112" t="n">
        <v>44743</v>
      </c>
      <c r="D270" s="127" t="n">
        <v>15655.9824</v>
      </c>
      <c r="E270" s="132" t="n">
        <v>3.334664979886133</v>
      </c>
      <c r="F270" s="127" t="n">
        <v>314.2226543257804</v>
      </c>
      <c r="G270" s="127" t="n">
        <v>5.172576915860238</v>
      </c>
      <c r="H270" s="132" t="n">
        <v>1.054875</v>
      </c>
      <c r="I270" s="132" t="n">
        <v>0.254675</v>
      </c>
      <c r="J270" s="132" t="n">
        <v>6.091725</v>
      </c>
      <c r="K270" s="132" t="n">
        <v>-0.5365083333333329</v>
      </c>
      <c r="L270" s="132" t="n">
        <v>11.89</v>
      </c>
      <c r="M270" s="132" t="n">
        <v>0.5899999999999999</v>
      </c>
      <c r="N270" s="132" t="n">
        <v>2.215266379399994</v>
      </c>
      <c r="O270" s="127" t="n">
        <v>121.827</v>
      </c>
      <c r="P270" s="132" t="n">
        <v>-6.094527589556601</v>
      </c>
      <c r="Q270" s="127" t="n">
        <v>632.0872068</v>
      </c>
      <c r="R270" s="132" t="n">
        <v>-0.7645498352980413</v>
      </c>
      <c r="S270" s="133" t="n">
        <v>5.1884</v>
      </c>
      <c r="T270" s="132" t="n">
        <v>5.329977754258549</v>
      </c>
      <c r="U270" s="132" t="n">
        <v>13.72</v>
      </c>
      <c r="V270" s="132" t="n">
        <v>0.7100000000000009</v>
      </c>
      <c r="W270" s="127" t="n">
        <v>111.51</v>
      </c>
      <c r="X270" s="132" t="n">
        <v>2.865525576037615</v>
      </c>
    </row>
    <row r="271">
      <c r="C271" s="112" t="n">
        <v>44774</v>
      </c>
      <c r="D271" s="127" t="n">
        <v>16160.0439</v>
      </c>
      <c r="E271" s="132" t="n">
        <v>3.206642458204387</v>
      </c>
      <c r="F271" s="127" t="n">
        <v>315.2642902642168</v>
      </c>
      <c r="G271" s="127" t="n">
        <v>2.848373059624423</v>
      </c>
      <c r="H271" s="132" t="n">
        <v>0.9490999999999998</v>
      </c>
      <c r="I271" s="132" t="n">
        <v>-0.07752500000000007</v>
      </c>
      <c r="J271" s="132" t="n">
        <v>5.755366666666667</v>
      </c>
      <c r="K271" s="132" t="n">
        <v>-1.1914</v>
      </c>
      <c r="L271" s="132" t="n">
        <v>10.07</v>
      </c>
      <c r="M271" s="132" t="n">
        <v>-2.06</v>
      </c>
      <c r="N271" s="132" t="n">
        <v>0.4553755867999776</v>
      </c>
      <c r="O271" s="127" t="n">
        <v>121.6412</v>
      </c>
      <c r="P271" s="132" t="n">
        <v>-7.673649404565949</v>
      </c>
      <c r="Q271" s="127" t="n">
        <v>629.9797748</v>
      </c>
      <c r="R271" s="132" t="n">
        <v>1.418287607762534</v>
      </c>
      <c r="S271" s="133" t="n">
        <v>5.179</v>
      </c>
      <c r="T271" s="132" t="n">
        <v>9.091937012328497</v>
      </c>
      <c r="U271" s="132" t="n">
        <v>13.44</v>
      </c>
      <c r="V271" s="132" t="n">
        <v>0.04999999999999893</v>
      </c>
      <c r="W271" s="127" t="n">
        <v>96.55</v>
      </c>
      <c r="X271" s="132" t="n">
        <v>-26.24837649555937</v>
      </c>
    </row>
    <row r="272">
      <c r="C272" s="112" t="n">
        <v>44805</v>
      </c>
      <c r="D272" s="127" t="n">
        <v>15847.0889</v>
      </c>
      <c r="E272" s="132" t="n">
        <v>-0.7481518351138106</v>
      </c>
      <c r="F272" s="127" t="n">
        <v>307.3701249662303</v>
      </c>
      <c r="G272" s="127" t="n">
        <v>-3.138298304665899</v>
      </c>
      <c r="H272" s="132" t="n">
        <v>1.0725</v>
      </c>
      <c r="I272" s="132" t="n">
        <v>0.06879999999999997</v>
      </c>
      <c r="J272" s="132" t="n">
        <v>5.185675</v>
      </c>
      <c r="K272" s="132" t="n">
        <v>-1.350975</v>
      </c>
      <c r="L272" s="132" t="n">
        <v>8.73</v>
      </c>
      <c r="M272" s="132" t="n">
        <v>-3</v>
      </c>
      <c r="N272" s="132" t="n">
        <v>-0.3745035984000111</v>
      </c>
      <c r="O272" s="127" t="n">
        <v>111.4887</v>
      </c>
      <c r="P272" s="132" t="n">
        <v>-4.866257530219277</v>
      </c>
      <c r="Q272" s="127" t="n">
        <v>602.77480542</v>
      </c>
      <c r="R272" s="132" t="n">
        <v>-1.698189190080335</v>
      </c>
      <c r="S272" s="133" t="n">
        <v>5.4066</v>
      </c>
      <c r="T272" s="132" t="n">
        <v>3.168068340138932</v>
      </c>
      <c r="U272" s="132" t="n">
        <v>13.21</v>
      </c>
      <c r="V272" s="132" t="n">
        <v>-0.5699999999999985</v>
      </c>
      <c r="W272" s="127" t="n">
        <v>88.90000000000001</v>
      </c>
      <c r="X272" s="132" t="n">
        <v>-29.81445843164574</v>
      </c>
    </row>
    <row r="273">
      <c r="C273" s="112" t="n">
        <v>44835</v>
      </c>
      <c r="D273" s="127" t="n">
        <v>15653.4551</v>
      </c>
      <c r="E273" s="132" t="n">
        <v>-0.01614401412027804</v>
      </c>
      <c r="F273" s="127" t="n">
        <v>306.0588848561483</v>
      </c>
      <c r="G273" s="127" t="n">
        <v>-2.632430722234478</v>
      </c>
      <c r="H273" s="132" t="n">
        <v>1.02595</v>
      </c>
      <c r="I273" s="132" t="n">
        <v>-0.02892500000000009</v>
      </c>
      <c r="J273" s="132" t="n">
        <v>5.0481</v>
      </c>
      <c r="K273" s="132" t="n">
        <v>-1.043625</v>
      </c>
      <c r="L273" s="132" t="n">
        <v>7.17</v>
      </c>
      <c r="M273" s="132" t="n">
        <v>-4.720000000000001</v>
      </c>
      <c r="N273" s="132" t="n">
        <v>-1.324543099200015</v>
      </c>
      <c r="O273" s="127" t="n">
        <v>113.3532</v>
      </c>
      <c r="P273" s="132" t="n">
        <v>-7.209339788887295</v>
      </c>
      <c r="Q273" s="127" t="n">
        <v>595.8977724</v>
      </c>
      <c r="R273" s="132" t="n">
        <v>-5.895824053594299</v>
      </c>
      <c r="S273" s="133" t="n">
        <v>5.257</v>
      </c>
      <c r="T273" s="132" t="n">
        <v>1.313515735293001</v>
      </c>
      <c r="U273" s="132" t="n">
        <v>13.15</v>
      </c>
      <c r="V273" s="132" t="n">
        <v>-0.5700000000000003</v>
      </c>
      <c r="W273" s="127" t="n">
        <v>93.3</v>
      </c>
      <c r="X273" s="132" t="n">
        <v>-17.82941651239724</v>
      </c>
    </row>
    <row r="274">
      <c r="C274" s="112" t="n">
        <v>44866</v>
      </c>
      <c r="D274" s="127" t="n">
        <v>15594.8408</v>
      </c>
      <c r="E274" s="132" t="n">
        <v>-3.560162806588564</v>
      </c>
      <c r="F274" s="127" t="n">
        <v>297.8252426483647</v>
      </c>
      <c r="G274" s="127" t="n">
        <v>-5.690442333986026</v>
      </c>
      <c r="H274" s="132" t="n">
        <v>0.8885333333333334</v>
      </c>
      <c r="I274" s="132" t="n">
        <v>-0.06056666666666644</v>
      </c>
      <c r="J274" s="132" t="n">
        <v>5.093016666666666</v>
      </c>
      <c r="K274" s="132" t="n">
        <v>-0.6623500000000009</v>
      </c>
      <c r="L274" s="132" t="n">
        <v>6.47</v>
      </c>
      <c r="M274" s="132" t="n">
        <v>-3.600000000000001</v>
      </c>
      <c r="N274" s="132" t="n">
        <v>-0.06278484040000976</v>
      </c>
      <c r="O274" s="127" t="n">
        <v>116.0528</v>
      </c>
      <c r="P274" s="132" t="n">
        <v>-4.703046797581387</v>
      </c>
      <c r="Q274" s="127" t="n">
        <v>614.39512848</v>
      </c>
      <c r="R274" s="132" t="n">
        <v>-2.504946248240818</v>
      </c>
      <c r="S274" s="133" t="n">
        <v>5.2941</v>
      </c>
      <c r="T274" s="132" t="n">
        <v>2.198100549340571</v>
      </c>
      <c r="U274" s="132" t="n">
        <v>13.94</v>
      </c>
      <c r="V274" s="132" t="n">
        <v>0.5</v>
      </c>
      <c r="W274" s="127" t="n">
        <v>85.61</v>
      </c>
      <c r="X274" s="132" t="n">
        <v>-12.02589101201291</v>
      </c>
    </row>
    <row r="275">
      <c r="C275" s="112" t="n">
        <v>44896</v>
      </c>
      <c r="D275" s="127" t="n">
        <v>14681.5596</v>
      </c>
      <c r="E275" s="132" t="n">
        <v>-7.63935605142132</v>
      </c>
      <c r="F275" s="127" t="n">
        <v>277.1476617615516</v>
      </c>
      <c r="G275" s="127" t="n">
        <v>-10.35022010901724</v>
      </c>
      <c r="H275" s="132" t="n">
        <v>0.8</v>
      </c>
      <c r="I275" s="132" t="n">
        <v>-0.2725</v>
      </c>
      <c r="J275" s="132" t="n">
        <v>5.3128</v>
      </c>
      <c r="K275" s="132" t="n">
        <v>0.1271250000000004</v>
      </c>
      <c r="L275" s="132" t="n">
        <v>5.9</v>
      </c>
      <c r="M275" s="132" t="n">
        <v>-2.83</v>
      </c>
      <c r="N275" s="132" t="n">
        <v>0.7095119848999909</v>
      </c>
      <c r="O275" s="127" t="n">
        <v>112.8052</v>
      </c>
      <c r="P275" s="132" t="n">
        <v>1.173919681928658</v>
      </c>
      <c r="Q275" s="127" t="n">
        <v>588.58369204</v>
      </c>
      <c r="R275" s="132" t="n">
        <v>-2.38245408983384</v>
      </c>
      <c r="S275" s="133" t="n">
        <v>5.2177</v>
      </c>
      <c r="T275" s="132" t="n">
        <v>-3.556373771762491</v>
      </c>
      <c r="U275" s="132" t="n">
        <v>13.43</v>
      </c>
      <c r="V275" s="132" t="n">
        <v>0.2199999999999989</v>
      </c>
      <c r="W275" s="127" t="n">
        <v>82.81999999999999</v>
      </c>
      <c r="X275" s="132" t="n">
        <v>-7.084256440243783</v>
      </c>
    </row>
    <row r="276">
      <c r="C276" s="112" t="n">
        <v>44927</v>
      </c>
      <c r="D276" s="127" t="n">
        <v>14496.209</v>
      </c>
      <c r="E276" s="132" t="n">
        <v>-7.680449881518503</v>
      </c>
      <c r="F276" s="127" t="n">
        <v>263.1199603590686</v>
      </c>
      <c r="G276" s="127" t="n">
        <v>-15.11674663861639</v>
      </c>
      <c r="H276" s="132" t="n">
        <v>0.8469666666666666</v>
      </c>
      <c r="I276" s="132" t="n">
        <v>-0.1789833333333333</v>
      </c>
      <c r="J276" s="132" t="n">
        <v>5.60035</v>
      </c>
      <c r="K276" s="132" t="n">
        <v>0.5522499999999999</v>
      </c>
      <c r="L276" s="132" t="n">
        <v>5.79</v>
      </c>
      <c r="M276" s="132" t="n">
        <v>-1.38</v>
      </c>
      <c r="N276" s="132" t="n">
        <v>1.6286339978</v>
      </c>
      <c r="O276" s="127" t="n">
        <v>111.8001</v>
      </c>
      <c r="P276" s="132" t="n">
        <v>-1.37961525225443</v>
      </c>
      <c r="Q276" s="127" t="n">
        <v>570.1022499300001</v>
      </c>
      <c r="R276" s="132" t="n">
        <v>-4.425339895185192</v>
      </c>
      <c r="S276" s="133" t="n">
        <v>5.0993</v>
      </c>
      <c r="T276" s="132" t="n">
        <v>-3.045724642930758</v>
      </c>
      <c r="U276" s="132" t="n">
        <v>13.47</v>
      </c>
      <c r="V276" s="132" t="n">
        <v>0.3200000000000003</v>
      </c>
      <c r="W276" s="127" t="n">
        <v>83.42</v>
      </c>
      <c r="X276" s="132" t="n">
        <v>-11.1932019084499</v>
      </c>
    </row>
    <row r="277">
      <c r="C277" s="112" t="n">
        <v>44958</v>
      </c>
      <c r="D277" s="127" t="n">
        <v>14965.9922</v>
      </c>
      <c r="E277" s="132" t="n">
        <v>-4.115970113084564</v>
      </c>
      <c r="F277" s="127" t="n">
        <v>274.3048904587698</v>
      </c>
      <c r="G277" s="127" t="n">
        <v>-8.22666537661655</v>
      </c>
      <c r="H277" s="132" t="n">
        <v>0.9416666666666667</v>
      </c>
      <c r="I277" s="132" t="n">
        <v>0.05313333333333325</v>
      </c>
      <c r="J277" s="132" t="n">
        <v>5.58835</v>
      </c>
      <c r="K277" s="132" t="n">
        <v>0.4953333333333338</v>
      </c>
      <c r="L277" s="132" t="n">
        <v>5.77</v>
      </c>
      <c r="M277" s="132" t="n">
        <v>-0.7000000000000002</v>
      </c>
      <c r="N277" s="132" t="n">
        <v>1.568014472600021</v>
      </c>
      <c r="O277" s="127" t="n">
        <v>106.1591</v>
      </c>
      <c r="P277" s="132" t="n">
        <v>-8.910634774200755</v>
      </c>
      <c r="Q277" s="127" t="n">
        <v>552.85536098</v>
      </c>
      <c r="R277" s="132" t="n">
        <v>-10.55418389660501</v>
      </c>
      <c r="S277" s="133" t="n">
        <v>5.2078</v>
      </c>
      <c r="T277" s="132" t="n">
        <v>-1.643549122404263</v>
      </c>
      <c r="U277" s="132" t="n">
        <v>13.28</v>
      </c>
      <c r="V277" s="132" t="n">
        <v>-0.6600000000000001</v>
      </c>
      <c r="W277" s="127" t="n">
        <v>83.20999999999999</v>
      </c>
      <c r="X277" s="132" t="n">
        <v>-2.843456584205589</v>
      </c>
    </row>
    <row r="278">
      <c r="C278" s="112" t="n">
        <v>44986</v>
      </c>
      <c r="D278" s="127" t="n">
        <v>14864.3896</v>
      </c>
      <c r="E278" s="132" t="n">
        <v>1.237613538218907</v>
      </c>
      <c r="F278" s="127" t="n">
        <v>270.0463109340482</v>
      </c>
      <c r="G278" s="127" t="n">
        <v>-2.59569728366924</v>
      </c>
      <c r="H278" s="132" t="n">
        <v>1.045</v>
      </c>
      <c r="I278" s="132" t="n">
        <v>0.2449999999999999</v>
      </c>
      <c r="J278" s="132" t="n">
        <v>5.500299999999999</v>
      </c>
      <c r="K278" s="132" t="n">
        <v>0.1874999999999991</v>
      </c>
      <c r="L278" s="132" t="n">
        <v>5.6</v>
      </c>
      <c r="M278" s="132" t="n">
        <v>-0.3000000000000007</v>
      </c>
      <c r="N278" s="132" t="n">
        <v>2.002973602400004</v>
      </c>
      <c r="O278" s="127" t="n">
        <v>105.5076</v>
      </c>
      <c r="P278" s="132" t="n">
        <v>-6.687944905599186</v>
      </c>
      <c r="Q278" s="127" t="n">
        <v>536.02081104</v>
      </c>
      <c r="R278" s="132" t="n">
        <v>-9.354614217724922</v>
      </c>
      <c r="S278" s="133" t="n">
        <v>5.0804</v>
      </c>
      <c r="T278" s="132" t="n">
        <v>-2.666669312125733</v>
      </c>
      <c r="U278" s="132" t="n">
        <v>12.9</v>
      </c>
      <c r="V278" s="132" t="n">
        <v>-0.5299999999999994</v>
      </c>
      <c r="W278" s="127" t="n">
        <v>79.19</v>
      </c>
      <c r="X278" s="132" t="n">
        <v>-4.481954989510001</v>
      </c>
    </row>
    <row r="279">
      <c r="C279" s="112" t="n">
        <v>45017</v>
      </c>
      <c r="D279" s="127" t="n">
        <v>14754.7275</v>
      </c>
      <c r="E279" s="132" t="n">
        <v>1.767637294142825</v>
      </c>
      <c r="F279" s="127" t="n">
        <v>266.7581989143687</v>
      </c>
      <c r="G279" s="127" t="n">
        <v>1.373257480973672</v>
      </c>
      <c r="H279" s="132" t="n">
        <v>1.135833333333333</v>
      </c>
      <c r="I279" s="132" t="n">
        <v>0.2888666666666666</v>
      </c>
      <c r="J279" s="132" t="n">
        <v>5.425599999999999</v>
      </c>
      <c r="K279" s="132" t="n">
        <v>-0.1747500000000004</v>
      </c>
      <c r="L279" s="132" t="n">
        <v>4.65</v>
      </c>
      <c r="M279" s="132" t="n">
        <v>-1.14</v>
      </c>
      <c r="N279" s="132" t="n">
        <v>2.094210609200031</v>
      </c>
      <c r="O279" s="127" t="n">
        <v>104.3114</v>
      </c>
      <c r="P279" s="132" t="n">
        <v>-6.933179904519776</v>
      </c>
      <c r="Q279" s="127" t="n">
        <v>521.63001798</v>
      </c>
      <c r="R279" s="132" t="n">
        <v>-8.885717181818618</v>
      </c>
      <c r="S279" s="133" t="n">
        <v>5.0007</v>
      </c>
      <c r="T279" s="132" t="n">
        <v>-1.952537277298835</v>
      </c>
      <c r="U279" s="132" t="n">
        <v>12.87</v>
      </c>
      <c r="V279" s="132" t="n">
        <v>-0.6000000000000014</v>
      </c>
      <c r="W279" s="127" t="n">
        <v>81.31999999999999</v>
      </c>
      <c r="X279" s="132" t="n">
        <v>-2.549610000865342</v>
      </c>
    </row>
    <row r="280">
      <c r="C280" s="112" t="n">
        <v>45047</v>
      </c>
      <c r="D280" s="127" t="n">
        <v>14816.8174</v>
      </c>
      <c r="E280" s="132" t="n">
        <v>-1.001759400828323</v>
      </c>
      <c r="F280" s="127" t="n">
        <v>266.2216569158632</v>
      </c>
      <c r="G280" s="127" t="n">
        <v>-2.991096819467977</v>
      </c>
      <c r="H280" s="132" t="n">
        <v>1.291191666666667</v>
      </c>
      <c r="I280" s="132" t="n">
        <v>0.3495250000000001</v>
      </c>
      <c r="J280" s="132" t="n">
        <v>5.0449</v>
      </c>
      <c r="K280" s="132" t="n">
        <v>-0.54345</v>
      </c>
      <c r="L280" s="132" t="n">
        <v>4.18</v>
      </c>
      <c r="M280" s="132" t="n">
        <v>-1.59</v>
      </c>
      <c r="N280" s="132" t="n">
        <v>2.175455380400004</v>
      </c>
      <c r="O280" s="127" t="n">
        <v>97.96469999999999</v>
      </c>
      <c r="P280" s="132" t="n">
        <v>-8.03317025187445</v>
      </c>
      <c r="Q280" s="127" t="n">
        <v>499.21831473</v>
      </c>
      <c r="R280" s="132" t="n">
        <v>-10.20529093864471</v>
      </c>
      <c r="S280" s="133" t="n">
        <v>5.0959</v>
      </c>
      <c r="T280" s="132" t="n">
        <v>-2.172120686770237</v>
      </c>
      <c r="U280" s="132" t="n">
        <v>12.45</v>
      </c>
      <c r="V280" s="132" t="n">
        <v>-0.8300000000000001</v>
      </c>
      <c r="W280" s="127" t="n">
        <v>71.98</v>
      </c>
      <c r="X280" s="132" t="n">
        <v>-14.49792302614537</v>
      </c>
    </row>
    <row r="281">
      <c r="C281" s="112" t="n">
        <v>45078</v>
      </c>
      <c r="D281" s="127" t="n">
        <v>14545.5723</v>
      </c>
      <c r="E281" s="132" t="n">
        <v>-2.168175467984198</v>
      </c>
      <c r="F281" s="127" t="n">
        <v>260.8370438783265</v>
      </c>
      <c r="G281" s="127" t="n">
        <v>-3.469760689150129</v>
      </c>
      <c r="H281" s="132" t="n">
        <v>1.7312</v>
      </c>
      <c r="I281" s="132" t="n">
        <v>0.6861999999999999</v>
      </c>
      <c r="J281" s="132" t="n">
        <v>4.4479</v>
      </c>
      <c r="K281" s="132" t="n">
        <v>-1.0524</v>
      </c>
      <c r="L281" s="132" t="n">
        <v>3.94</v>
      </c>
      <c r="M281" s="132" t="n">
        <v>-1.66</v>
      </c>
      <c r="N281" s="132" t="n">
        <v>1.557376961300005</v>
      </c>
      <c r="O281" s="127" t="n">
        <v>101.4785</v>
      </c>
      <c r="P281" s="132" t="n">
        <v>-3.893603485205194</v>
      </c>
      <c r="Q281" s="127" t="n">
        <v>489.0451872</v>
      </c>
      <c r="R281" s="132" t="n">
        <v>-9.171809431669649</v>
      </c>
      <c r="S281" s="133" t="n">
        <v>4.8192</v>
      </c>
      <c r="T281" s="132" t="n">
        <v>-5.278205946464457</v>
      </c>
      <c r="U281" s="132" t="n">
        <v>11.72</v>
      </c>
      <c r="V281" s="132" t="n">
        <v>-1.18</v>
      </c>
      <c r="W281" s="127" t="n">
        <v>74.51000000000001</v>
      </c>
      <c r="X281" s="132" t="n">
        <v>-6.091668365668487</v>
      </c>
    </row>
    <row r="282">
      <c r="C282" s="112" t="n">
        <v>45108</v>
      </c>
      <c r="D282" s="127" t="n">
        <v>14383.9043</v>
      </c>
      <c r="E282" s="132" t="n">
        <v>-2.545371542721098</v>
      </c>
      <c r="F282" s="127" t="n">
        <v>260.9989067502185</v>
      </c>
      <c r="G282" s="127" t="n">
        <v>-2.182640741585324</v>
      </c>
      <c r="H282" s="132" t="n">
        <v>1.690258333333333</v>
      </c>
      <c r="I282" s="132" t="n">
        <v>0.5544250000000002</v>
      </c>
      <c r="J282" s="132" t="n">
        <v>4.287416666666667</v>
      </c>
      <c r="K282" s="132" t="n">
        <v>-1.138183333333332</v>
      </c>
      <c r="L282" s="132" t="n">
        <v>3.16</v>
      </c>
      <c r="M282" s="132" t="n">
        <v>-1.49</v>
      </c>
      <c r="N282" s="132" t="n">
        <v>0.760729877599986</v>
      </c>
      <c r="O282" s="127" t="n">
        <v>107.3396</v>
      </c>
      <c r="P282" s="132" t="n">
        <v>2.861698413533922</v>
      </c>
      <c r="Q282" s="127" t="n">
        <v>508.9507134</v>
      </c>
      <c r="R282" s="132" t="n">
        <v>-2.460737715803053</v>
      </c>
      <c r="S282" s="133" t="n">
        <v>4.7415</v>
      </c>
      <c r="T282" s="132" t="n">
        <v>-5.322436129336981</v>
      </c>
      <c r="U282" s="132" t="n">
        <v>11.26</v>
      </c>
      <c r="V282" s="132" t="n">
        <v>-1.609999999999999</v>
      </c>
      <c r="W282" s="127" t="n">
        <v>85.22</v>
      </c>
      <c r="X282" s="132" t="n">
        <v>4.684415931162019</v>
      </c>
    </row>
    <row r="283">
      <c r="C283" s="112" t="n">
        <v>45139</v>
      </c>
      <c r="D283" s="127" t="n">
        <v>14609.4521</v>
      </c>
      <c r="E283" s="132" t="n">
        <v>-1.409412312015877</v>
      </c>
      <c r="F283" s="127" t="n">
        <v>263.7362002209968</v>
      </c>
      <c r="G283" s="127" t="n">
        <v>-0.9379896474473447</v>
      </c>
      <c r="H283" s="132" t="n">
        <v>1.643066666666667</v>
      </c>
      <c r="I283" s="132" t="n">
        <v>0.3518750000000002</v>
      </c>
      <c r="J283" s="132" t="n">
        <v>4.2221</v>
      </c>
      <c r="K283" s="132" t="n">
        <v>-0.8228</v>
      </c>
      <c r="L283" s="132" t="n">
        <v>3.99</v>
      </c>
      <c r="M283" s="132" t="n">
        <v>-0.1899999999999995</v>
      </c>
      <c r="N283" s="132" t="n">
        <v>0.2699957791999941</v>
      </c>
      <c r="O283" s="127" t="n">
        <v>106.0289</v>
      </c>
      <c r="P283" s="132" t="n">
        <v>7.910448876169249</v>
      </c>
      <c r="Q283" s="127" t="n">
        <v>521.86364291</v>
      </c>
      <c r="R283" s="132" t="n">
        <v>4.436282873641792</v>
      </c>
      <c r="S283" s="133" t="n">
        <v>4.9219</v>
      </c>
      <c r="T283" s="132" t="n">
        <v>-3.474166002527455</v>
      </c>
      <c r="U283" s="132" t="n">
        <v>10.98</v>
      </c>
      <c r="V283" s="132" t="n">
        <v>-1.469999999999999</v>
      </c>
      <c r="W283" s="127" t="n">
        <v>87.29000000000001</v>
      </c>
      <c r="X283" s="132" t="n">
        <v>19.28476060963738</v>
      </c>
    </row>
    <row r="284">
      <c r="C284" s="112" t="n">
        <v>45170</v>
      </c>
      <c r="D284" s="127" t="n">
        <v>14702.833</v>
      </c>
      <c r="E284" s="132" t="n">
        <v>1.075355827711574</v>
      </c>
      <c r="F284" s="127" t="n">
        <v>265.858786806773</v>
      </c>
      <c r="G284" s="127" t="n">
        <v>1.906943177390547</v>
      </c>
      <c r="H284" s="132" t="n">
        <v>1.854125</v>
      </c>
      <c r="I284" s="132" t="n">
        <v>0.1229250000000002</v>
      </c>
      <c r="J284" s="132" t="n">
        <v>4.11825</v>
      </c>
      <c r="K284" s="132" t="n">
        <v>-0.32965</v>
      </c>
      <c r="L284" s="132" t="n">
        <v>4.61</v>
      </c>
      <c r="M284" s="132" t="n">
        <v>0.6700000000000004</v>
      </c>
      <c r="N284" s="132" t="n">
        <v>0.2699957791999941</v>
      </c>
      <c r="O284" s="127" t="n">
        <v>104.8391</v>
      </c>
      <c r="P284" s="132" t="n">
        <v>3.257984052447411</v>
      </c>
      <c r="Q284" s="127" t="n">
        <v>524.9922771600001</v>
      </c>
      <c r="R284" s="132" t="n">
        <v>7.092865974446154</v>
      </c>
      <c r="S284" s="133" t="n">
        <v>5.0076</v>
      </c>
      <c r="T284" s="132" t="n">
        <v>3.834881921998739</v>
      </c>
      <c r="U284" s="132" t="n">
        <v>11.06</v>
      </c>
      <c r="V284" s="132" t="n">
        <v>-0.6600000000000001</v>
      </c>
      <c r="W284" s="127" t="n">
        <v>95.86</v>
      </c>
      <c r="X284" s="132" t="n">
        <v>25.1955449165849</v>
      </c>
    </row>
    <row r="285">
      <c r="C285" s="112" t="n">
        <v>45200</v>
      </c>
      <c r="D285" s="127" t="n">
        <v>15268.1289</v>
      </c>
      <c r="E285" s="132" t="n">
        <v>5.965775286012575</v>
      </c>
      <c r="F285" s="127" t="n">
        <v>275.5235310442229</v>
      </c>
      <c r="G285" s="127" t="n">
        <v>5.415681846686033</v>
      </c>
      <c r="H285" s="132" t="n">
        <v>1.732</v>
      </c>
      <c r="I285" s="132" t="n">
        <v>0.04174166666666657</v>
      </c>
      <c r="J285" s="132" t="n">
        <v>4.027516666666667</v>
      </c>
      <c r="K285" s="132" t="n">
        <v>-0.2599</v>
      </c>
      <c r="L285" s="132" t="n">
        <v>5.19</v>
      </c>
      <c r="M285" s="132" t="n">
        <v>2.03</v>
      </c>
      <c r="N285" s="132" t="n">
        <v>0.6111867176000096</v>
      </c>
      <c r="O285" s="127" t="n">
        <v>104.6162</v>
      </c>
      <c r="P285" s="132" t="n">
        <v>-2.5699224909289</v>
      </c>
      <c r="Q285" s="127" t="n">
        <v>529.0964315</v>
      </c>
      <c r="R285" s="132" t="n">
        <v>3.881952380882924</v>
      </c>
      <c r="S285" s="133" t="n">
        <v>5.0575</v>
      </c>
      <c r="T285" s="132" t="n">
        <v>6.451874871811841</v>
      </c>
      <c r="U285" s="132" t="n">
        <v>11.15</v>
      </c>
      <c r="V285" s="132" t="n">
        <v>-0.1099999999999994</v>
      </c>
      <c r="W285" s="127" t="n">
        <v>86.81999999999999</v>
      </c>
      <c r="X285" s="132" t="n">
        <v>1.860086179968144</v>
      </c>
    </row>
    <row r="286">
      <c r="C286" s="112" t="n">
        <v>45231</v>
      </c>
      <c r="D286" s="127" t="n">
        <v>15638.541</v>
      </c>
      <c r="E286" s="132" t="n">
        <v>6.806972097245649</v>
      </c>
      <c r="F286" s="127" t="n">
        <v>277.7903808262588</v>
      </c>
      <c r="G286" s="127" t="n">
        <v>5.191744148088963</v>
      </c>
      <c r="H286" s="132" t="n">
        <v>1.6125</v>
      </c>
      <c r="I286" s="132" t="n">
        <v>-0.03056666666666685</v>
      </c>
      <c r="J286" s="132" t="n">
        <v>3.969841666666666</v>
      </c>
      <c r="K286" s="132" t="n">
        <v>-0.2522583333333337</v>
      </c>
      <c r="L286" s="132" t="n">
        <v>4.82</v>
      </c>
      <c r="M286" s="132" t="n">
        <v>0.8300000000000001</v>
      </c>
      <c r="N286" s="132" t="n">
        <v>0.7317754351999994</v>
      </c>
      <c r="O286" s="127" t="n">
        <v>101.8067</v>
      </c>
      <c r="P286" s="132" t="n">
        <v>-4.063578118670474</v>
      </c>
      <c r="Q286" s="127" t="n">
        <v>502.4669678500001</v>
      </c>
      <c r="R286" s="132" t="n">
        <v>-3.787643112903971</v>
      </c>
      <c r="S286" s="133" t="n">
        <v>4.9355</v>
      </c>
      <c r="T286" s="132" t="n">
        <v>0.2759350057665019</v>
      </c>
      <c r="U286" s="132" t="n">
        <v>10.41</v>
      </c>
      <c r="V286" s="132" t="n">
        <v>-0.5700000000000003</v>
      </c>
      <c r="W286" s="127" t="n">
        <v>81.72</v>
      </c>
      <c r="X286" s="132" t="n">
        <v>-6.593713879783719</v>
      </c>
    </row>
    <row r="287">
      <c r="C287" s="112" t="n">
        <v>45261</v>
      </c>
      <c r="D287" s="127" t="n">
        <v>16031.0898</v>
      </c>
      <c r="E287" s="132" t="n">
        <v>8.648975303385404</v>
      </c>
      <c r="F287" s="127" t="n">
        <v>284.6092920773129</v>
      </c>
      <c r="G287" s="127" t="n">
        <v>6.815204357629399</v>
      </c>
      <c r="H287" s="132" t="n">
        <v>1.5198</v>
      </c>
      <c r="I287" s="132" t="n">
        <v>-0.334325</v>
      </c>
      <c r="J287" s="132" t="n">
        <v>3.9</v>
      </c>
      <c r="K287" s="132" t="n">
        <v>-0.2182499999999998</v>
      </c>
      <c r="L287" s="132" t="n">
        <v>4.68</v>
      </c>
      <c r="M287" s="132" t="n">
        <v>0.0699999999999994</v>
      </c>
      <c r="N287" s="132" t="n">
        <v>0.7820257471999881</v>
      </c>
      <c r="O287" s="127" t="n">
        <v>98.646</v>
      </c>
      <c r="P287" s="132" t="n">
        <v>-6.088910965183443</v>
      </c>
      <c r="Q287" s="127" t="n">
        <v>477.5748798</v>
      </c>
      <c r="R287" s="132" t="n">
        <v>-9.466258835053228</v>
      </c>
      <c r="S287" s="133" t="n">
        <v>4.8413</v>
      </c>
      <c r="T287" s="132" t="n">
        <v>-3.377347869869781</v>
      </c>
      <c r="U287" s="132" t="n">
        <v>10.05</v>
      </c>
      <c r="V287" s="132" t="n">
        <v>-1.01</v>
      </c>
      <c r="W287" s="127" t="n">
        <v>77.69</v>
      </c>
      <c r="X287" s="132" t="n">
        <v>-21.01622447691558</v>
      </c>
    </row>
    <row r="288">
      <c r="C288" s="112" t="n">
        <v>45292</v>
      </c>
      <c r="D288" s="127" t="n">
        <v>15831.6328</v>
      </c>
      <c r="E288" s="132" t="n">
        <v>3.624243715775251</v>
      </c>
      <c r="F288" s="127" t="n">
        <v>279.2959772713804</v>
      </c>
      <c r="G288" s="127" t="n">
        <v>1.359903286794326</v>
      </c>
      <c r="H288" s="132" t="n">
        <v>1.633333333333334</v>
      </c>
      <c r="I288" s="132" t="n">
        <v>-0.09866666666666646</v>
      </c>
      <c r="J288" s="132" t="n">
        <v>3.787558333333334</v>
      </c>
      <c r="K288" s="132" t="n">
        <v>-0.2399583333333335</v>
      </c>
      <c r="L288" s="132" t="n">
        <v>4.62</v>
      </c>
      <c r="M288" s="132" t="n">
        <v>-0.5700000000000003</v>
      </c>
      <c r="N288" s="132" t="n">
        <v>1.083587763199989</v>
      </c>
      <c r="O288" s="127" t="n">
        <v>98.56019999999999</v>
      </c>
      <c r="P288" s="132" t="n">
        <v>-5.963088635190421</v>
      </c>
      <c r="Q288" s="127" t="n">
        <v>488.2179507</v>
      </c>
      <c r="R288" s="132" t="n">
        <v>-8.040877898071971</v>
      </c>
      <c r="S288" s="133" t="n">
        <v>4.9535</v>
      </c>
      <c r="T288" s="132" t="n">
        <v>-2.077789262881556</v>
      </c>
      <c r="U288" s="132" t="n">
        <v>9.91</v>
      </c>
      <c r="V288" s="132" t="n">
        <v>-1.24</v>
      </c>
      <c r="W288" s="127" t="n">
        <v>82.98</v>
      </c>
      <c r="X288" s="132" t="n">
        <v>-4.52373949667255</v>
      </c>
    </row>
    <row r="289">
      <c r="C289" s="112" t="n">
        <v>45323</v>
      </c>
      <c r="D289" s="127" t="n">
        <v>15759.0117</v>
      </c>
      <c r="E289" s="132" t="n">
        <v>0.7673928751852879</v>
      </c>
      <c r="F289" s="127" t="n">
        <v>276.2317628797218</v>
      </c>
      <c r="G289" s="127" t="n">
        <v>-0.5626569537599022</v>
      </c>
      <c r="H289" s="132" t="n">
        <v>1.797083333333333</v>
      </c>
      <c r="I289" s="132" t="n">
        <v>0.1845833333333333</v>
      </c>
      <c r="J289" s="132" t="n">
        <v>3.752833333333333</v>
      </c>
      <c r="K289" s="132" t="n">
        <v>-0.2170083333333332</v>
      </c>
      <c r="L289" s="132" t="n">
        <v>4.51</v>
      </c>
      <c r="M289" s="132" t="n">
        <v>-0.3100000000000005</v>
      </c>
      <c r="N289" s="132" t="n">
        <v>1.265102585599998</v>
      </c>
      <c r="O289" s="127" t="n">
        <v>96.69889999999999</v>
      </c>
      <c r="P289" s="132" t="n">
        <v>-5.147389026810297</v>
      </c>
      <c r="Q289" s="127" t="n">
        <v>481.87962837</v>
      </c>
      <c r="R289" s="132" t="n">
        <v>-4.183555296090483</v>
      </c>
      <c r="S289" s="133" t="n">
        <v>4.9833</v>
      </c>
      <c r="T289" s="132" t="n">
        <v>0.9638337307198069</v>
      </c>
      <c r="U289" s="132" t="n">
        <v>9.890000000000001</v>
      </c>
      <c r="V289" s="132" t="n">
        <v>-0.5199999999999996</v>
      </c>
      <c r="W289" s="127" t="n">
        <v>84.56999999999999</v>
      </c>
      <c r="X289" s="132" t="n">
        <v>3.428082384470955</v>
      </c>
    </row>
    <row r="290">
      <c r="C290" s="112" t="n">
        <v>45352</v>
      </c>
      <c r="D290" s="127" t="n">
        <v>15912.9502</v>
      </c>
      <c r="E290" s="132" t="n">
        <v>-0.7396693632254145</v>
      </c>
      <c r="F290" s="127" t="n">
        <v>276.1427148348031</v>
      </c>
      <c r="G290" s="127" t="n">
        <v>-3.019951991608281</v>
      </c>
      <c r="H290" s="132" t="n">
        <v>1.9175</v>
      </c>
      <c r="I290" s="132" t="n">
        <v>0.3976999999999999</v>
      </c>
      <c r="J290" s="132" t="n">
        <v>3.69045</v>
      </c>
      <c r="K290" s="132" t="n">
        <v>-0.2095500000000001</v>
      </c>
      <c r="L290" s="132" t="n">
        <v>4.5</v>
      </c>
      <c r="M290" s="132" t="n">
        <v>-0.1799999999999997</v>
      </c>
      <c r="N290" s="132" t="n">
        <v>1.820505521600002</v>
      </c>
      <c r="O290" s="127" t="n">
        <v>99.4894</v>
      </c>
      <c r="P290" s="132" t="n">
        <v>0.8513421569428355</v>
      </c>
      <c r="Q290" s="127" t="n">
        <v>497.06894028</v>
      </c>
      <c r="R290" s="132" t="n">
        <v>4.000776535244756</v>
      </c>
      <c r="S290" s="133" t="n">
        <v>4.9962</v>
      </c>
      <c r="T290" s="132" t="n">
        <v>3.149434378301923</v>
      </c>
      <c r="U290" s="132" t="n">
        <v>9.85</v>
      </c>
      <c r="V290" s="132" t="n">
        <v>-0.2000000000000011</v>
      </c>
      <c r="W290" s="127" t="n">
        <v>86.17</v>
      </c>
      <c r="X290" s="132" t="n">
        <v>10.35955402893462</v>
      </c>
    </row>
    <row r="291">
      <c r="C291" s="112" t="n">
        <v>45383</v>
      </c>
      <c r="D291" s="127" t="n">
        <v>16058.1777</v>
      </c>
      <c r="E291" s="132" t="n">
        <v>1.420821933731921</v>
      </c>
      <c r="F291" s="127" t="n">
        <v>281.858709675988</v>
      </c>
      <c r="G291" s="127" t="n">
        <v>0.9133845910867865</v>
      </c>
      <c r="H291" s="132" t="n">
        <v>2.032733333333334</v>
      </c>
      <c r="I291" s="132" t="n">
        <v>0.3994000000000002</v>
      </c>
      <c r="J291" s="132" t="n">
        <v>3.696</v>
      </c>
      <c r="K291" s="132" t="n">
        <v>-0.09155833333333385</v>
      </c>
      <c r="L291" s="132" t="n">
        <v>3.93</v>
      </c>
      <c r="M291" s="132" t="n">
        <v>-0.6899999999999999</v>
      </c>
      <c r="N291" s="132" t="n">
        <v>1.415491577599992</v>
      </c>
      <c r="O291" s="127" t="n">
        <v>101.6744</v>
      </c>
      <c r="P291" s="132" t="n">
        <v>3.11080216163034</v>
      </c>
      <c r="Q291" s="127" t="n">
        <v>525.83966192</v>
      </c>
      <c r="R291" s="132" t="n">
        <v>7.423441458702462</v>
      </c>
      <c r="S291" s="133" t="n">
        <v>5.1718</v>
      </c>
      <c r="T291" s="132" t="n">
        <v>4.312639297072132</v>
      </c>
      <c r="U291" s="132" t="n">
        <v>10.39</v>
      </c>
      <c r="V291" s="132" t="n">
        <v>0.4800000000000004</v>
      </c>
      <c r="W291" s="127" t="n">
        <v>88.23</v>
      </c>
      <c r="X291" s="132" t="n">
        <v>6.134742632929156</v>
      </c>
    </row>
    <row r="292">
      <c r="C292" s="112" t="n">
        <v>45413</v>
      </c>
      <c r="D292" s="127" t="n">
        <v>16406.2363</v>
      </c>
      <c r="E292" s="132" t="n">
        <v>4.024915167137542</v>
      </c>
      <c r="F292" s="127" t="n">
        <v>280.8421051024687</v>
      </c>
      <c r="G292" s="127" t="n">
        <v>1.655237392907607</v>
      </c>
      <c r="H292" s="132" t="n">
        <v>2.029166666666667</v>
      </c>
      <c r="I292" s="132" t="n">
        <v>0.2320833333333334</v>
      </c>
      <c r="J292" s="132" t="n">
        <v>3.834708333333333</v>
      </c>
      <c r="K292" s="132" t="n">
        <v>0.08187500000000014</v>
      </c>
      <c r="L292" s="132" t="n">
        <v>3.69</v>
      </c>
      <c r="M292" s="132" t="n">
        <v>-0.8199999999999998</v>
      </c>
      <c r="N292" s="132" t="n">
        <v>1.375095046399988</v>
      </c>
      <c r="O292" s="127" t="n">
        <v>102.9915</v>
      </c>
      <c r="P292" s="132" t="n">
        <v>6.304443354572498</v>
      </c>
      <c r="Q292" s="127" t="n">
        <v>539.8402464000001</v>
      </c>
      <c r="R292" s="132" t="n">
        <v>11.35789065992799</v>
      </c>
      <c r="S292" s="133" t="n">
        <v>5.2416</v>
      </c>
      <c r="T292" s="132" t="n">
        <v>5.053447305355486</v>
      </c>
      <c r="U292" s="132" t="n">
        <v>10.56</v>
      </c>
      <c r="V292" s="132" t="n">
        <v>0.6699999999999999</v>
      </c>
      <c r="W292" s="127" t="n">
        <v>79.41</v>
      </c>
      <c r="X292" s="132" t="n">
        <v>-6.295528888701119</v>
      </c>
    </row>
    <row r="293">
      <c r="C293" s="112" t="n">
        <v>45444</v>
      </c>
      <c r="D293" s="127" t="n">
        <v>16664.9141</v>
      </c>
      <c r="E293" s="132" t="n">
        <v>4.617230152456457</v>
      </c>
      <c r="F293" s="127" t="n">
        <v>278.1681872452422</v>
      </c>
      <c r="G293" s="127" t="n">
        <v>0.7308106037975887</v>
      </c>
      <c r="H293" s="132" t="n">
        <v>2.0367</v>
      </c>
      <c r="I293" s="132" t="n">
        <v>0.1191999999999998</v>
      </c>
      <c r="J293" s="132" t="n">
        <v>3.9351</v>
      </c>
      <c r="K293" s="132" t="n">
        <v>0.2446500000000005</v>
      </c>
      <c r="L293" s="132" t="n">
        <v>3.93</v>
      </c>
      <c r="M293" s="132" t="n">
        <v>-0.5699999999999998</v>
      </c>
      <c r="N293" s="132" t="n">
        <v>1.003094796799986</v>
      </c>
      <c r="O293" s="127" t="n">
        <v>100.9915</v>
      </c>
      <c r="P293" s="132" t="n">
        <v>1.498524905767651</v>
      </c>
      <c r="Q293" s="127" t="n">
        <v>561.4016493500001</v>
      </c>
      <c r="R293" s="132" t="n">
        <v>12.17078725326012</v>
      </c>
      <c r="S293" s="133" t="n">
        <v>5.5589</v>
      </c>
      <c r="T293" s="132" t="n">
        <v>10.67226234749246</v>
      </c>
      <c r="U293" s="132" t="n">
        <v>11.18</v>
      </c>
      <c r="V293" s="132" t="n">
        <v>1.33</v>
      </c>
      <c r="W293" s="127" t="n">
        <v>87.26000000000001</v>
      </c>
      <c r="X293" s="132" t="n">
        <v>1.257007844378804</v>
      </c>
    </row>
    <row r="294">
      <c r="C294" s="112" t="n">
        <v>45474</v>
      </c>
      <c r="D294" s="127" t="n">
        <v>17196.5</v>
      </c>
      <c r="E294" s="132" t="n">
        <v>6.848764090422368</v>
      </c>
      <c r="F294" s="127" t="n">
        <v>293.2924192233671</v>
      </c>
      <c r="G294" s="127" t="n">
        <v>3.976421329246312</v>
      </c>
      <c r="H294" s="132" t="n">
        <v>2.038408333333333</v>
      </c>
      <c r="I294" s="132" t="n">
        <v>0.005674999999999208</v>
      </c>
      <c r="J294" s="132" t="n">
        <v>4.018158333333333</v>
      </c>
      <c r="K294" s="132" t="n">
        <v>0.3221583333333333</v>
      </c>
      <c r="L294" s="132" t="n">
        <v>4.23</v>
      </c>
      <c r="M294" s="132" t="n">
        <v>0.3000000000000003</v>
      </c>
      <c r="N294" s="132" t="n">
        <v>1.053515670799987</v>
      </c>
      <c r="O294" s="127" t="n">
        <v>96.44929999999999</v>
      </c>
      <c r="P294" s="132" t="n">
        <v>-5.275806894128116</v>
      </c>
      <c r="Q294" s="127" t="n">
        <v>546.1055815299999</v>
      </c>
      <c r="R294" s="132" t="n">
        <v>3.781598879446667</v>
      </c>
      <c r="S294" s="133" t="n">
        <v>5.6621</v>
      </c>
      <c r="T294" s="132" t="n">
        <v>9.057405773574805</v>
      </c>
      <c r="U294" s="132" t="n">
        <v>11.38</v>
      </c>
      <c r="V294" s="132" t="n">
        <v>0.9900000000000002</v>
      </c>
      <c r="W294" s="127" t="n">
        <v>81.39</v>
      </c>
      <c r="X294" s="132" t="n">
        <v>-8.069462589506337</v>
      </c>
    </row>
    <row r="295">
      <c r="C295" s="112" t="n">
        <v>45505</v>
      </c>
      <c r="D295" s="127" t="n">
        <v>16981.7344</v>
      </c>
      <c r="E295" s="132" t="n">
        <v>3.447679462142812</v>
      </c>
      <c r="F295" s="127" t="n">
        <v>283.6940503039299</v>
      </c>
      <c r="G295" s="127" t="n">
        <v>1.010376195069853</v>
      </c>
      <c r="H295" s="132" t="n">
        <v>2.057</v>
      </c>
      <c r="I295" s="132" t="n">
        <v>0.02783333333333315</v>
      </c>
      <c r="J295" s="132" t="n">
        <v>4.030066666666666</v>
      </c>
      <c r="K295" s="132" t="n">
        <v>0.1953583333333331</v>
      </c>
      <c r="L295" s="132" t="n">
        <v>4.5</v>
      </c>
      <c r="M295" s="132" t="n">
        <v>0.8100000000000001</v>
      </c>
      <c r="N295" s="132" t="n">
        <v>1.053515670799987</v>
      </c>
      <c r="O295" s="127" t="n">
        <v>96.0873</v>
      </c>
      <c r="P295" s="132" t="n">
        <v>-6.938930731558285</v>
      </c>
      <c r="Q295" s="127" t="n">
        <v>543.48898626</v>
      </c>
      <c r="R295" s="132" t="n">
        <v>0.673618609588123</v>
      </c>
      <c r="S295" s="133" t="n">
        <v>5.6562</v>
      </c>
      <c r="T295" s="132" t="n">
        <v>7.61254934114641</v>
      </c>
      <c r="U295" s="132" t="n">
        <v>11.74</v>
      </c>
      <c r="V295" s="132" t="n">
        <v>1.18</v>
      </c>
      <c r="W295" s="127" t="n">
        <v>80.2</v>
      </c>
      <c r="X295" s="132" t="n">
        <v>0.989920996534923</v>
      </c>
    </row>
    <row r="296">
      <c r="C296" s="112" t="n">
        <v>45536</v>
      </c>
      <c r="D296" s="127" t="n">
        <v>16720.5898</v>
      </c>
      <c r="E296" s="132" t="n">
        <v>0.3335324923053556</v>
      </c>
      <c r="F296" s="127" t="n">
        <v>276.5417496966769</v>
      </c>
      <c r="G296" s="127" t="n">
        <v>-0.5864117806651861</v>
      </c>
      <c r="H296" s="132" t="n">
        <v>2.185975</v>
      </c>
      <c r="I296" s="132" t="n">
        <v>0.1492750000000003</v>
      </c>
      <c r="J296" s="132" t="n">
        <v>4.06845</v>
      </c>
      <c r="K296" s="132" t="n">
        <v>0.1333500000000001</v>
      </c>
      <c r="L296" s="132" t="n">
        <v>4.24</v>
      </c>
      <c r="M296" s="132" t="n">
        <v>0.3100000000000001</v>
      </c>
      <c r="N296" s="132" t="n">
        <v>0.5706798404000013</v>
      </c>
      <c r="O296" s="127" t="n">
        <v>100.3406</v>
      </c>
      <c r="P296" s="132" t="n">
        <v>-0.6465956176546053</v>
      </c>
      <c r="Q296" s="127" t="n">
        <v>546.66562286</v>
      </c>
      <c r="R296" s="132" t="n">
        <v>-2.659927910064364</v>
      </c>
      <c r="S296" s="133" t="n">
        <v>5.4481</v>
      </c>
      <c r="T296" s="132" t="n">
        <v>-2.013332292409755</v>
      </c>
      <c r="U296" s="132" t="n">
        <v>12.17</v>
      </c>
      <c r="V296" s="132" t="n">
        <v>0.9900000000000002</v>
      </c>
      <c r="W296" s="127" t="n">
        <v>72.34999999999999</v>
      </c>
      <c r="X296" s="132" t="n">
        <v>-18.73767146179709</v>
      </c>
    </row>
    <row r="297">
      <c r="C297" s="112" t="n">
        <v>45566</v>
      </c>
      <c r="D297" s="127" t="n">
        <v>16976.0723</v>
      </c>
      <c r="E297" s="132" t="n">
        <v>-1.290103392437127</v>
      </c>
      <c r="F297" s="127" t="n">
        <v>282.8246992535109</v>
      </c>
      <c r="G297" s="127" t="n">
        <v>-3.634286070960995</v>
      </c>
      <c r="H297" s="132" t="n">
        <v>2.12435</v>
      </c>
      <c r="I297" s="132" t="n">
        <v>0.0859416666666668</v>
      </c>
      <c r="J297" s="132" t="n">
        <v>4.092466666666667</v>
      </c>
      <c r="K297" s="132" t="n">
        <v>0.07430833333333364</v>
      </c>
      <c r="L297" s="132" t="n">
        <v>4.42</v>
      </c>
      <c r="M297" s="132" t="n">
        <v>0.1899999999999995</v>
      </c>
      <c r="N297" s="132" t="n">
        <v>0.8015076655999875</v>
      </c>
      <c r="O297" s="127" t="n">
        <v>98.0956</v>
      </c>
      <c r="P297" s="132" t="n">
        <v>1.69250316948345</v>
      </c>
      <c r="Q297" s="127" t="n">
        <v>566.78656724</v>
      </c>
      <c r="R297" s="132" t="n">
        <v>3.717047842503966</v>
      </c>
      <c r="S297" s="133" t="n">
        <v>5.7779</v>
      </c>
      <c r="T297" s="132" t="n">
        <v>2.02454467302053</v>
      </c>
      <c r="U297" s="132" t="n">
        <v>12.67</v>
      </c>
      <c r="V297" s="132" t="n">
        <v>1.289999999999999</v>
      </c>
      <c r="W297" s="127" t="n">
        <v>73.25</v>
      </c>
      <c r="X297" s="132" t="n">
        <v>-10.53741674417734</v>
      </c>
    </row>
    <row r="298">
      <c r="C298" s="112" t="n">
        <v>45597</v>
      </c>
      <c r="D298" s="127" t="n">
        <v>17404.3145</v>
      </c>
      <c r="E298" s="132" t="n">
        <v>2.457981588829765</v>
      </c>
      <c r="F298" s="127" t="n">
        <v>290.2685476402092</v>
      </c>
      <c r="G298" s="127" t="n">
        <v>2.291015102063715</v>
      </c>
      <c r="H298" s="132" t="n">
        <v>2.057241666666667</v>
      </c>
      <c r="I298" s="132" t="n">
        <v>0.0002416666666666956</v>
      </c>
      <c r="J298" s="132" t="n">
        <v>4.425833333333333</v>
      </c>
      <c r="K298" s="132" t="n">
        <v>0.3957666666666668</v>
      </c>
      <c r="L298" s="132" t="n">
        <v>4.76</v>
      </c>
      <c r="M298" s="132" t="n">
        <v>0.2599999999999998</v>
      </c>
      <c r="N298" s="132" t="n">
        <v>0.9822635072000097</v>
      </c>
      <c r="O298" s="127" t="n">
        <v>98.1416</v>
      </c>
      <c r="P298" s="132" t="n">
        <v>2.115418053223676</v>
      </c>
      <c r="Q298" s="127" t="n">
        <v>594.1001755999999</v>
      </c>
      <c r="R298" s="132" t="n">
        <v>8.903850904987202</v>
      </c>
      <c r="S298" s="133" t="n">
        <v>6.0535</v>
      </c>
      <c r="T298" s="132" t="n">
        <v>6.788432851763536</v>
      </c>
      <c r="U298" s="132" t="n">
        <v>13.85</v>
      </c>
      <c r="V298" s="132" t="n">
        <v>2.109999999999999</v>
      </c>
      <c r="W298" s="127" t="n">
        <v>74.16</v>
      </c>
      <c r="X298" s="132" t="n">
        <v>-7.829859361486917</v>
      </c>
    </row>
    <row r="299">
      <c r="C299" s="112" t="n">
        <v>45627</v>
      </c>
      <c r="D299" s="127" t="n">
        <v>17544.3262</v>
      </c>
      <c r="E299" s="132" t="n">
        <v>4.808972203996816</v>
      </c>
      <c r="F299" s="127" t="n">
        <v>292.3636157012854</v>
      </c>
      <c r="G299" s="127" t="n">
        <v>5.563648378496239</v>
      </c>
      <c r="H299" s="132" t="n">
        <v>2.019</v>
      </c>
      <c r="I299" s="132" t="n">
        <v>-0.1669749999999999</v>
      </c>
      <c r="J299" s="132" t="n">
        <v>4.9932</v>
      </c>
      <c r="K299" s="132" t="n">
        <v>0.9247499999999995</v>
      </c>
      <c r="L299" s="132" t="n">
        <v>4.87</v>
      </c>
      <c r="M299" s="132" t="n">
        <v>0.6299999999999999</v>
      </c>
      <c r="N299" s="132" t="n">
        <v>1.396373609599988</v>
      </c>
      <c r="O299" s="127" t="n">
        <v>98.7611</v>
      </c>
      <c r="P299" s="132" t="n">
        <v>-1.586659617980709</v>
      </c>
      <c r="Q299" s="127" t="n">
        <v>611.5583595300001</v>
      </c>
      <c r="R299" s="132" t="n">
        <v>11.21730645078589</v>
      </c>
      <c r="S299" s="133" t="n">
        <v>6.1923</v>
      </c>
      <c r="T299" s="132" t="n">
        <v>12.80396606876657</v>
      </c>
      <c r="U299" s="132" t="n">
        <v>15.39</v>
      </c>
      <c r="V299" s="132" t="n">
        <v>3.220000000000001</v>
      </c>
      <c r="W299" s="127" t="n">
        <v>74.58</v>
      </c>
      <c r="X299" s="132" t="n">
        <v>3.035692167318203</v>
      </c>
    </row>
    <row r="300">
      <c r="C300" s="112" t="n">
        <v>45658</v>
      </c>
      <c r="D300" s="127" t="n">
        <v>17312.8223</v>
      </c>
      <c r="E300" s="132" t="n">
        <v>1.96425595643934</v>
      </c>
      <c r="F300" s="127" t="n">
        <v>289.9200088644598</v>
      </c>
      <c r="G300" s="127" t="n">
        <v>2.477778498418709</v>
      </c>
      <c r="H300" s="132" t="n">
        <v>2.033591666666667</v>
      </c>
      <c r="I300" s="132" t="n">
        <v>-0.09075833333333305</v>
      </c>
      <c r="J300" s="132" t="n">
        <v>5.4075</v>
      </c>
      <c r="K300" s="132" t="n">
        <v>1.315033333333333</v>
      </c>
      <c r="L300" s="132" t="n">
        <v>4.83</v>
      </c>
      <c r="M300" s="132" t="n">
        <v>0.4100000000000001</v>
      </c>
      <c r="N300" s="132" t="n">
        <v>1.47713535680003</v>
      </c>
      <c r="O300" s="127" t="n">
        <v>102.2923</v>
      </c>
      <c r="P300" s="132" t="n">
        <v>4.189188793375022</v>
      </c>
      <c r="Q300" s="127" t="n">
        <v>596.3743382299999</v>
      </c>
      <c r="R300" s="132" t="n">
        <v>5.088574594008591</v>
      </c>
      <c r="S300" s="133" t="n">
        <v>5.8301</v>
      </c>
      <c r="T300" s="132" t="n">
        <v>0.8993858006335663</v>
      </c>
      <c r="U300" s="132" t="n">
        <v>14.95</v>
      </c>
      <c r="V300" s="132" t="n">
        <v>2.279999999999999</v>
      </c>
      <c r="W300" s="127" t="n">
        <v>77.11</v>
      </c>
      <c r="X300" s="132" t="n">
        <v>5.135472594769247</v>
      </c>
    </row>
    <row r="301">
      <c r="C301" s="112" t="n">
        <v>45689</v>
      </c>
      <c r="D301" s="127" t="n">
        <v>17576.834</v>
      </c>
      <c r="E301" s="132" t="n">
        <v>0.9863649772527728</v>
      </c>
      <c r="F301" s="127" t="n">
        <v>290.9991225485736</v>
      </c>
      <c r="G301" s="127" t="n">
        <v>0.2513731041763001</v>
      </c>
      <c r="H301" s="132" t="n">
        <v>1.954166666666667</v>
      </c>
      <c r="I301" s="132" t="n">
        <v>-0.103075</v>
      </c>
      <c r="J301" s="132" t="n">
        <v>5.441666666666667</v>
      </c>
      <c r="K301" s="132" t="n">
        <v>1.015833333333334</v>
      </c>
      <c r="L301" s="132" t="n">
        <v>4.56</v>
      </c>
      <c r="M301" s="132" t="n">
        <v>-0.2000000000000002</v>
      </c>
      <c r="N301" s="132" t="n">
        <v>1.073487244800009</v>
      </c>
      <c r="O301" s="127" t="n">
        <v>102.7507</v>
      </c>
      <c r="P301" s="132" t="n">
        <v>4.589433223607614</v>
      </c>
      <c r="Q301" s="127" t="n">
        <v>600.9682941599999</v>
      </c>
      <c r="R301" s="132" t="n">
        <v>1.149422706738732</v>
      </c>
      <c r="S301" s="133" t="n">
        <v>5.8488</v>
      </c>
      <c r="T301" s="132" t="n">
        <v>-3.440010516868877</v>
      </c>
      <c r="U301" s="132" t="n">
        <v>15.03</v>
      </c>
      <c r="V301" s="132" t="n">
        <v>1.18</v>
      </c>
      <c r="W301" s="127" t="n">
        <v>74.76000000000001</v>
      </c>
      <c r="X301" s="132" t="n">
        <v>0.8058061329762441</v>
      </c>
    </row>
    <row r="302">
      <c r="C302" s="112" t="n">
        <v>45717</v>
      </c>
      <c r="D302" s="127" t="n">
        <v>17804.6445</v>
      </c>
      <c r="E302" s="132" t="n">
        <v>1.472874603482244</v>
      </c>
      <c r="F302" s="127" t="n">
        <v>291.0686387078355</v>
      </c>
      <c r="G302" s="127" t="n">
        <v>-0.4439175620686244</v>
      </c>
      <c r="H302" s="132" t="n">
        <v>1.8763</v>
      </c>
      <c r="I302" s="132" t="n">
        <v>-0.1427</v>
      </c>
      <c r="J302" s="132" t="n">
        <v>5.362500000000001</v>
      </c>
      <c r="K302" s="132" t="n">
        <v>0.3693000000000008</v>
      </c>
      <c r="L302" s="132" t="n">
        <v>5.06</v>
      </c>
      <c r="M302" s="132" t="n">
        <v>0.1899999999999995</v>
      </c>
      <c r="N302" s="132" t="n">
        <v>1.999750899200037</v>
      </c>
      <c r="O302" s="127" t="n">
        <v>106.4009</v>
      </c>
      <c r="P302" s="132" t="n">
        <v>7.451023299083974</v>
      </c>
      <c r="Q302" s="127" t="n">
        <v>610.9752479799999</v>
      </c>
      <c r="R302" s="132" t="n">
        <v>-0.09539395737465296</v>
      </c>
      <c r="S302" s="133" t="n">
        <v>5.7422</v>
      </c>
      <c r="T302" s="132" t="n">
        <v>-7.546417256458607</v>
      </c>
      <c r="U302" s="132" t="n">
        <v>15.09</v>
      </c>
      <c r="V302" s="132" t="n">
        <v>-0.3000000000000007</v>
      </c>
      <c r="W302" s="127" t="n">
        <v>77.23</v>
      </c>
      <c r="X302" s="132" t="n">
        <v>3.491560783049784</v>
      </c>
    </row>
    <row r="303">
      <c r="C303" s="112" t="n">
        <v>45748</v>
      </c>
      <c r="D303" s="127" t="n">
        <v>17260.541</v>
      </c>
      <c r="E303" s="132" t="n">
        <v>-0.302437106838438</v>
      </c>
      <c r="F303" s="127" t="n">
        <v>274.9573980688309</v>
      </c>
      <c r="G303" s="127" t="n">
        <v>-5.29888838776631</v>
      </c>
      <c r="H303" s="132" t="n">
        <v>1.9</v>
      </c>
      <c r="I303" s="132" t="n">
        <v>-0.1335916666666668</v>
      </c>
      <c r="J303" s="132" t="n">
        <v>5.200666666666667</v>
      </c>
      <c r="K303" s="132" t="n">
        <v>-0.206833333333333</v>
      </c>
      <c r="L303" s="132" t="n">
        <v>5.48</v>
      </c>
      <c r="M303" s="132" t="n">
        <v>0.6500000000000004</v>
      </c>
      <c r="N303" s="132" t="n">
        <v>2.040339737600028</v>
      </c>
      <c r="O303" s="127" t="n">
        <v>100.9267</v>
      </c>
      <c r="P303" s="132" t="n">
        <v>-1.343989051916311</v>
      </c>
      <c r="Q303" s="127" t="n">
        <v>571.32586336</v>
      </c>
      <c r="R303" s="132" t="n">
        <v>-4.290881840979191</v>
      </c>
      <c r="S303" s="133" t="n">
        <v>5.6608</v>
      </c>
      <c r="T303" s="132" t="n">
        <v>-2.946892789062883</v>
      </c>
      <c r="U303" s="132" t="n">
        <v>14.48</v>
      </c>
      <c r="V303" s="132" t="n">
        <v>-0.4699999999999989</v>
      </c>
      <c r="W303" s="127" t="n">
        <v>63.37</v>
      </c>
      <c r="X303" s="132" t="n">
        <v>-19.62424105094437</v>
      </c>
    </row>
    <row r="304">
      <c r="C304" s="112" t="n">
        <v>45778</v>
      </c>
      <c r="D304" s="127" t="n">
        <v>17158.2324</v>
      </c>
      <c r="E304" s="132" t="n">
        <v>-2.410370326495841</v>
      </c>
      <c r="F304" s="127" t="n">
        <v>269.3376216610067</v>
      </c>
      <c r="G304" s="127" t="n">
        <v>-7.73545601350286</v>
      </c>
      <c r="H304" s="132" t="n">
        <v>1.993316666666667</v>
      </c>
      <c r="I304" s="132" t="n">
        <v>0.03915000000000024</v>
      </c>
      <c r="J304" s="132" t="n">
        <v>5.05825</v>
      </c>
      <c r="K304" s="132" t="n">
        <v>-0.3834166666666672</v>
      </c>
      <c r="L304" s="132" t="n">
        <v>5.53</v>
      </c>
      <c r="M304" s="132" t="n">
        <v>0.9700000000000006</v>
      </c>
      <c r="N304" s="132" t="n">
        <v>2.315408544800013</v>
      </c>
      <c r="O304" s="127" t="n">
        <v>99.98699999999999</v>
      </c>
      <c r="P304" s="132" t="n">
        <v>-2.726548846784718</v>
      </c>
      <c r="Q304" s="127" t="n">
        <v>570.7957869000001</v>
      </c>
      <c r="R304" s="132" t="n">
        <v>-5.151067347088222</v>
      </c>
      <c r="S304" s="133" t="n">
        <v>5.7087</v>
      </c>
      <c r="T304" s="132" t="n">
        <v>-2.424518500303521</v>
      </c>
      <c r="U304" s="132" t="n">
        <v>14.64</v>
      </c>
      <c r="V304" s="132" t="n">
        <v>-0.3899999999999988</v>
      </c>
      <c r="W304" s="127" t="n">
        <v>64.31999999999999</v>
      </c>
      <c r="X304" s="132" t="n">
        <v>-15.04123577166514</v>
      </c>
    </row>
    <row r="305">
      <c r="C305" s="112" t="n">
        <v>45809</v>
      </c>
      <c r="D305" s="127" t="n">
        <v>17058.4766</v>
      </c>
      <c r="E305" s="132" t="n">
        <v>-4.28121087526911</v>
      </c>
      <c r="F305" s="127" t="n">
        <v>267.4319329242001</v>
      </c>
      <c r="G305" s="127" t="n">
        <v>-8.469403360791494</v>
      </c>
      <c r="H305" s="132" t="n">
        <v>2.0447</v>
      </c>
      <c r="I305" s="132" t="n">
        <v>0.1684000000000001</v>
      </c>
      <c r="J305" s="132" t="n">
        <v>4.84725</v>
      </c>
      <c r="K305" s="132" t="n">
        <v>-0.5152500000000009</v>
      </c>
      <c r="L305" s="132" t="n">
        <v>5.32</v>
      </c>
      <c r="M305" s="132" t="n">
        <v>0.2600000000000007</v>
      </c>
      <c r="N305" s="132" t="n">
        <v>1.254988260799994</v>
      </c>
      <c r="O305" s="127" t="n">
        <v>102.0209</v>
      </c>
      <c r="P305" s="132" t="n">
        <v>-4.203634126287057</v>
      </c>
      <c r="Q305" s="127" t="n">
        <v>556.73825339</v>
      </c>
      <c r="R305" s="132" t="n">
        <v>-9.296124030123233</v>
      </c>
      <c r="S305" s="133" t="n">
        <v>5.4571</v>
      </c>
      <c r="T305" s="132" t="n">
        <v>-5.092489903836188</v>
      </c>
      <c r="U305" s="132" t="n">
        <v>14.69</v>
      </c>
      <c r="V305" s="132" t="n">
        <v>-0.4000000000000004</v>
      </c>
      <c r="W305" s="127" t="n">
        <v>68.15000000000001</v>
      </c>
      <c r="X305" s="132" t="n">
        <v>-12.50768244386309</v>
      </c>
    </row>
    <row r="306">
      <c r="C306" s="112" t="n">
        <v>45839</v>
      </c>
      <c r="D306" s="127" t="n">
        <v>16701.7148</v>
      </c>
      <c r="E306" s="132" t="n">
        <v>-3.291163252644505</v>
      </c>
      <c r="F306" s="127" t="n">
        <v>260.6559186641097</v>
      </c>
      <c r="G306" s="127" t="n">
        <v>-5.341495127176228</v>
      </c>
      <c r="H306" s="132" t="n">
        <v>2.034583333333333</v>
      </c>
      <c r="I306" s="132" t="n">
        <v>0.1345833333333331</v>
      </c>
      <c r="J306" s="132" t="n">
        <v>4.704149999999999</v>
      </c>
      <c r="K306" s="132" t="n">
        <v>-0.4965166666666674</v>
      </c>
      <c r="L306" s="132" t="n">
        <v>5.35</v>
      </c>
      <c r="M306" s="132" t="n">
        <v>-0.1300000000000008</v>
      </c>
      <c r="N306" s="132" t="n">
        <v>0.9327766831999762</v>
      </c>
      <c r="O306" s="127" t="n">
        <v>101.1846</v>
      </c>
      <c r="P306" s="132" t="n">
        <v>0.2552060572323244</v>
      </c>
      <c r="Q306" s="127" t="n">
        <v>566.84624766</v>
      </c>
      <c r="R306" s="132" t="n">
        <v>-0.7871636964829091</v>
      </c>
      <c r="S306" s="133" t="n">
        <v>5.6021</v>
      </c>
      <c r="T306" s="132" t="n">
        <v>-1.042369753715239</v>
      </c>
      <c r="U306" s="132" t="n">
        <v>14.76</v>
      </c>
      <c r="V306" s="132" t="n">
        <v>0.2799999999999994</v>
      </c>
      <c r="W306" s="127" t="n">
        <v>73.43000000000001</v>
      </c>
      <c r="X306" s="132" t="n">
        <v>14.73420081280936</v>
      </c>
    </row>
    <row r="307">
      <c r="C307" s="112" t="n">
        <v>45870</v>
      </c>
      <c r="D307" s="127" t="n">
        <v>16630.8359</v>
      </c>
      <c r="E307" s="132" t="n">
        <v>-3.121952523752963</v>
      </c>
      <c r="F307" s="127" t="n">
        <v>253.5405673419204</v>
      </c>
      <c r="G307" s="127" t="n">
        <v>-6.044185254474005</v>
      </c>
      <c r="H307" s="132" t="n">
        <v>1.975466666666667</v>
      </c>
      <c r="I307" s="132" t="n">
        <v>-0.01784999999999992</v>
      </c>
      <c r="J307" s="132" t="n">
        <v>4.488366666666667</v>
      </c>
      <c r="K307" s="132" t="n">
        <v>-0.5698833333333333</v>
      </c>
      <c r="L307" s="132" t="n">
        <v>5.23</v>
      </c>
      <c r="M307" s="132" t="n">
        <v>-0.2999999999999998</v>
      </c>
      <c r="N307" s="132" t="n">
        <v>0.7619256223999837</v>
      </c>
      <c r="O307" s="127" t="n">
        <v>102.7876</v>
      </c>
      <c r="P307" s="132" t="n">
        <v>2.762454564012544</v>
      </c>
      <c r="Q307" s="127" t="n">
        <v>557.76663264</v>
      </c>
      <c r="R307" s="132" t="n">
        <v>-2.309085070407577</v>
      </c>
      <c r="S307" s="133" t="n">
        <v>5.4264</v>
      </c>
      <c r="T307" s="132" t="n">
        <v>-5.071539634420114</v>
      </c>
      <c r="U307" s="132" t="n">
        <v>14.39</v>
      </c>
      <c r="V307" s="132" t="n">
        <v>-0.25</v>
      </c>
      <c r="W307" s="127" t="n">
        <v>67.83</v>
      </c>
      <c r="X307" s="132" t="n">
        <v>5.313395008727742</v>
      </c>
    </row>
    <row r="308">
      <c r="C308" s="112" t="n">
        <v>45901</v>
      </c>
      <c r="D308" s="127" t="n">
        <v>16738.8789</v>
      </c>
      <c r="E308" s="132" t="n">
        <v>-1.891314998363497</v>
      </c>
      <c r="F308" s="127" t="n">
        <v>254.8054146877694</v>
      </c>
      <c r="G308" s="127" t="n">
        <v>-4.836490338927564</v>
      </c>
      <c r="H308" s="132" t="n">
        <v>1.89035</v>
      </c>
      <c r="I308" s="132" t="n">
        <v>-0.15435</v>
      </c>
      <c r="J308" s="132" t="n">
        <v>4.419025</v>
      </c>
      <c r="K308" s="132" t="n">
        <v>-0.4282249999999994</v>
      </c>
      <c r="L308" s="132" t="n">
        <v>5.13</v>
      </c>
      <c r="M308" s="132" t="n">
        <v>-0.1900000000000004</v>
      </c>
      <c r="N308" s="132" t="n">
        <v>0.3900733135999923</v>
      </c>
      <c r="O308" s="127" t="n">
        <v>104.6288</v>
      </c>
      <c r="P308" s="132" t="n">
        <v>2.52411540857204</v>
      </c>
      <c r="Q308" s="127" t="n">
        <v>556.47873568</v>
      </c>
      <c r="R308" s="132" t="n">
        <v>-0.04662482108148017</v>
      </c>
      <c r="S308" s="133" t="n">
        <v>5.3186</v>
      </c>
      <c r="T308" s="132" t="n">
        <v>-2.570740229653521</v>
      </c>
      <c r="U308" s="132" t="n">
        <v>14.34</v>
      </c>
      <c r="V308" s="132" t="n">
        <v>-0.3499999999999996</v>
      </c>
      <c r="W308" s="127" t="n">
        <v>68.52</v>
      </c>
      <c r="X308" s="132" t="n">
        <v>0.5414515313377413</v>
      </c>
    </row>
    <row r="309">
      <c r="C309" s="112" t="n">
        <v>45931</v>
      </c>
      <c r="D309" s="127" t="n">
        <v>17167.0801</v>
      </c>
      <c r="E309" s="132" t="n">
        <v>2.748220542078445</v>
      </c>
      <c r="F309" s="127" t="n">
        <v>260.624705027606</v>
      </c>
      <c r="G309" s="127" t="n">
        <v>-0.01197575168628687</v>
      </c>
      <c r="H309" s="132" t="n">
        <v>1.842866666666667</v>
      </c>
      <c r="I309" s="132" t="n">
        <v>-0.1917166666666663</v>
      </c>
      <c r="J309" s="132" t="n">
        <v>4.25755</v>
      </c>
      <c r="K309" s="132" t="n">
        <v>-0.4465999999999992</v>
      </c>
      <c r="L309" s="132" t="n">
        <v>5.17</v>
      </c>
      <c r="M309" s="132" t="n">
        <v>-0.1799999999999997</v>
      </c>
      <c r="N309" s="132" t="n">
        <v>0.6304326271999727</v>
      </c>
      <c r="O309" s="127" t="n">
        <v>107.3022</v>
      </c>
      <c r="P309" s="132" t="n">
        <v>5.87025813276494</v>
      </c>
      <c r="Q309" s="127" t="n">
        <v>577.74723546</v>
      </c>
      <c r="R309" s="132" t="n">
        <v>1.904836532535013</v>
      </c>
      <c r="S309" s="133" t="n">
        <v>5.3843</v>
      </c>
      <c r="T309" s="132" t="n">
        <v>-3.96542160022991</v>
      </c>
      <c r="U309" s="132" t="n">
        <v>14.09</v>
      </c>
      <c r="V309" s="132" t="n">
        <v>-0.6699999999999999</v>
      </c>
      <c r="W309" s="127" t="n">
        <v>65.44</v>
      </c>
      <c r="X309" s="132" t="n">
        <v>-11.51988791690276</v>
      </c>
    </row>
    <row r="310">
      <c r="C310" s="112" t="n">
        <v>45962</v>
      </c>
      <c r="D310" s="127" t="n">
        <v>17051.7129</v>
      </c>
      <c r="E310" s="132" t="n">
        <v>2.499210550283559</v>
      </c>
      <c r="F310" s="127" t="n">
        <v>255.9942009917735</v>
      </c>
      <c r="G310" s="127" t="n">
        <v>0.9630952656928778</v>
      </c>
      <c r="H310" s="132" t="n">
        <v>1.810775</v>
      </c>
      <c r="I310" s="132" t="n">
        <v>-0.1646916666666671</v>
      </c>
      <c r="J310" s="132" t="n">
        <v>4.194291666666666</v>
      </c>
      <c r="K310" s="132" t="n">
        <v>-0.2940750000000012</v>
      </c>
      <c r="L310" s="132" t="n">
        <v>4.68</v>
      </c>
      <c r="M310" s="132" t="n">
        <v>-0.5500000000000007</v>
      </c>
      <c r="N310" s="132" t="n">
        <v>0.4598045247999893</v>
      </c>
      <c r="O310" s="127" t="n">
        <v>110.4126</v>
      </c>
      <c r="P310" s="132" t="n">
        <v>7.15595345879107</v>
      </c>
      <c r="Q310" s="127" t="n">
        <v>588.91872588</v>
      </c>
      <c r="R310" s="132" t="n">
        <v>5.434753368194773</v>
      </c>
      <c r="S310" s="133" t="n">
        <v>5.3338</v>
      </c>
      <c r="T310" s="132" t="n">
        <v>-1.721200090596287</v>
      </c>
      <c r="U310" s="132" t="n">
        <v>13.75</v>
      </c>
      <c r="V310" s="132" t="n">
        <v>-0.6400000000000006</v>
      </c>
      <c r="W310" s="127" t="n">
        <v>64.06999999999999</v>
      </c>
      <c r="X310" s="132" t="n">
        <v>-5.702833930705801</v>
      </c>
    </row>
    <row r="311">
      <c r="C311" s="112" t="n">
        <v>45992</v>
      </c>
      <c r="D311" s="127" t="n">
        <v>17633.9668</v>
      </c>
      <c r="E311" s="132" t="n">
        <v>5.209288244402695</v>
      </c>
      <c r="F311" s="127" t="n">
        <v>255.4209675765737</v>
      </c>
      <c r="G311" s="127" t="n">
        <v>0.2412863030380742</v>
      </c>
      <c r="H311" s="132" t="n">
        <v>1.7997</v>
      </c>
      <c r="I311" s="132" t="n">
        <v>-0.09065000000000012</v>
      </c>
      <c r="J311" s="132" t="n">
        <v>4.0426</v>
      </c>
      <c r="K311" s="132" t="n">
        <v>-0.3764250000000002</v>
      </c>
      <c r="L311" s="132" t="n">
        <v>4.46</v>
      </c>
      <c r="M311" s="132" t="n">
        <v>-0.6699999999999999</v>
      </c>
      <c r="N311" s="132" t="n">
        <v>0.7514587775999892</v>
      </c>
      <c r="O311" s="127" t="n">
        <v>109.69</v>
      </c>
      <c r="P311" s="132" t="n">
        <v>4.723935708200672</v>
      </c>
      <c r="Q311" s="127" t="n">
        <v>603.5582559999999</v>
      </c>
      <c r="R311" s="132" t="n">
        <v>8.121360695116977</v>
      </c>
      <c r="S311" s="133" t="n">
        <v>5.5024</v>
      </c>
      <c r="T311" s="132" t="n">
        <v>3.397424986916311</v>
      </c>
      <c r="U311" s="132" t="n">
        <v>13.83</v>
      </c>
      <c r="V311" s="132" t="n">
        <v>-0.5099999999999998</v>
      </c>
      <c r="W311" s="127" t="n">
        <v>61.35</v>
      </c>
      <c r="X311" s="132" t="n">
        <v>-11.05305022989987</v>
      </c>
    </row>
    <row r="312">
      <c r="C312" s="112" t="n">
        <v>46023</v>
      </c>
      <c r="D312" s="127" t="n">
        <v>17616.6367</v>
      </c>
      <c r="E312" s="132" t="n">
        <v>2.585012039928534</v>
      </c>
      <c r="F312" s="127" t="n">
        <v>255.8753854607438</v>
      </c>
      <c r="G312" s="127" t="n">
        <v>-1.839091034194656</v>
      </c>
      <c r="H312" s="132" t="n">
        <v>1.800916666666667</v>
      </c>
      <c r="I312" s="132" t="n">
        <v>-0.04194999999999993</v>
      </c>
      <c r="J312" s="132" t="n">
        <v>3.974441666666667</v>
      </c>
      <c r="K312" s="132" t="n">
        <v>-0.2831083333333333</v>
      </c>
      <c r="L312" s="132" t="n">
        <v>4.26</v>
      </c>
      <c r="M312" s="132" t="n">
        <v>-0.9100000000000001</v>
      </c>
      <c r="N312" s="132" t="n">
        <v>0.6010535345999823</v>
      </c>
      <c r="O312" s="127" t="n">
        <v>120.7009</v>
      </c>
      <c r="P312" s="132" t="n">
        <v>11.76664318910681</v>
      </c>
      <c r="Q312" s="127" t="n">
        <v>631.2777770900001</v>
      </c>
      <c r="R312" s="132" t="n">
        <v>8.86095188001196</v>
      </c>
      <c r="S312" s="133" t="n">
        <v>5.2301</v>
      </c>
      <c r="T312" s="132" t="n">
        <v>-2.905691309094867</v>
      </c>
      <c r="U312" s="132" t="n">
        <v>13.39</v>
      </c>
      <c r="V312" s="132" t="n">
        <v>-0.6999999999999993</v>
      </c>
      <c r="W312" s="127" t="n">
        <v>72.25</v>
      </c>
      <c r="X312" s="132" t="n">
        <v>9.899863469804995</v>
      </c>
    </row>
    <row r="313">
      <c r="C313" s="112" t="n">
        <v>46054</v>
      </c>
      <c r="D313" s="127" t="n">
        <v>18054.3184</v>
      </c>
      <c r="E313" s="132" t="n">
        <v>5.713424067486668</v>
      </c>
      <c r="F313" s="127" t="n">
        <v>264.8294305464152</v>
      </c>
      <c r="G313" s="127" t="n">
        <v>3.393116858675437</v>
      </c>
      <c r="H313" s="132" t="n">
        <v>1.815416666666667</v>
      </c>
      <c r="I313" s="132" t="n">
        <v>0.004641666666666877</v>
      </c>
      <c r="J313" s="132" t="n">
        <v>3.88755</v>
      </c>
      <c r="K313" s="132" t="n">
        <v>-0.3067416666666656</v>
      </c>
      <c r="L313" s="132" t="n">
        <v>4.44</v>
      </c>
      <c r="M313" s="132" t="n">
        <v>-0.2399999999999993</v>
      </c>
      <c r="N313" s="132" t="n">
        <v>0.842278960200038</v>
      </c>
      <c r="O313" s="127" t="n">
        <v>121.6831</v>
      </c>
      <c r="P313" s="132" t="n">
        <v>9.719586652120983</v>
      </c>
      <c r="Q313" s="127" t="n">
        <v>626.6071234499999</v>
      </c>
      <c r="R313" s="132" t="n">
        <v>6.20315593611592</v>
      </c>
      <c r="S313" s="133" t="n">
        <v>5.1495</v>
      </c>
      <c r="T313" s="132" t="n">
        <v>-3.516430716005055</v>
      </c>
      <c r="U313" s="132" t="n">
        <v>13.13</v>
      </c>
      <c r="V313" s="132" t="n">
        <v>-0.6199999999999992</v>
      </c>
      <c r="W313" s="127" t="n">
        <v>71.31999999999999</v>
      </c>
      <c r="X313" s="132" t="n">
        <v>10.72005573440095</v>
      </c>
    </row>
    <row r="314">
      <c r="C314" s="112" t="n">
        <v>46082</v>
      </c>
      <c r="D314" s="127" t="n">
        <v>20043</v>
      </c>
      <c r="E314" s="132" t="n">
        <v>12.80529916749381</v>
      </c>
      <c r="F314" s="127" t="n">
        <v>300.3866388252857</v>
      </c>
      <c r="G314" s="127" t="n">
        <v>16.2157403716162</v>
      </c>
      <c r="H314" s="132" t="n">
        <v>1.838475</v>
      </c>
      <c r="I314" s="132" t="n">
        <v>0.03877499999999978</v>
      </c>
      <c r="J314" s="132" t="n">
        <v>4.2031</v>
      </c>
      <c r="K314" s="132" t="n">
        <v>0.1604999999999999</v>
      </c>
      <c r="L314" s="132" t="n">
        <v>3.81</v>
      </c>
      <c r="M314" s="132" t="n">
        <v>-0.6499999999999999</v>
      </c>
      <c r="N314" s="132" t="n">
        <v>1.365716623000002</v>
      </c>
      <c r="O314" s="127" t="n">
        <v>135.246</v>
      </c>
      <c r="P314" s="132" t="n">
        <v>20.94371370046356</v>
      </c>
      <c r="Q314" s="127" t="n">
        <v>705.9029724000001</v>
      </c>
      <c r="R314" s="132" t="n">
        <v>15.66352290681839</v>
      </c>
      <c r="S314" s="133" t="n">
        <v>5.2194</v>
      </c>
      <c r="T314" s="132" t="n">
        <v>-5.280190793645163</v>
      </c>
      <c r="U314" s="132" t="n">
        <v>13.99</v>
      </c>
      <c r="V314" s="132" t="n">
        <v>0.1600000000000001</v>
      </c>
      <c r="W314" s="127" t="n">
        <v>126.69</v>
      </c>
      <c r="X314" s="132" t="n">
        <v>72.51479864570413</v>
      </c>
    </row>
    <row r="315">
      <c r="C315" s="112" t="n">
        <v>46113</v>
      </c>
      <c r="D315" s="127" t="n">
        <v>20708.8867</v>
      </c>
      <c r="E315" s="132" t="n">
        <v>16.17191947172392</v>
      </c>
      <c r="F315" s="127" t="n">
        <v>313.068835434899</v>
      </c>
      <c r="G315" s="127" t="n">
        <v>20.17325374562938</v>
      </c>
      <c r="H315" s="132" t="n">
        <v>1.816433333333333</v>
      </c>
      <c r="I315" s="132" t="n">
        <v>0.01551666666666662</v>
      </c>
      <c r="J315" s="132" t="n">
        <v>4.595133333333333</v>
      </c>
      <c r="K315" s="132" t="n">
        <v>0.6206916666666662</v>
      </c>
      <c r="L315" s="132" t="n">
        <v>4.14</v>
      </c>
      <c r="M315" s="132" t="n">
        <v>-0.1200000000000001</v>
      </c>
      <c r="N315" s="132" t="n">
        <v>1.921394327999981</v>
      </c>
      <c r="O315" s="127" t="n">
        <v>140.5091</v>
      </c>
      <c r="P315" s="132" t="n">
        <v>15.19566707802593</v>
      </c>
      <c r="Q315" s="127" t="n">
        <v>700.9436962599999</v>
      </c>
      <c r="R315" s="132" t="n">
        <v>10.46815817038785</v>
      </c>
      <c r="S315" s="133" t="n">
        <v>4.9886</v>
      </c>
      <c r="T315" s="132" t="n">
        <v>-4.727508907638074</v>
      </c>
      <c r="U315" s="132" t="n">
        <v>14.04</v>
      </c>
      <c r="V315" s="132" t="n">
        <v>0.6499999999999986</v>
      </c>
      <c r="W315" s="127" t="n">
        <v>124.24</v>
      </c>
      <c r="X315" s="132" t="n">
        <v>54.20828518478901</v>
      </c>
    </row>
    <row r="316">
      <c r="C316" s="112" t="n">
        <v>46143</v>
      </c>
      <c r="D316" s="127" t="n">
        <v>20770.1445</v>
      </c>
      <c r="E316" s="132" t="n">
        <v>14.01316923121581</v>
      </c>
      <c r="F316" s="127" t="n">
        <v>315.5203223106982</v>
      </c>
      <c r="G316" s="127" t="n">
        <v>17.51371325021294</v>
      </c>
      <c r="H316" s="132" t="n">
        <v>1.817308333333333</v>
      </c>
      <c r="I316" s="132" t="n">
        <v>0.001891666666666625</v>
      </c>
      <c r="J316" s="132" t="n">
        <v>4.645208333333334</v>
      </c>
      <c r="K316" s="132" t="n">
        <v>0.7576583333333335</v>
      </c>
      <c r="L316" s="132" t="n">
        <v>4.39</v>
      </c>
      <c r="M316" s="132" t="n">
        <v>-0.05000000000000071</v>
      </c>
      <c r="N316" s="132" t="n">
        <v>2.266787271999982</v>
      </c>
      <c r="O316" s="127" t="n">
        <v>135.1092</v>
      </c>
      <c r="P316" s="132" t="n">
        <v>10.46632160664082</v>
      </c>
      <c r="Q316" s="127" t="n">
        <v>683.2337134799999</v>
      </c>
      <c r="R316" s="132" t="n">
        <v>8.651724081511237</v>
      </c>
      <c r="S316" s="133" t="n">
        <v>5.0569</v>
      </c>
      <c r="T316" s="132" t="n">
        <v>-1.814597525129588</v>
      </c>
      <c r="U316" s="132" t="n">
        <v>14.03</v>
      </c>
      <c r="V316" s="132" t="n">
        <v>0.8999999999999986</v>
      </c>
      <c r="W316" s="127" t="n">
        <v>92.88</v>
      </c>
      <c r="X316" s="132" t="n">
        <v>26.41315443946964</v>
      </c>
    </row>
    <row r="317">
      <c r="C317" s="112" t="n">
        <v>46174</v>
      </c>
      <c r="D317" s="127" t="n">
        <v>20981.9043</v>
      </c>
      <c r="E317" s="132" t="n">
        <v>4.578040063511158</v>
      </c>
      <c r="F317" s="127" t="n">
        <v>314.36930843069</v>
      </c>
      <c r="G317" s="127" t="n">
        <v>4.549799533901175</v>
      </c>
      <c r="H317" s="132" t="n">
        <v>1.8379</v>
      </c>
      <c r="I317" s="132" t="n">
        <v>-0.0005749999999999922</v>
      </c>
      <c r="J317" s="132" t="n">
        <v>4.751250000000001</v>
      </c>
      <c r="K317" s="132" t="n">
        <v>0.5481500000000006</v>
      </c>
      <c r="L317" s="132" t="n">
        <v>4.72</v>
      </c>
      <c r="M317" s="132" t="n">
        <v>0.9099999999999997</v>
      </c>
      <c r="N317" s="132" t="n">
        <v>2.144920196799993</v>
      </c>
      <c r="O317" s="127" t="n">
        <v>123.1774</v>
      </c>
      <c r="P317" s="132" t="n">
        <v>-9.346974971436097</v>
      </c>
      <c r="Q317" s="127" t="n">
        <v>637.64012884</v>
      </c>
      <c r="R317" s="132" t="n">
        <v>-10.17037323642786</v>
      </c>
      <c r="S317" s="133" t="n">
        <v>5.1766</v>
      </c>
      <c r="T317" s="132" t="n">
        <v>-0.82339826499175</v>
      </c>
      <c r="U317" s="132" t="n">
        <v>14.02436877582083</v>
      </c>
      <c r="V317" s="132" t="n">
        <v>0.03436877582083042</v>
      </c>
      <c r="W317" s="127" t="n">
        <v>70.45999999999999</v>
      </c>
      <c r="X317" s="132" t="n">
        <v>-58.66979847008704</v>
      </c>
    </row>
    <row r="318">
      <c r="C318" s="112" t="n">
        <v>46204</v>
      </c>
      <c r="D318" s="127" t="n">
        <v>20993.6973</v>
      </c>
      <c r="E318" s="132" t="n">
        <v>1.365934678115294</v>
      </c>
      <c r="F318" s="127" t="n">
        <v>315.175706211308</v>
      </c>
      <c r="G318" s="127" t="n">
        <v>0.6707192932441214</v>
      </c>
      <c r="H318" s="132" t="n">
        <v>1.745308333333333</v>
      </c>
      <c r="I318" s="132" t="n">
        <v>-0.07112499999999988</v>
      </c>
      <c r="J318" s="132" t="n">
        <v>4.556025</v>
      </c>
      <c r="K318" s="132" t="n">
        <v>-0.03910833333333308</v>
      </c>
      <c r="L318" s="132" t="n">
        <v>4.64</v>
      </c>
      <c r="M318" s="132" t="n">
        <v>0.5</v>
      </c>
      <c r="N318" s="132" t="n">
        <v>1.415892217600012</v>
      </c>
      <c r="O318" s="127" t="n">
        <v>132.0536</v>
      </c>
      <c r="P318" s="132" t="n">
        <v>-6.206435458753927</v>
      </c>
      <c r="Q318" s="127" t="n">
        <v>670.47574328</v>
      </c>
      <c r="R318" s="132" t="n">
        <v>-4.44400396307886</v>
      </c>
      <c r="S318" s="133" t="n">
        <v>5.0773</v>
      </c>
      <c r="T318" s="132" t="n">
        <v>1.762431495675065</v>
      </c>
      <c r="U318" s="132" t="n">
        <v>13.84104022613612</v>
      </c>
      <c r="V318" s="132" t="n">
        <v>-0.1989597738638835</v>
      </c>
      <c r="W318" s="127" t="n">
        <v>96.95</v>
      </c>
      <c r="X318" s="132" t="n">
        <v>-24.80197971517708</v>
      </c>
    </row>
    <row r="319">
      <c r="C319" s="115" t="n">
        <v>46235</v>
      </c>
      <c r="D319" s="129" t="n">
        <v>21062.002</v>
      </c>
      <c r="E319" s="134" t="n">
        <v>1.395396890258965</v>
      </c>
      <c r="F319" s="129" t="n"/>
      <c r="G319" s="129" t="n"/>
      <c r="H319" s="134" t="n">
        <v>1.65</v>
      </c>
      <c r="I319" s="134" t="n">
        <v>-0.1673083333333334</v>
      </c>
      <c r="J319" s="134" t="n">
        <v>4.508733333333334</v>
      </c>
      <c r="K319" s="134" t="n">
        <v>-0.1364749999999999</v>
      </c>
      <c r="L319" s="134" t="n"/>
      <c r="M319" s="134" t="n"/>
      <c r="N319" s="134" t="n"/>
      <c r="O319" s="129" t="n">
        <v>138.9678</v>
      </c>
      <c r="P319" s="134" t="n">
        <v>2.815891126533077</v>
      </c>
      <c r="Q319" s="129" t="n">
        <v>715.8509313600001</v>
      </c>
      <c r="R319" s="134" t="n">
        <v>4.663496117474421</v>
      </c>
      <c r="S319" s="135" t="n">
        <v>5.1512</v>
      </c>
      <c r="T319" s="134" t="n">
        <v>1.847604990941325</v>
      </c>
      <c r="U319" s="134" t="n">
        <v>13.80444661883018</v>
      </c>
      <c r="V319" s="134" t="n">
        <v>-0.2255533811698189</v>
      </c>
      <c r="W319" s="129" t="n">
        <v>89.75</v>
      </c>
      <c r="X319" s="134" t="n">
        <v>-3.428031002124776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2:N26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>
      <c r="C2" s="2" t="inlineStr">
        <is>
          <t>Regressões contemporâneas do IBOV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>
      <c r="C3" s="4" t="inlineStr">
        <is>
          <t>OLS com erros HAC/Newey-West. Target direto: BEst EPS do IBOV.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</row>
    <row r="6" ht="36" customHeight="1">
      <c r="C6" s="11" t="inlineStr">
        <is>
          <t>target</t>
        </is>
      </c>
      <c r="D6" s="11" t="inlineStr">
        <is>
          <t>sample</t>
        </is>
      </c>
      <c r="E6" s="11" t="inlineStr">
        <is>
          <t>specification</t>
        </is>
      </c>
      <c r="F6" s="11" t="inlineStr">
        <is>
          <t>n</t>
        </is>
      </c>
      <c r="G6" s="11" t="inlineStr">
        <is>
          <t>r2</t>
        </is>
      </c>
      <c r="H6" s="11" t="inlineStr">
        <is>
          <t>adj_r2</t>
        </is>
      </c>
      <c r="I6" s="11" t="inlineStr">
        <is>
          <t>variable</t>
        </is>
      </c>
      <c r="J6" s="11" t="inlineStr">
        <is>
          <t>beta</t>
        </is>
      </c>
      <c r="K6" s="11" t="inlineStr">
        <is>
          <t>beta_std</t>
        </is>
      </c>
      <c r="L6" s="11" t="inlineStr">
        <is>
          <t>se_hac</t>
        </is>
      </c>
      <c r="M6" s="11" t="inlineStr">
        <is>
          <t>t_hac</t>
        </is>
      </c>
      <c r="N6" s="11" t="inlineStr">
        <is>
          <t>p_hac</t>
        </is>
      </c>
    </row>
    <row r="7">
      <c r="C7" s="124" t="inlineStr">
        <is>
          <t>IBOV BEst EPS</t>
        </is>
      </c>
      <c r="D7" s="124" t="inlineStr">
        <is>
          <t>full</t>
        </is>
      </c>
      <c r="E7" s="124" t="inlineStr">
        <is>
          <t>full contemporaneous</t>
        </is>
      </c>
      <c r="F7" s="136" t="n">
        <v>208</v>
      </c>
      <c r="G7" s="137" t="n">
        <v>0.2343763674450152</v>
      </c>
      <c r="H7" s="137" t="n">
        <v>0.215425287431278</v>
      </c>
      <c r="I7" s="125" t="inlineStr">
        <is>
          <t>d_focus_pib3</t>
        </is>
      </c>
      <c r="J7" s="130" t="n">
        <v>6.429138825862399</v>
      </c>
      <c r="K7" s="137" t="n">
        <v>0.4221338978668027</v>
      </c>
      <c r="L7" s="125" t="n">
        <v>0.8295832697040564</v>
      </c>
      <c r="M7" s="125" t="n">
        <v>7.749841469387293</v>
      </c>
      <c r="N7" s="137" t="n">
        <v>9.325873406851315e-15</v>
      </c>
    </row>
    <row r="8">
      <c r="C8" s="126" t="inlineStr">
        <is>
          <t>IBOV BEst EPS</t>
        </is>
      </c>
      <c r="D8" s="126" t="inlineStr">
        <is>
          <t>full</t>
        </is>
      </c>
      <c r="E8" s="126" t="inlineStr">
        <is>
          <t>full contemporaneous</t>
        </is>
      </c>
      <c r="F8" s="138" t="n">
        <v>208</v>
      </c>
      <c r="G8" s="139" t="n">
        <v>0.2343763674450152</v>
      </c>
      <c r="H8" s="139" t="n">
        <v>0.215425287431278</v>
      </c>
      <c r="I8" s="127" t="inlineStr">
        <is>
          <t>d_bcom_usd3</t>
        </is>
      </c>
      <c r="J8" s="132" t="n">
        <v>0.2745411876599368</v>
      </c>
      <c r="K8" s="139" t="n">
        <v>0.1599829808884305</v>
      </c>
      <c r="L8" s="127" t="n">
        <v>0.1572509770851782</v>
      </c>
      <c r="M8" s="127" t="n">
        <v>1.745879057471458</v>
      </c>
      <c r="N8" s="139" t="n">
        <v>0.08083196968147499</v>
      </c>
    </row>
    <row r="9">
      <c r="C9" s="126" t="inlineStr">
        <is>
          <t>IBOV BEst EPS</t>
        </is>
      </c>
      <c r="D9" s="126" t="inlineStr">
        <is>
          <t>full</t>
        </is>
      </c>
      <c r="E9" s="126" t="inlineStr">
        <is>
          <t>full contemporaneous</t>
        </is>
      </c>
      <c r="F9" s="138" t="n">
        <v>208</v>
      </c>
      <c r="G9" s="139" t="n">
        <v>0.2343763674450152</v>
      </c>
      <c r="H9" s="139" t="n">
        <v>0.215425287431278</v>
      </c>
      <c r="I9" s="127" t="inlineStr">
        <is>
          <t>d_usdbrl3</t>
        </is>
      </c>
      <c r="J9" s="132" t="n">
        <v>0.2255803923275534</v>
      </c>
      <c r="K9" s="139" t="n">
        <v>0.1270461105343187</v>
      </c>
      <c r="L9" s="127" t="n">
        <v>0.1970635967863541</v>
      </c>
      <c r="M9" s="127" t="n">
        <v>1.144708591572678</v>
      </c>
      <c r="N9" s="139" t="n">
        <v>0.2523298912555236</v>
      </c>
    </row>
    <row r="10">
      <c r="C10" s="126" t="inlineStr">
        <is>
          <t>IBOV BEst EPS</t>
        </is>
      </c>
      <c r="D10" s="126" t="inlineStr">
        <is>
          <t>full</t>
        </is>
      </c>
      <c r="E10" s="126" t="inlineStr">
        <is>
          <t>full contemporaneous</t>
        </is>
      </c>
      <c r="F10" s="138" t="n">
        <v>208</v>
      </c>
      <c r="G10" s="139" t="n">
        <v>0.2343763674450152</v>
      </c>
      <c r="H10" s="139" t="n">
        <v>0.215425287431278</v>
      </c>
      <c r="I10" s="127" t="inlineStr">
        <is>
          <t>d_ipca12_3_available</t>
        </is>
      </c>
      <c r="J10" s="132" t="n">
        <v>2.010294688469262</v>
      </c>
      <c r="K10" s="139" t="n">
        <v>0.1635935329818816</v>
      </c>
      <c r="L10" s="127" t="n">
        <v>1.068488047108298</v>
      </c>
      <c r="M10" s="127" t="n">
        <v>1.881438630885786</v>
      </c>
      <c r="N10" s="139" t="n">
        <v>0.0599122760170907</v>
      </c>
    </row>
    <row r="11">
      <c r="C11" s="126" t="inlineStr">
        <is>
          <t>IBOV BEst EPS</t>
        </is>
      </c>
      <c r="D11" s="126" t="inlineStr">
        <is>
          <t>full</t>
        </is>
      </c>
      <c r="E11" s="126" t="inlineStr">
        <is>
          <t>full contemporaneous</t>
        </is>
      </c>
      <c r="F11" s="138" t="n">
        <v>208</v>
      </c>
      <c r="G11" s="139" t="n">
        <v>0.2343763674450152</v>
      </c>
      <c r="H11" s="139" t="n">
        <v>0.215425287431278</v>
      </c>
      <c r="I11" s="127" t="inlineStr">
        <is>
          <t>d_swap360_3</t>
        </is>
      </c>
      <c r="J11" s="132" t="n">
        <v>0.8410336956670192</v>
      </c>
      <c r="K11" s="139" t="n">
        <v>0.0688986850015037</v>
      </c>
      <c r="L11" s="127" t="n">
        <v>1.129951104592017</v>
      </c>
      <c r="M11" s="127" t="n">
        <v>0.7443098132734558</v>
      </c>
      <c r="N11" s="139" t="n">
        <v>0.4566890657749334</v>
      </c>
    </row>
    <row r="12">
      <c r="C12" s="126" t="inlineStr">
        <is>
          <t>IBOV BEst EPS</t>
        </is>
      </c>
      <c r="D12" s="126" t="inlineStr">
        <is>
          <t>ex_2013_14</t>
        </is>
      </c>
      <c r="E12" s="126" t="inlineStr">
        <is>
          <t>full contemporaneous</t>
        </is>
      </c>
      <c r="F12" s="138" t="n">
        <v>184</v>
      </c>
      <c r="G12" s="139" t="n">
        <v>0.493292492307643</v>
      </c>
      <c r="H12" s="139" t="n">
        <v>0.4790591353499926</v>
      </c>
      <c r="I12" s="127" t="inlineStr">
        <is>
          <t>d_focus_pib3</t>
        </is>
      </c>
      <c r="J12" s="132" t="n">
        <v>6.003022470385266</v>
      </c>
      <c r="K12" s="139" t="n">
        <v>0.594136881041381</v>
      </c>
      <c r="L12" s="127" t="n">
        <v>0.837853263692236</v>
      </c>
      <c r="M12" s="127" t="n">
        <v>7.1647658731211</v>
      </c>
      <c r="N12" s="139" t="n">
        <v>7.791545186819349e-13</v>
      </c>
    </row>
    <row r="13">
      <c r="C13" s="126" t="inlineStr">
        <is>
          <t>IBOV BEst EPS</t>
        </is>
      </c>
      <c r="D13" s="126" t="inlineStr">
        <is>
          <t>ex_2013_14</t>
        </is>
      </c>
      <c r="E13" s="126" t="inlineStr">
        <is>
          <t>full contemporaneous</t>
        </is>
      </c>
      <c r="F13" s="138" t="n">
        <v>184</v>
      </c>
      <c r="G13" s="139" t="n">
        <v>0.493292492307643</v>
      </c>
      <c r="H13" s="139" t="n">
        <v>0.4790591353499926</v>
      </c>
      <c r="I13" s="127" t="inlineStr">
        <is>
          <t>d_bcom_usd3</t>
        </is>
      </c>
      <c r="J13" s="132" t="n">
        <v>0.1368296251005026</v>
      </c>
      <c r="K13" s="139" t="n">
        <v>0.1162925306083771</v>
      </c>
      <c r="L13" s="127" t="n">
        <v>0.1394386319878171</v>
      </c>
      <c r="M13" s="127" t="n">
        <v>0.9812892105285252</v>
      </c>
      <c r="N13" s="139" t="n">
        <v>0.3264501418835484</v>
      </c>
    </row>
    <row r="14">
      <c r="C14" s="126" t="inlineStr">
        <is>
          <t>IBOV BEst EPS</t>
        </is>
      </c>
      <c r="D14" s="126" t="inlineStr">
        <is>
          <t>ex_2013_14</t>
        </is>
      </c>
      <c r="E14" s="126" t="inlineStr">
        <is>
          <t>full contemporaneous</t>
        </is>
      </c>
      <c r="F14" s="138" t="n">
        <v>184</v>
      </c>
      <c r="G14" s="139" t="n">
        <v>0.493292492307643</v>
      </c>
      <c r="H14" s="139" t="n">
        <v>0.4790591353499926</v>
      </c>
      <c r="I14" s="127" t="inlineStr">
        <is>
          <t>d_usdbrl3</t>
        </is>
      </c>
      <c r="J14" s="132" t="n">
        <v>0.04276301496385937</v>
      </c>
      <c r="K14" s="139" t="n">
        <v>0.03510773947912599</v>
      </c>
      <c r="L14" s="127" t="n">
        <v>0.124431725965977</v>
      </c>
      <c r="M14" s="127" t="n">
        <v>0.3436664936685997</v>
      </c>
      <c r="N14" s="139" t="n">
        <v>0.7310971121847265</v>
      </c>
    </row>
    <row r="15">
      <c r="C15" s="126" t="inlineStr">
        <is>
          <t>IBOV BEst EPS</t>
        </is>
      </c>
      <c r="D15" s="126" t="inlineStr">
        <is>
          <t>ex_2013_14</t>
        </is>
      </c>
      <c r="E15" s="126" t="inlineStr">
        <is>
          <t>full contemporaneous</t>
        </is>
      </c>
      <c r="F15" s="138" t="n">
        <v>184</v>
      </c>
      <c r="G15" s="139" t="n">
        <v>0.493292492307643</v>
      </c>
      <c r="H15" s="139" t="n">
        <v>0.4790591353499926</v>
      </c>
      <c r="I15" s="127" t="inlineStr">
        <is>
          <t>d_ipca12_3_available</t>
        </is>
      </c>
      <c r="J15" s="132" t="n">
        <v>1.546992456766471</v>
      </c>
      <c r="K15" s="139" t="n">
        <v>0.1903912244822864</v>
      </c>
      <c r="L15" s="127" t="n">
        <v>0.8150885309438257</v>
      </c>
      <c r="M15" s="127" t="n">
        <v>1.897944085871436</v>
      </c>
      <c r="N15" s="139" t="n">
        <v>0.05770344804271921</v>
      </c>
    </row>
    <row r="16">
      <c r="C16" s="126" t="inlineStr">
        <is>
          <t>IBOV BEst EPS</t>
        </is>
      </c>
      <c r="D16" s="126" t="inlineStr">
        <is>
          <t>ex_2013_14</t>
        </is>
      </c>
      <c r="E16" s="126" t="inlineStr">
        <is>
          <t>full contemporaneous</t>
        </is>
      </c>
      <c r="F16" s="138" t="n">
        <v>184</v>
      </c>
      <c r="G16" s="139" t="n">
        <v>0.493292492307643</v>
      </c>
      <c r="H16" s="139" t="n">
        <v>0.4790591353499926</v>
      </c>
      <c r="I16" s="127" t="inlineStr">
        <is>
          <t>d_swap360_3</t>
        </is>
      </c>
      <c r="J16" s="132" t="n">
        <v>1.731479773462966</v>
      </c>
      <c r="K16" s="139" t="n">
        <v>0.208152502938589</v>
      </c>
      <c r="L16" s="127" t="n">
        <v>0.6488064779402077</v>
      </c>
      <c r="M16" s="127" t="n">
        <v>2.668715298527791</v>
      </c>
      <c r="N16" s="139" t="n">
        <v>0.007614196116265237</v>
      </c>
    </row>
    <row r="17">
      <c r="C17" s="126" t="inlineStr">
        <is>
          <t>IBOV BEst EPS</t>
        </is>
      </c>
      <c r="D17" s="126" t="inlineStr">
        <is>
          <t>clean</t>
        </is>
      </c>
      <c r="E17" s="126" t="inlineStr">
        <is>
          <t>full contemporaneous</t>
        </is>
      </c>
      <c r="F17" s="138" t="n">
        <v>160</v>
      </c>
      <c r="G17" s="139" t="n">
        <v>0.1847092712759509</v>
      </c>
      <c r="H17" s="139" t="n">
        <v>0.1582387930706247</v>
      </c>
      <c r="I17" s="127" t="inlineStr">
        <is>
          <t>d_focus_pib3</t>
        </is>
      </c>
      <c r="J17" s="132" t="n">
        <v>3.714619037605127</v>
      </c>
      <c r="K17" s="139" t="n">
        <v>0.3694162771151482</v>
      </c>
      <c r="L17" s="127" t="n">
        <v>0.677485187394981</v>
      </c>
      <c r="M17" s="127" t="n">
        <v>5.482952405038289</v>
      </c>
      <c r="N17" s="139" t="n">
        <v>4.182855817269626e-08</v>
      </c>
    </row>
    <row r="18">
      <c r="C18" s="126" t="inlineStr">
        <is>
          <t>IBOV BEst EPS</t>
        </is>
      </c>
      <c r="D18" s="126" t="inlineStr">
        <is>
          <t>clean</t>
        </is>
      </c>
      <c r="E18" s="126" t="inlineStr">
        <is>
          <t>full contemporaneous</t>
        </is>
      </c>
      <c r="F18" s="138" t="n">
        <v>160</v>
      </c>
      <c r="G18" s="139" t="n">
        <v>0.1847092712759509</v>
      </c>
      <c r="H18" s="139" t="n">
        <v>0.1582387930706247</v>
      </c>
      <c r="I18" s="127" t="inlineStr">
        <is>
          <t>d_bcom_usd3</t>
        </is>
      </c>
      <c r="J18" s="132" t="n">
        <v>0.09042952930628423</v>
      </c>
      <c r="K18" s="139" t="n">
        <v>0.1046700299742196</v>
      </c>
      <c r="L18" s="127" t="n">
        <v>0.1275626211651002</v>
      </c>
      <c r="M18" s="127" t="n">
        <v>0.7089030350767422</v>
      </c>
      <c r="N18" s="139" t="n">
        <v>0.4783846515302557</v>
      </c>
    </row>
    <row r="19">
      <c r="C19" s="126" t="inlineStr">
        <is>
          <t>IBOV BEst EPS</t>
        </is>
      </c>
      <c r="D19" s="126" t="inlineStr">
        <is>
          <t>clean</t>
        </is>
      </c>
      <c r="E19" s="126" t="inlineStr">
        <is>
          <t>full contemporaneous</t>
        </is>
      </c>
      <c r="F19" s="138" t="n">
        <v>160</v>
      </c>
      <c r="G19" s="139" t="n">
        <v>0.1847092712759509</v>
      </c>
      <c r="H19" s="139" t="n">
        <v>0.1582387930706247</v>
      </c>
      <c r="I19" s="127" t="inlineStr">
        <is>
          <t>d_usdbrl3</t>
        </is>
      </c>
      <c r="J19" s="132" t="n">
        <v>0.01738557964419307</v>
      </c>
      <c r="K19" s="139" t="n">
        <v>0.01965133622496539</v>
      </c>
      <c r="L19" s="127" t="n">
        <v>0.1271602420127011</v>
      </c>
      <c r="M19" s="127" t="n">
        <v>0.1367218194068595</v>
      </c>
      <c r="N19" s="139" t="n">
        <v>0.891250682096165</v>
      </c>
    </row>
    <row r="20">
      <c r="C20" s="126" t="inlineStr">
        <is>
          <t>IBOV BEst EPS</t>
        </is>
      </c>
      <c r="D20" s="126" t="inlineStr">
        <is>
          <t>clean</t>
        </is>
      </c>
      <c r="E20" s="126" t="inlineStr">
        <is>
          <t>full contemporaneous</t>
        </is>
      </c>
      <c r="F20" s="138" t="n">
        <v>160</v>
      </c>
      <c r="G20" s="139" t="n">
        <v>0.1847092712759509</v>
      </c>
      <c r="H20" s="139" t="n">
        <v>0.1582387930706247</v>
      </c>
      <c r="I20" s="127" t="inlineStr">
        <is>
          <t>d_ipca12_3_available</t>
        </is>
      </c>
      <c r="J20" s="132" t="n">
        <v>0.3547758433470258</v>
      </c>
      <c r="K20" s="139" t="n">
        <v>0.05782584022823409</v>
      </c>
      <c r="L20" s="127" t="n">
        <v>0.8281472894592093</v>
      </c>
      <c r="M20" s="127" t="n">
        <v>0.4283970349992922</v>
      </c>
      <c r="N20" s="139" t="n">
        <v>0.6683620829882089</v>
      </c>
    </row>
    <row r="21">
      <c r="C21" s="126" t="inlineStr">
        <is>
          <t>IBOV BEst EPS</t>
        </is>
      </c>
      <c r="D21" s="126" t="inlineStr">
        <is>
          <t>clean</t>
        </is>
      </c>
      <c r="E21" s="126" t="inlineStr">
        <is>
          <t>full contemporaneous</t>
        </is>
      </c>
      <c r="F21" s="138" t="n">
        <v>160</v>
      </c>
      <c r="G21" s="139" t="n">
        <v>0.1847092712759509</v>
      </c>
      <c r="H21" s="139" t="n">
        <v>0.1582387930706247</v>
      </c>
      <c r="I21" s="127" t="inlineStr">
        <is>
          <t>d_swap360_3</t>
        </is>
      </c>
      <c r="J21" s="132" t="n">
        <v>1.31492576523312</v>
      </c>
      <c r="K21" s="139" t="n">
        <v>0.1953877316074648</v>
      </c>
      <c r="L21" s="127" t="n">
        <v>0.7634231237547549</v>
      </c>
      <c r="M21" s="127" t="n">
        <v>1.722407567072244</v>
      </c>
      <c r="N21" s="139" t="n">
        <v>0.0849957138811952</v>
      </c>
    </row>
    <row r="22">
      <c r="C22" s="126" t="inlineStr">
        <is>
          <t>IBOV BEst EPS</t>
        </is>
      </c>
      <c r="D22" s="126" t="inlineStr">
        <is>
          <t>post2022</t>
        </is>
      </c>
      <c r="E22" s="126" t="inlineStr">
        <is>
          <t>full contemporaneous</t>
        </is>
      </c>
      <c r="F22" s="138" t="n">
        <v>55</v>
      </c>
      <c r="G22" s="139" t="n">
        <v>0.4103205264973762</v>
      </c>
      <c r="H22" s="139" t="n">
        <v>0.3501491516501696</v>
      </c>
      <c r="I22" s="127" t="inlineStr">
        <is>
          <t>d_focus_pib3</t>
        </is>
      </c>
      <c r="J22" s="132" t="n">
        <v>2.03048227772354</v>
      </c>
      <c r="K22" s="139" t="n">
        <v>0.1137868246277135</v>
      </c>
      <c r="L22" s="127" t="n">
        <v>2.592951108243614</v>
      </c>
      <c r="M22" s="127" t="n">
        <v>0.783077733810001</v>
      </c>
      <c r="N22" s="139" t="n">
        <v>0.4335814656809762</v>
      </c>
    </row>
    <row r="23">
      <c r="C23" s="126" t="inlineStr">
        <is>
          <t>IBOV BEst EPS</t>
        </is>
      </c>
      <c r="D23" s="126" t="inlineStr">
        <is>
          <t>post2022</t>
        </is>
      </c>
      <c r="E23" s="126" t="inlineStr">
        <is>
          <t>full contemporaneous</t>
        </is>
      </c>
      <c r="F23" s="138" t="n">
        <v>55</v>
      </c>
      <c r="G23" s="139" t="n">
        <v>0.4103205264973762</v>
      </c>
      <c r="H23" s="139" t="n">
        <v>0.3501491516501696</v>
      </c>
      <c r="I23" s="127" t="inlineStr">
        <is>
          <t>d_bcom_usd3</t>
        </is>
      </c>
      <c r="J23" s="132" t="n">
        <v>0.3701410742579796</v>
      </c>
      <c r="K23" s="139" t="n">
        <v>0.5491815601770683</v>
      </c>
      <c r="L23" s="127" t="n">
        <v>0.1421746897881026</v>
      </c>
      <c r="M23" s="127" t="n">
        <v>2.60342452520655</v>
      </c>
      <c r="N23" s="139" t="n">
        <v>0.009229758721172265</v>
      </c>
    </row>
    <row r="24">
      <c r="C24" s="126" t="inlineStr">
        <is>
          <t>IBOV BEst EPS</t>
        </is>
      </c>
      <c r="D24" s="126" t="inlineStr">
        <is>
          <t>post2022</t>
        </is>
      </c>
      <c r="E24" s="126" t="inlineStr">
        <is>
          <t>full contemporaneous</t>
        </is>
      </c>
      <c r="F24" s="138" t="n">
        <v>55</v>
      </c>
      <c r="G24" s="139" t="n">
        <v>0.4103205264973762</v>
      </c>
      <c r="H24" s="139" t="n">
        <v>0.3501491516501696</v>
      </c>
      <c r="I24" s="127" t="inlineStr">
        <is>
          <t>d_usdbrl3</t>
        </is>
      </c>
      <c r="J24" s="132" t="n">
        <v>0.2291096488513867</v>
      </c>
      <c r="K24" s="139" t="n">
        <v>0.2374268554938674</v>
      </c>
      <c r="L24" s="127" t="n">
        <v>0.1783385328458324</v>
      </c>
      <c r="M24" s="127" t="n">
        <v>1.284689546310467</v>
      </c>
      <c r="N24" s="139" t="n">
        <v>0.1989007927294004</v>
      </c>
    </row>
    <row r="25">
      <c r="C25" s="126" t="inlineStr">
        <is>
          <t>IBOV BEst EPS</t>
        </is>
      </c>
      <c r="D25" s="126" t="inlineStr">
        <is>
          <t>post2022</t>
        </is>
      </c>
      <c r="E25" s="126" t="inlineStr">
        <is>
          <t>full contemporaneous</t>
        </is>
      </c>
      <c r="F25" s="138" t="n">
        <v>55</v>
      </c>
      <c r="G25" s="139" t="n">
        <v>0.4103205264973762</v>
      </c>
      <c r="H25" s="139" t="n">
        <v>0.3501491516501696</v>
      </c>
      <c r="I25" s="127" t="inlineStr">
        <is>
          <t>d_ipca12_3_available</t>
        </is>
      </c>
      <c r="J25" s="132" t="n">
        <v>1.392988895177235</v>
      </c>
      <c r="K25" s="139" t="n">
        <v>0.318062555633073</v>
      </c>
      <c r="L25" s="127" t="n">
        <v>0.4673697763604828</v>
      </c>
      <c r="M25" s="127" t="n">
        <v>2.980485614677021</v>
      </c>
      <c r="N25" s="139" t="n">
        <v>0.002877917546806774</v>
      </c>
    </row>
    <row r="26">
      <c r="C26" s="128" t="inlineStr">
        <is>
          <t>IBOV BEst EPS</t>
        </is>
      </c>
      <c r="D26" s="128" t="inlineStr">
        <is>
          <t>post2022</t>
        </is>
      </c>
      <c r="E26" s="128" t="inlineStr">
        <is>
          <t>full contemporaneous</t>
        </is>
      </c>
      <c r="F26" s="140" t="n">
        <v>55</v>
      </c>
      <c r="G26" s="141" t="n">
        <v>0.4103205264973762</v>
      </c>
      <c r="H26" s="141" t="n">
        <v>0.3501491516501696</v>
      </c>
      <c r="I26" s="129" t="inlineStr">
        <is>
          <t>d_swap360_3</t>
        </is>
      </c>
      <c r="J26" s="134" t="n">
        <v>0.1353736984338152</v>
      </c>
      <c r="K26" s="141" t="n">
        <v>0.0239968756915594</v>
      </c>
      <c r="L26" s="129" t="n">
        <v>0.9080856386112691</v>
      </c>
      <c r="M26" s="129" t="n">
        <v>0.1490759160565975</v>
      </c>
      <c r="N26" s="141" t="n">
        <v>0.8814937297181968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2:AR114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7" customWidth="1" min="10" max="10"/>
    <col width="13" customWidth="1" min="11" max="11"/>
    <col width="13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7" customWidth="1" min="26" max="26"/>
    <col width="17" customWidth="1" min="27" max="27"/>
    <col width="13" customWidth="1" min="28" max="28"/>
    <col width="13" customWidth="1" min="29" max="29"/>
    <col width="17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7" customWidth="1" min="37" max="37"/>
    <col width="13" customWidth="1" min="38" max="38"/>
    <col width="13" customWidth="1" min="39" max="39"/>
    <col width="13" customWidth="1" min="40" max="40"/>
    <col width="13" customWidth="1" min="41" max="41"/>
    <col width="17" customWidth="1" min="42" max="42"/>
    <col width="13" customWidth="1" min="43" max="43"/>
    <col width="13" customWidth="1" min="44" max="44"/>
  </cols>
  <sheetData>
    <row r="2">
      <c r="C2" s="2" t="inlineStr">
        <is>
          <t>Regressões contemporâneas por setor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  <c r="AC2" s="98" t="n"/>
      <c r="AD2" s="98" t="n"/>
      <c r="AE2" s="98" t="n"/>
      <c r="AF2" s="98" t="n"/>
      <c r="AG2" s="98" t="n"/>
      <c r="AH2" s="98" t="n"/>
      <c r="AI2" s="98" t="n"/>
      <c r="AJ2" s="98" t="n"/>
      <c r="AK2" s="98" t="n"/>
      <c r="AL2" s="98" t="n"/>
      <c r="AM2" s="98" t="n"/>
      <c r="AN2" s="98" t="n"/>
      <c r="AO2" s="98" t="n"/>
      <c r="AP2" s="98" t="n"/>
      <c r="AQ2" s="98" t="n"/>
      <c r="AR2" s="98" t="n"/>
    </row>
    <row r="3">
      <c r="C3" s="4" t="inlineStr">
        <is>
          <t>OLS com erros HAC/Newey-West e ajuste Benjamini-Hochberg entre setores.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  <c r="AA4" s="99" t="n"/>
      <c r="AB4" s="99" t="n"/>
      <c r="AC4" s="99" t="n"/>
      <c r="AD4" s="99" t="n"/>
      <c r="AE4" s="99" t="n"/>
      <c r="AF4" s="99" t="n"/>
      <c r="AG4" s="99" t="n"/>
      <c r="AH4" s="99" t="n"/>
      <c r="AI4" s="99" t="n"/>
      <c r="AJ4" s="99" t="n"/>
      <c r="AK4" s="99" t="n"/>
      <c r="AL4" s="99" t="n"/>
      <c r="AM4" s="99" t="n"/>
      <c r="AN4" s="99" t="n"/>
      <c r="AO4" s="99" t="n"/>
      <c r="AP4" s="99" t="n"/>
      <c r="AQ4" s="99" t="n"/>
      <c r="AR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99" t="n"/>
      <c r="AR5" s="99" t="n"/>
    </row>
    <row r="6" ht="36" customHeight="1">
      <c r="C6" s="11" t="inlineStr">
        <is>
          <t>target</t>
        </is>
      </c>
      <c r="D6" s="11" t="inlineStr">
        <is>
          <t>sample</t>
        </is>
      </c>
      <c r="E6" s="11" t="inlineStr">
        <is>
          <t>start</t>
        </is>
      </c>
      <c r="F6" s="11" t="inlineStr">
        <is>
          <t>end</t>
        </is>
      </c>
      <c r="G6" s="11" t="inlineStr">
        <is>
          <t>n</t>
        </is>
      </c>
      <c r="H6" s="11" t="inlineStr">
        <is>
          <t>r2</t>
        </is>
      </c>
      <c r="I6" s="11" t="inlineStr">
        <is>
          <t>adj_r2</t>
        </is>
      </c>
      <c r="J6" s="11" t="inlineStr">
        <is>
          <t>invalid_nonpositive_windows_full</t>
        </is>
      </c>
      <c r="K6" s="11" t="inlineStr">
        <is>
          <t>d_focus_pib3_beta</t>
        </is>
      </c>
      <c r="L6" s="11" t="inlineStr">
        <is>
          <t>d_focus_pib3_beta_std</t>
        </is>
      </c>
      <c r="M6" s="11" t="inlineStr">
        <is>
          <t>d_focus_pib3_t</t>
        </is>
      </c>
      <c r="N6" s="11" t="inlineStr">
        <is>
          <t>d_focus_pib3_p</t>
        </is>
      </c>
      <c r="O6" s="11" t="inlineStr">
        <is>
          <t>d_focus_pib3_partial_r2</t>
        </is>
      </c>
      <c r="P6" s="11" t="inlineStr">
        <is>
          <t>d_bcom_usd3_beta</t>
        </is>
      </c>
      <c r="Q6" s="11" t="inlineStr">
        <is>
          <t>d_bcom_usd3_beta_std</t>
        </is>
      </c>
      <c r="R6" s="11" t="inlineStr">
        <is>
          <t>d_bcom_usd3_t</t>
        </is>
      </c>
      <c r="S6" s="11" t="inlineStr">
        <is>
          <t>d_bcom_usd3_p</t>
        </is>
      </c>
      <c r="T6" s="11" t="inlineStr">
        <is>
          <t>d_bcom_usd3_partial_r2</t>
        </is>
      </c>
      <c r="U6" s="11" t="inlineStr">
        <is>
          <t>d_usdbrl3_beta</t>
        </is>
      </c>
      <c r="V6" s="11" t="inlineStr">
        <is>
          <t>d_usdbrl3_beta_std</t>
        </is>
      </c>
      <c r="W6" s="11" t="inlineStr">
        <is>
          <t>d_usdbrl3_t</t>
        </is>
      </c>
      <c r="X6" s="11" t="inlineStr">
        <is>
          <t>d_usdbrl3_p</t>
        </is>
      </c>
      <c r="Y6" s="11" t="inlineStr">
        <is>
          <t>d_usdbrl3_partial_r2</t>
        </is>
      </c>
      <c r="Z6" s="11" t="inlineStr">
        <is>
          <t>d_ipca12_3_available_beta</t>
        </is>
      </c>
      <c r="AA6" s="11" t="inlineStr">
        <is>
          <t>d_ipca12_3_available_beta_std</t>
        </is>
      </c>
      <c r="AB6" s="11" t="inlineStr">
        <is>
          <t>d_ipca12_3_available_t</t>
        </is>
      </c>
      <c r="AC6" s="11" t="inlineStr">
        <is>
          <t>d_ipca12_3_available_p</t>
        </is>
      </c>
      <c r="AD6" s="11" t="inlineStr">
        <is>
          <t>d_ipca12_3_available_partial_r2</t>
        </is>
      </c>
      <c r="AE6" s="11" t="inlineStr">
        <is>
          <t>d_swap360_3_beta</t>
        </is>
      </c>
      <c r="AF6" s="11" t="inlineStr">
        <is>
          <t>d_swap360_3_beta_std</t>
        </is>
      </c>
      <c r="AG6" s="11" t="inlineStr">
        <is>
          <t>d_swap360_3_t</t>
        </is>
      </c>
      <c r="AH6" s="11" t="inlineStr">
        <is>
          <t>d_swap360_3_p</t>
        </is>
      </c>
      <c r="AI6" s="11" t="inlineStr">
        <is>
          <t>d_swap360_3_partial_r2</t>
        </is>
      </c>
      <c r="AJ6" s="11" t="inlineStr">
        <is>
          <t>focus_ibov_same_sample</t>
        </is>
      </c>
      <c r="AK6" s="11" t="inlineStr">
        <is>
          <t>focus_difference_vs_ibov</t>
        </is>
      </c>
      <c r="AL6" s="11" t="inlineStr">
        <is>
          <t>focus_difference_p</t>
        </is>
      </c>
      <c r="AM6" s="11" t="inlineStr">
        <is>
          <t>d_focus_pib3_q_bh</t>
        </is>
      </c>
      <c r="AN6" s="11" t="inlineStr">
        <is>
          <t>d_bcom_usd3_q_bh</t>
        </is>
      </c>
      <c r="AO6" s="11" t="inlineStr">
        <is>
          <t>d_usdbrl3_q_bh</t>
        </is>
      </c>
      <c r="AP6" s="11" t="inlineStr">
        <is>
          <t>d_ipca12_3_available_q_bh</t>
        </is>
      </c>
      <c r="AQ6" s="11" t="inlineStr">
        <is>
          <t>d_swap360_3_q_bh</t>
        </is>
      </c>
      <c r="AR6" s="11" t="inlineStr">
        <is>
          <t>focus_difference_q_bh</t>
        </is>
      </c>
    </row>
    <row r="7">
      <c r="C7" s="124" t="inlineStr">
        <is>
          <t>IBOV</t>
        </is>
      </c>
      <c r="D7" s="124" t="inlineStr">
        <is>
          <t>full</t>
        </is>
      </c>
      <c r="E7" s="109" t="n">
        <v>39904</v>
      </c>
      <c r="F7" s="109" t="n">
        <v>46204</v>
      </c>
      <c r="G7" s="136" t="n">
        <v>208</v>
      </c>
      <c r="H7" s="137" t="n">
        <v>0.421562398547173</v>
      </c>
      <c r="I7" s="137" t="n">
        <v>0.4072446361349744</v>
      </c>
      <c r="J7" s="136" t="n">
        <v>0</v>
      </c>
      <c r="K7" s="130" t="n">
        <v>5.968952397629377</v>
      </c>
      <c r="L7" s="137" t="n">
        <v>0.408844332662583</v>
      </c>
      <c r="M7" s="130" t="n">
        <v>5.514900878246487</v>
      </c>
      <c r="N7" s="137" t="n">
        <v>3.489765854070015e-08</v>
      </c>
      <c r="O7" s="137" t="n">
        <v>0.1345872951967089</v>
      </c>
      <c r="P7" s="130" t="n">
        <v>0.6425647656115169</v>
      </c>
      <c r="Q7" s="137" t="n">
        <v>0.3906120408577332</v>
      </c>
      <c r="R7" s="130" t="n">
        <v>3.570267967829376</v>
      </c>
      <c r="S7" s="137" t="n">
        <v>0.0003566162259081018</v>
      </c>
      <c r="T7" s="137" t="n">
        <v>0.08388161703033592</v>
      </c>
      <c r="U7" s="130" t="n">
        <v>0.2796608472641493</v>
      </c>
      <c r="V7" s="137" t="n">
        <v>0.1643062703731633</v>
      </c>
      <c r="W7" s="130" t="n">
        <v>1.640848451869594</v>
      </c>
      <c r="X7" s="137" t="n">
        <v>0.1008288776762452</v>
      </c>
      <c r="Y7" s="137" t="n">
        <v>0.01397048499411924</v>
      </c>
      <c r="Z7" s="130" t="n">
        <v>3.175907808644505</v>
      </c>
      <c r="AA7" s="137" t="n">
        <v>0.2696104590322819</v>
      </c>
      <c r="AB7" s="130" t="n">
        <v>2.95294671950929</v>
      </c>
      <c r="AC7" s="137" t="n">
        <v>0.003147562847097163</v>
      </c>
      <c r="AD7" s="137" t="n">
        <v>0.05323534781564188</v>
      </c>
      <c r="AE7" s="130" t="n">
        <v>0.7937536012147359</v>
      </c>
      <c r="AF7" s="137" t="n">
        <v>0.06783372838465096</v>
      </c>
      <c r="AG7" s="130" t="n">
        <v>0.9983248566665499</v>
      </c>
      <c r="AH7" s="137" t="n">
        <v>0.3181218581500387</v>
      </c>
      <c r="AI7" s="137" t="n">
        <v>0.003017170608975217</v>
      </c>
      <c r="AJ7" s="130" t="n">
        <v>5.968952397629377</v>
      </c>
      <c r="AK7" s="130" t="n">
        <v>0</v>
      </c>
      <c r="AL7" s="137" t="n"/>
      <c r="AM7" s="137" t="n"/>
      <c r="AN7" s="137" t="n"/>
      <c r="AO7" s="137" t="n"/>
      <c r="AP7" s="137" t="n"/>
      <c r="AQ7" s="137" t="n"/>
      <c r="AR7" s="137" t="n"/>
    </row>
    <row r="8">
      <c r="C8" s="126" t="inlineStr">
        <is>
          <t>IBOV</t>
        </is>
      </c>
      <c r="D8" s="126" t="inlineStr">
        <is>
          <t>ex_2013_14</t>
        </is>
      </c>
      <c r="E8" s="112" t="n">
        <v>39904</v>
      </c>
      <c r="F8" s="112" t="n">
        <v>46204</v>
      </c>
      <c r="G8" s="138" t="n">
        <v>184</v>
      </c>
      <c r="H8" s="139" t="n">
        <v>0.4378618651513946</v>
      </c>
      <c r="I8" s="139" t="n">
        <v>0.4220714681050854</v>
      </c>
      <c r="J8" s="138" t="n">
        <v>0</v>
      </c>
      <c r="K8" s="132" t="n">
        <v>6.179005187471408</v>
      </c>
      <c r="L8" s="139" t="n">
        <v>0.430088638781141</v>
      </c>
      <c r="M8" s="132" t="n">
        <v>5.679723558059265</v>
      </c>
      <c r="N8" s="139" t="n">
        <v>1.349126099725595e-08</v>
      </c>
      <c r="O8" s="139" t="n">
        <v>0.1482996890874133</v>
      </c>
      <c r="P8" s="132" t="n">
        <v>0.638970710509807</v>
      </c>
      <c r="Q8" s="139" t="n">
        <v>0.3819227272079247</v>
      </c>
      <c r="R8" s="132" t="n">
        <v>3.241243806124603</v>
      </c>
      <c r="S8" s="139" t="n">
        <v>0.001190093526896252</v>
      </c>
      <c r="T8" s="139" t="n">
        <v>0.0773936418805341</v>
      </c>
      <c r="U8" s="132" t="n">
        <v>0.3076128657871893</v>
      </c>
      <c r="V8" s="139" t="n">
        <v>0.1776077502358204</v>
      </c>
      <c r="W8" s="132" t="n">
        <v>1.65850111909678</v>
      </c>
      <c r="X8" s="139" t="n">
        <v>0.09721636183488536</v>
      </c>
      <c r="Y8" s="139" t="n">
        <v>0.01617211974511656</v>
      </c>
      <c r="Z8" s="132" t="n">
        <v>3.209394419808668</v>
      </c>
      <c r="AA8" s="139" t="n">
        <v>0.2777823781272307</v>
      </c>
      <c r="AB8" s="132" t="n">
        <v>2.933375000672155</v>
      </c>
      <c r="AC8" s="139" t="n">
        <v>0.00335298638717596</v>
      </c>
      <c r="AD8" s="139" t="n">
        <v>0.05424323110696572</v>
      </c>
      <c r="AE8" s="132" t="n">
        <v>0.7412980849881029</v>
      </c>
      <c r="AF8" s="139" t="n">
        <v>0.06267292448919115</v>
      </c>
      <c r="AG8" s="132" t="n">
        <v>0.9454318453259561</v>
      </c>
      <c r="AH8" s="139" t="n">
        <v>0.3444384505721771</v>
      </c>
      <c r="AI8" s="139" t="n">
        <v>0.00243872507545484</v>
      </c>
      <c r="AJ8" s="132" t="n">
        <v>6.179005187471408</v>
      </c>
      <c r="AK8" s="132" t="n">
        <v>0</v>
      </c>
      <c r="AL8" s="139" t="n"/>
      <c r="AM8" s="139" t="n"/>
      <c r="AN8" s="139" t="n"/>
      <c r="AO8" s="139" t="n"/>
      <c r="AP8" s="139" t="n"/>
      <c r="AQ8" s="139" t="n"/>
      <c r="AR8" s="139" t="n"/>
    </row>
    <row r="9">
      <c r="C9" s="126" t="inlineStr">
        <is>
          <t>IBOV</t>
        </is>
      </c>
      <c r="D9" s="126" t="inlineStr">
        <is>
          <t>ex_2020_21</t>
        </is>
      </c>
      <c r="E9" s="112" t="n">
        <v>39904</v>
      </c>
      <c r="F9" s="112" t="n">
        <v>46204</v>
      </c>
      <c r="G9" s="138" t="n">
        <v>184</v>
      </c>
      <c r="H9" s="139" t="n">
        <v>0.2416281146011374</v>
      </c>
      <c r="I9" s="139" t="n">
        <v>0.2203255335506076</v>
      </c>
      <c r="J9" s="138" t="n">
        <v>0</v>
      </c>
      <c r="K9" s="132" t="n">
        <v>3.849139829068014</v>
      </c>
      <c r="L9" s="139" t="n">
        <v>0.2311005417171704</v>
      </c>
      <c r="M9" s="132" t="n">
        <v>3.204845435010035</v>
      </c>
      <c r="N9" s="139" t="n">
        <v>0.001351350271558971</v>
      </c>
      <c r="O9" s="139" t="n">
        <v>0.04414973169241077</v>
      </c>
      <c r="P9" s="132" t="n">
        <v>0.644049963595104</v>
      </c>
      <c r="Q9" s="139" t="n">
        <v>0.4603184610415526</v>
      </c>
      <c r="R9" s="132" t="n">
        <v>3.749151418650591</v>
      </c>
      <c r="S9" s="139" t="n">
        <v>0.0001774339357081267</v>
      </c>
      <c r="T9" s="139" t="n">
        <v>0.1275299960298906</v>
      </c>
      <c r="U9" s="132" t="n">
        <v>0.2916516906959918</v>
      </c>
      <c r="V9" s="139" t="n">
        <v>0.2044035237518296</v>
      </c>
      <c r="W9" s="132" t="n">
        <v>1.699299169811817</v>
      </c>
      <c r="X9" s="139" t="n">
        <v>0.08926282893149251</v>
      </c>
      <c r="Y9" s="139" t="n">
        <v>0.02202490963130987</v>
      </c>
      <c r="Z9" s="132" t="n">
        <v>2.155016137003257</v>
      </c>
      <c r="AA9" s="139" t="n">
        <v>0.2086391051657872</v>
      </c>
      <c r="AB9" s="132" t="n">
        <v>1.981019689661912</v>
      </c>
      <c r="AC9" s="139" t="n">
        <v>0.04758906555350007</v>
      </c>
      <c r="AD9" s="139" t="n">
        <v>0.03364990387677713</v>
      </c>
      <c r="AE9" s="132" t="n">
        <v>0.5590357332648435</v>
      </c>
      <c r="AF9" s="139" t="n">
        <v>0.05226391181580653</v>
      </c>
      <c r="AG9" s="132" t="n">
        <v>0.6378026119139591</v>
      </c>
      <c r="AH9" s="139" t="n">
        <v>0.5236021791219696</v>
      </c>
      <c r="AI9" s="139" t="n">
        <v>0.002058071685219209</v>
      </c>
      <c r="AJ9" s="132" t="n">
        <v>3.849139829068014</v>
      </c>
      <c r="AK9" s="132" t="n">
        <v>0</v>
      </c>
      <c r="AL9" s="139" t="n"/>
      <c r="AM9" s="139" t="n"/>
      <c r="AN9" s="139" t="n"/>
      <c r="AO9" s="139" t="n"/>
      <c r="AP9" s="139" t="n"/>
      <c r="AQ9" s="139" t="n"/>
      <c r="AR9" s="139" t="n"/>
    </row>
    <row r="10">
      <c r="C10" s="126" t="inlineStr">
        <is>
          <t>IBOV</t>
        </is>
      </c>
      <c r="D10" s="126" t="inlineStr">
        <is>
          <t>clean</t>
        </is>
      </c>
      <c r="E10" s="112" t="n">
        <v>39904</v>
      </c>
      <c r="F10" s="112" t="n">
        <v>46204</v>
      </c>
      <c r="G10" s="138" t="n">
        <v>160</v>
      </c>
      <c r="H10" s="139" t="n">
        <v>0.2499443572938461</v>
      </c>
      <c r="I10" s="139" t="n">
        <v>0.2255919013618281</v>
      </c>
      <c r="J10" s="138" t="n">
        <v>0</v>
      </c>
      <c r="K10" s="132" t="n">
        <v>4.166800677918155</v>
      </c>
      <c r="L10" s="139" t="n">
        <v>0.2548726497622179</v>
      </c>
      <c r="M10" s="132" t="n">
        <v>3.391146658193793</v>
      </c>
      <c r="N10" s="139" t="n">
        <v>0.0006960084581588699</v>
      </c>
      <c r="O10" s="139" t="n">
        <v>0.05412496979409787</v>
      </c>
      <c r="P10" s="132" t="n">
        <v>0.6388790310264731</v>
      </c>
      <c r="Q10" s="139" t="n">
        <v>0.4548303882914034</v>
      </c>
      <c r="R10" s="132" t="n">
        <v>3.348884329618049</v>
      </c>
      <c r="S10" s="139" t="n">
        <v>0.0008113766187791693</v>
      </c>
      <c r="T10" s="139" t="n">
        <v>0.1215288094807206</v>
      </c>
      <c r="U10" s="132" t="n">
        <v>0.327206901919177</v>
      </c>
      <c r="V10" s="139" t="n">
        <v>0.2274804758809506</v>
      </c>
      <c r="W10" s="132" t="n">
        <v>1.704366385052768</v>
      </c>
      <c r="X10" s="139" t="n">
        <v>0.0883126598412991</v>
      </c>
      <c r="Y10" s="139" t="n">
        <v>0.02723985821769448</v>
      </c>
      <c r="Z10" s="132" t="n">
        <v>2.145720601704407</v>
      </c>
      <c r="AA10" s="139" t="n">
        <v>0.2151096247554011</v>
      </c>
      <c r="AB10" s="132" t="n">
        <v>1.932201528048823</v>
      </c>
      <c r="AC10" s="139" t="n">
        <v>0.05333463666700466</v>
      </c>
      <c r="AD10" s="139" t="n">
        <v>0.03466097949767277</v>
      </c>
      <c r="AE10" s="132" t="n">
        <v>0.4906674020127901</v>
      </c>
      <c r="AF10" s="139" t="n">
        <v>0.04484376031567555</v>
      </c>
      <c r="AG10" s="132" t="n">
        <v>0.5706505391826517</v>
      </c>
      <c r="AH10" s="139" t="n">
        <v>0.568236552611753</v>
      </c>
      <c r="AI10" s="139" t="n">
        <v>0.001478446245086529</v>
      </c>
      <c r="AJ10" s="132" t="n">
        <v>4.166800677918155</v>
      </c>
      <c r="AK10" s="132" t="n">
        <v>0</v>
      </c>
      <c r="AL10" s="139" t="n"/>
      <c r="AM10" s="139" t="n"/>
      <c r="AN10" s="139" t="n"/>
      <c r="AO10" s="139" t="n"/>
      <c r="AP10" s="139" t="n"/>
      <c r="AQ10" s="139" t="n"/>
      <c r="AR10" s="139" t="n"/>
    </row>
    <row r="11">
      <c r="C11" s="126" t="inlineStr">
        <is>
          <t>IBOV</t>
        </is>
      </c>
      <c r="D11" s="126" t="inlineStr">
        <is>
          <t>ex_seams</t>
        </is>
      </c>
      <c r="E11" s="112" t="n">
        <v>39904</v>
      </c>
      <c r="F11" s="112" t="n">
        <v>46204</v>
      </c>
      <c r="G11" s="138" t="n">
        <v>193</v>
      </c>
      <c r="H11" s="139" t="n">
        <v>0.4612024723761622</v>
      </c>
      <c r="I11" s="139" t="n">
        <v>0.4467961213701772</v>
      </c>
      <c r="J11" s="138" t="n">
        <v>0</v>
      </c>
      <c r="K11" s="132" t="n">
        <v>6.257300955716724</v>
      </c>
      <c r="L11" s="139" t="n">
        <v>0.4345551816236298</v>
      </c>
      <c r="M11" s="132" t="n">
        <v>5.986832802161705</v>
      </c>
      <c r="N11" s="139" t="n">
        <v>2.139665333800167e-09</v>
      </c>
      <c r="O11" s="139" t="n">
        <v>0.1540017832378703</v>
      </c>
      <c r="P11" s="132" t="n">
        <v>0.6098486586818714</v>
      </c>
      <c r="Q11" s="139" t="n">
        <v>0.3628541118333529</v>
      </c>
      <c r="R11" s="132" t="n">
        <v>3.011868690262832</v>
      </c>
      <c r="S11" s="139" t="n">
        <v>0.00259644885132948</v>
      </c>
      <c r="T11" s="139" t="n">
        <v>0.07564355068023343</v>
      </c>
      <c r="U11" s="132" t="n">
        <v>0.3137050723724428</v>
      </c>
      <c r="V11" s="139" t="n">
        <v>0.1832407944349515</v>
      </c>
      <c r="W11" s="132" t="n">
        <v>1.79043788866797</v>
      </c>
      <c r="X11" s="139" t="n">
        <v>0.07338354390328261</v>
      </c>
      <c r="Y11" s="139" t="n">
        <v>0.01806107921294819</v>
      </c>
      <c r="Z11" s="132" t="n">
        <v>4.096021470339889</v>
      </c>
      <c r="AA11" s="139" t="n">
        <v>0.3407695504365388</v>
      </c>
      <c r="AB11" s="132" t="n">
        <v>3.929375177412747</v>
      </c>
      <c r="AC11" s="139" t="n">
        <v>8.516687195081474e-05</v>
      </c>
      <c r="AD11" s="139" t="n">
        <v>0.08628352326463096</v>
      </c>
      <c r="AE11" s="132" t="n">
        <v>0.7030359680732714</v>
      </c>
      <c r="AF11" s="139" t="n">
        <v>0.06005046645574016</v>
      </c>
      <c r="AG11" s="132" t="n">
        <v>0.9423785147667454</v>
      </c>
      <c r="AH11" s="139" t="n">
        <v>0.3459988831745007</v>
      </c>
      <c r="AI11" s="139" t="n">
        <v>0.002420155991802009</v>
      </c>
      <c r="AJ11" s="132" t="n">
        <v>6.257300955716724</v>
      </c>
      <c r="AK11" s="132" t="n">
        <v>0</v>
      </c>
      <c r="AL11" s="139" t="n"/>
      <c r="AM11" s="139" t="n"/>
      <c r="AN11" s="139" t="n"/>
      <c r="AO11" s="139" t="n"/>
      <c r="AP11" s="139" t="n"/>
      <c r="AQ11" s="139" t="n"/>
      <c r="AR11" s="139" t="n"/>
    </row>
    <row r="12">
      <c r="C12" s="126" t="inlineStr">
        <is>
          <t>IBOV</t>
        </is>
      </c>
      <c r="D12" s="126" t="inlineStr">
        <is>
          <t>audit_clean</t>
        </is>
      </c>
      <c r="E12" s="112" t="n">
        <v>39904</v>
      </c>
      <c r="F12" s="112" t="n">
        <v>46204</v>
      </c>
      <c r="G12" s="138" t="n">
        <v>151</v>
      </c>
      <c r="H12" s="139" t="n">
        <v>0.2947933990467133</v>
      </c>
      <c r="I12" s="139" t="n">
        <v>0.2704759300483242</v>
      </c>
      <c r="J12" s="138" t="n">
        <v>0</v>
      </c>
      <c r="K12" s="132" t="n">
        <v>4.442488062949742</v>
      </c>
      <c r="L12" s="139" t="n">
        <v>0.2777487624893034</v>
      </c>
      <c r="M12" s="132" t="n">
        <v>3.391520682662669</v>
      </c>
      <c r="N12" s="139" t="n">
        <v>0.0006950591692611585</v>
      </c>
      <c r="O12" s="139" t="n">
        <v>0.06387832910925195</v>
      </c>
      <c r="P12" s="132" t="n">
        <v>0.6450459278625379</v>
      </c>
      <c r="Q12" s="139" t="n">
        <v>0.4614505570088147</v>
      </c>
      <c r="R12" s="132" t="n">
        <v>3.107269104957294</v>
      </c>
      <c r="S12" s="139" t="n">
        <v>0.001888244256440075</v>
      </c>
      <c r="T12" s="139" t="n">
        <v>0.1231902728937785</v>
      </c>
      <c r="U12" s="132" t="n">
        <v>0.3559614878121167</v>
      </c>
      <c r="V12" s="139" t="n">
        <v>0.2524677337366034</v>
      </c>
      <c r="W12" s="132" t="n">
        <v>1.801417985649249</v>
      </c>
      <c r="X12" s="139" t="n">
        <v>0.071637023413615</v>
      </c>
      <c r="Y12" s="139" t="n">
        <v>0.03309677610980832</v>
      </c>
      <c r="Z12" s="132" t="n">
        <v>2.764702519831991</v>
      </c>
      <c r="AA12" s="139" t="n">
        <v>0.2695855944701918</v>
      </c>
      <c r="AB12" s="132" t="n">
        <v>3.254091526615604</v>
      </c>
      <c r="AC12" s="139" t="n">
        <v>0.001137556228938408</v>
      </c>
      <c r="AD12" s="139" t="n">
        <v>0.05708410642763351</v>
      </c>
      <c r="AE12" s="132" t="n">
        <v>0.9363982293652462</v>
      </c>
      <c r="AF12" s="139" t="n">
        <v>0.08449022987147772</v>
      </c>
      <c r="AG12" s="132" t="n">
        <v>1.278975393851093</v>
      </c>
      <c r="AH12" s="139" t="n">
        <v>0.2009057209637393</v>
      </c>
      <c r="AI12" s="139" t="n">
        <v>0.005526304966527062</v>
      </c>
      <c r="AJ12" s="132" t="n">
        <v>4.442488062949742</v>
      </c>
      <c r="AK12" s="132" t="n">
        <v>0</v>
      </c>
      <c r="AL12" s="139" t="n"/>
      <c r="AM12" s="139" t="n"/>
      <c r="AN12" s="139" t="n"/>
      <c r="AO12" s="139" t="n"/>
      <c r="AP12" s="139" t="n"/>
      <c r="AQ12" s="139" t="n"/>
      <c r="AR12" s="139" t="n"/>
    </row>
    <row r="13">
      <c r="C13" s="126" t="inlineStr">
        <is>
          <t>IBOV</t>
        </is>
      </c>
      <c r="D13" s="126" t="inlineStr">
        <is>
          <t>since_2020</t>
        </is>
      </c>
      <c r="E13" s="112" t="n">
        <v>43831</v>
      </c>
      <c r="F13" s="112" t="n">
        <v>46204</v>
      </c>
      <c r="G13" s="138" t="n">
        <v>79</v>
      </c>
      <c r="H13" s="139" t="n">
        <v>0.6199256236942613</v>
      </c>
      <c r="I13" s="139" t="n">
        <v>0.5938931321664709</v>
      </c>
      <c r="J13" s="138" t="n">
        <v>0</v>
      </c>
      <c r="K13" s="132" t="n">
        <v>6.517266411873479</v>
      </c>
      <c r="L13" s="139" t="n">
        <v>0.4309068142561583</v>
      </c>
      <c r="M13" s="132" t="n">
        <v>4.88324916324047</v>
      </c>
      <c r="N13" s="139" t="n">
        <v>1.043518726762116e-06</v>
      </c>
      <c r="O13" s="139" t="n">
        <v>0.136124032798712</v>
      </c>
      <c r="P13" s="132" t="n">
        <v>0.8550046567171536</v>
      </c>
      <c r="Q13" s="139" t="n">
        <v>0.4534955386926144</v>
      </c>
      <c r="R13" s="132" t="n">
        <v>2.561765647675719</v>
      </c>
      <c r="S13" s="139" t="n">
        <v>0.01041415640887444</v>
      </c>
      <c r="T13" s="139" t="n">
        <v>0.09919709046665093</v>
      </c>
      <c r="U13" s="132" t="n">
        <v>0.4048231772411639</v>
      </c>
      <c r="V13" s="139" t="n">
        <v>0.1770281614251965</v>
      </c>
      <c r="W13" s="132" t="n">
        <v>1.38234041704886</v>
      </c>
      <c r="X13" s="139" t="n">
        <v>0.1668672015429564</v>
      </c>
      <c r="Y13" s="139" t="n">
        <v>0.01567803048535021</v>
      </c>
      <c r="Z13" s="132" t="n">
        <v>3.38422980561314</v>
      </c>
      <c r="AA13" s="139" t="n">
        <v>0.2807176965913113</v>
      </c>
      <c r="AB13" s="132" t="n">
        <v>2.684465014949951</v>
      </c>
      <c r="AC13" s="139" t="n">
        <v>0.007264598592368277</v>
      </c>
      <c r="AD13" s="139" t="n">
        <v>0.05685039392377134</v>
      </c>
      <c r="AE13" s="132" t="n">
        <v>1.021028596722973</v>
      </c>
      <c r="AF13" s="139" t="n">
        <v>0.07615054089811854</v>
      </c>
      <c r="AG13" s="132" t="n">
        <v>0.8129834843837989</v>
      </c>
      <c r="AH13" s="139" t="n">
        <v>0.4162275272981144</v>
      </c>
      <c r="AI13" s="139" t="n">
        <v>0.003500394598115686</v>
      </c>
      <c r="AJ13" s="132" t="n">
        <v>6.517266411873479</v>
      </c>
      <c r="AK13" s="132" t="n">
        <v>0</v>
      </c>
      <c r="AL13" s="139" t="n"/>
      <c r="AM13" s="139" t="n"/>
      <c r="AN13" s="139" t="n"/>
      <c r="AO13" s="139" t="n"/>
      <c r="AP13" s="139" t="n"/>
      <c r="AQ13" s="139" t="n"/>
      <c r="AR13" s="139" t="n"/>
    </row>
    <row r="14">
      <c r="C14" s="126" t="inlineStr">
        <is>
          <t>IBOV</t>
        </is>
      </c>
      <c r="D14" s="126" t="inlineStr">
        <is>
          <t>since_2022</t>
        </is>
      </c>
      <c r="E14" s="112" t="n">
        <v>44562</v>
      </c>
      <c r="F14" s="112" t="n">
        <v>46204</v>
      </c>
      <c r="G14" s="138" t="n">
        <v>55</v>
      </c>
      <c r="H14" s="139" t="n">
        <v>0.5394878636893492</v>
      </c>
      <c r="I14" s="139" t="n">
        <v>0.4924968293719358</v>
      </c>
      <c r="J14" s="138" t="n">
        <v>0</v>
      </c>
      <c r="K14" s="132" t="n">
        <v>0.2982402843671333</v>
      </c>
      <c r="L14" s="139" t="n">
        <v>0.00788274212834527</v>
      </c>
      <c r="M14" s="132" t="n">
        <v>0.07879882672850258</v>
      </c>
      <c r="N14" s="139" t="n">
        <v>0.9371926372822919</v>
      </c>
      <c r="O14" s="139" t="n">
        <v>6.026101701428477e-05</v>
      </c>
      <c r="P14" s="132" t="n">
        <v>1.06529365744918</v>
      </c>
      <c r="Q14" s="139" t="n">
        <v>0.7454804295599953</v>
      </c>
      <c r="R14" s="132" t="n">
        <v>3.626012089189826</v>
      </c>
      <c r="S14" s="139" t="n">
        <v>0.0002878318850667583</v>
      </c>
      <c r="T14" s="139" t="n">
        <v>0.2959629297012488</v>
      </c>
      <c r="U14" s="132" t="n">
        <v>0.6626591147376043</v>
      </c>
      <c r="V14" s="139" t="n">
        <v>0.3238880143381981</v>
      </c>
      <c r="W14" s="132" t="n">
        <v>2.289282967926118</v>
      </c>
      <c r="X14" s="139" t="n">
        <v>0.02206291665221216</v>
      </c>
      <c r="Y14" s="139" t="n">
        <v>0.05040848155522026</v>
      </c>
      <c r="Z14" s="132" t="n">
        <v>2.43314029001824</v>
      </c>
      <c r="AA14" s="139" t="n">
        <v>0.2620295554993791</v>
      </c>
      <c r="AB14" s="132" t="n">
        <v>2.035679626494002</v>
      </c>
      <c r="AC14" s="139" t="n">
        <v>0.04178253620892836</v>
      </c>
      <c r="AD14" s="139" t="n">
        <v>0.06160459493864556</v>
      </c>
      <c r="AE14" s="132" t="n">
        <v>-0.008701705940068361</v>
      </c>
      <c r="AF14" s="139" t="n">
        <v>-0.0007275168402570225</v>
      </c>
      <c r="AG14" s="132" t="n">
        <v>-0.006010523191808698</v>
      </c>
      <c r="AH14" s="139" t="n">
        <v>0.9952043252179945</v>
      </c>
      <c r="AI14" s="139" t="n">
        <v>3.216686337292884e-07</v>
      </c>
      <c r="AJ14" s="132" t="n">
        <v>0.2982402843671333</v>
      </c>
      <c r="AK14" s="132" t="n">
        <v>0</v>
      </c>
      <c r="AL14" s="139" t="n"/>
      <c r="AM14" s="139" t="n"/>
      <c r="AN14" s="139" t="n"/>
      <c r="AO14" s="139" t="n"/>
      <c r="AP14" s="139" t="n"/>
      <c r="AQ14" s="139" t="n"/>
      <c r="AR14" s="139" t="n"/>
    </row>
    <row r="15">
      <c r="C15" s="126" t="inlineStr">
        <is>
          <t>IBOV</t>
        </is>
      </c>
      <c r="D15" s="126" t="inlineStr">
        <is>
          <t>since_2022_ex_seams</t>
        </is>
      </c>
      <c r="E15" s="112" t="n">
        <v>44562</v>
      </c>
      <c r="F15" s="112" t="n">
        <v>46204</v>
      </c>
      <c r="G15" s="138" t="n">
        <v>52</v>
      </c>
      <c r="H15" s="139" t="n">
        <v>0.5628461890453108</v>
      </c>
      <c r="I15" s="139" t="n">
        <v>0.5153294704632794</v>
      </c>
      <c r="J15" s="138" t="n">
        <v>0</v>
      </c>
      <c r="K15" s="132" t="n">
        <v>-0.2537486584143023</v>
      </c>
      <c r="L15" s="139" t="n">
        <v>-0.006695245399023109</v>
      </c>
      <c r="M15" s="132" t="n">
        <v>-0.06716788430550454</v>
      </c>
      <c r="N15" s="139" t="n">
        <v>0.9464480519775598</v>
      </c>
      <c r="O15" s="139" t="n">
        <v>4.36618114388887e-05</v>
      </c>
      <c r="P15" s="132" t="n">
        <v>1.160931030616655</v>
      </c>
      <c r="Q15" s="139" t="n">
        <v>0.795625844399258</v>
      </c>
      <c r="R15" s="132" t="n">
        <v>3.886685190838934</v>
      </c>
      <c r="S15" s="139" t="n">
        <v>0.0001016224055567783</v>
      </c>
      <c r="T15" s="139" t="n">
        <v>0.3214359218566947</v>
      </c>
      <c r="U15" s="132" t="n">
        <v>0.7592700695540957</v>
      </c>
      <c r="V15" s="139" t="n">
        <v>0.3724674799682015</v>
      </c>
      <c r="W15" s="132" t="n">
        <v>2.56467717666676</v>
      </c>
      <c r="X15" s="139" t="n">
        <v>0.01032718388428089</v>
      </c>
      <c r="Y15" s="139" t="n">
        <v>0.06292158964585814</v>
      </c>
      <c r="Z15" s="132" t="n">
        <v>2.357031476751824</v>
      </c>
      <c r="AA15" s="139" t="n">
        <v>0.2537207480878076</v>
      </c>
      <c r="AB15" s="132" t="n">
        <v>2.016973541113618</v>
      </c>
      <c r="AC15" s="139" t="n">
        <v>0.04369827456223874</v>
      </c>
      <c r="AD15" s="139" t="n">
        <v>0.05773215114060193</v>
      </c>
      <c r="AE15" s="132" t="n">
        <v>-0.04140822536288954</v>
      </c>
      <c r="AF15" s="139" t="n">
        <v>-0.003449252198990837</v>
      </c>
      <c r="AG15" s="132" t="n">
        <v>-0.02791987409431512</v>
      </c>
      <c r="AH15" s="139" t="n">
        <v>0.9777260573864586</v>
      </c>
      <c r="AI15" s="139" t="n">
        <v>7.256253814924563e-06</v>
      </c>
      <c r="AJ15" s="132" t="n">
        <v>-0.2537486584143023</v>
      </c>
      <c r="AK15" s="132" t="n">
        <v>0</v>
      </c>
      <c r="AL15" s="139" t="n"/>
      <c r="AM15" s="139" t="n"/>
      <c r="AN15" s="139" t="n"/>
      <c r="AO15" s="139" t="n"/>
      <c r="AP15" s="139" t="n"/>
      <c r="AQ15" s="139" t="n"/>
      <c r="AR15" s="139" t="n"/>
    </row>
    <row r="16">
      <c r="C16" s="126" t="inlineStr">
        <is>
          <t>Communication Services</t>
        </is>
      </c>
      <c r="D16" s="126" t="inlineStr">
        <is>
          <t>full</t>
        </is>
      </c>
      <c r="E16" s="112" t="n">
        <v>39904</v>
      </c>
      <c r="F16" s="112" t="n">
        <v>46204</v>
      </c>
      <c r="G16" s="138" t="n">
        <v>208</v>
      </c>
      <c r="H16" s="139" t="n">
        <v>0.06317116315059434</v>
      </c>
      <c r="I16" s="139" t="n">
        <v>0.03998233055531208</v>
      </c>
      <c r="J16" s="138" t="n">
        <v>0</v>
      </c>
      <c r="K16" s="132" t="n">
        <v>-0.883540011863548</v>
      </c>
      <c r="L16" s="139" t="n">
        <v>-0.05941605254267802</v>
      </c>
      <c r="M16" s="132" t="n">
        <v>-0.852692663659449</v>
      </c>
      <c r="N16" s="139" t="n">
        <v>0.3938297603287682</v>
      </c>
      <c r="O16" s="139" t="n">
        <v>0.0028424686998203</v>
      </c>
      <c r="P16" s="132" t="n">
        <v>-0.03128925824252951</v>
      </c>
      <c r="Q16" s="139" t="n">
        <v>-0.0186741865574614</v>
      </c>
      <c r="R16" s="132" t="n">
        <v>-0.1255648588364499</v>
      </c>
      <c r="S16" s="139" t="n">
        <v>0.9000763813199093</v>
      </c>
      <c r="T16" s="139" t="n">
        <v>0.0001917162507297787</v>
      </c>
      <c r="U16" s="132" t="n">
        <v>-0.308193619726941</v>
      </c>
      <c r="V16" s="139" t="n">
        <v>-0.1777721884788056</v>
      </c>
      <c r="W16" s="132" t="n">
        <v>-1.255315450615559</v>
      </c>
      <c r="X16" s="139" t="n">
        <v>0.2093642684944914</v>
      </c>
      <c r="Y16" s="139" t="n">
        <v>0.01635425803492085</v>
      </c>
      <c r="Z16" s="132" t="n">
        <v>2.764655203099809</v>
      </c>
      <c r="AA16" s="139" t="n">
        <v>0.230423904254122</v>
      </c>
      <c r="AB16" s="132" t="n">
        <v>2.312387712578633</v>
      </c>
      <c r="AC16" s="139" t="n">
        <v>0.02075632688560392</v>
      </c>
      <c r="AD16" s="139" t="n">
        <v>0.03888496264872743</v>
      </c>
      <c r="AE16" s="132" t="n">
        <v>-0.3152832859132041</v>
      </c>
      <c r="AF16" s="139" t="n">
        <v>-0.02645322551013174</v>
      </c>
      <c r="AG16" s="132" t="n">
        <v>-0.2535059752184238</v>
      </c>
      <c r="AH16" s="139" t="n">
        <v>0.7998772443851705</v>
      </c>
      <c r="AI16" s="139" t="n">
        <v>0.0004588447434689114</v>
      </c>
      <c r="AJ16" s="132" t="n">
        <v>5.968952397629377</v>
      </c>
      <c r="AK16" s="132" t="n">
        <v>-6.852492409492926</v>
      </c>
      <c r="AL16" s="139" t="n">
        <v>2.401972873045111e-06</v>
      </c>
      <c r="AM16" s="139" t="n">
        <v>0.433212736361645</v>
      </c>
      <c r="AN16" s="139" t="n">
        <v>0.9866714792407835</v>
      </c>
      <c r="AO16" s="139" t="n">
        <v>0.5033100362593185</v>
      </c>
      <c r="AP16" s="139" t="n">
        <v>0.2246705158112964</v>
      </c>
      <c r="AQ16" s="139" t="n">
        <v>0.8372413255272277</v>
      </c>
      <c r="AR16" s="139" t="n">
        <v>8.807233867832073e-06</v>
      </c>
    </row>
    <row r="17">
      <c r="C17" s="126" t="inlineStr">
        <is>
          <t>Communication Services</t>
        </is>
      </c>
      <c r="D17" s="126" t="inlineStr">
        <is>
          <t>ex_2013_14</t>
        </is>
      </c>
      <c r="E17" s="112" t="n">
        <v>39904</v>
      </c>
      <c r="F17" s="112" t="n">
        <v>46204</v>
      </c>
      <c r="G17" s="138" t="n">
        <v>184</v>
      </c>
      <c r="H17" s="139" t="n">
        <v>0.07607061262603543</v>
      </c>
      <c r="I17" s="139" t="n">
        <v>0.05011753994699142</v>
      </c>
      <c r="J17" s="138" t="n">
        <v>0</v>
      </c>
      <c r="K17" s="132" t="n">
        <v>-1.055145497217587</v>
      </c>
      <c r="L17" s="139" t="n">
        <v>-0.07550815951397988</v>
      </c>
      <c r="M17" s="132" t="n">
        <v>-0.9458722207781625</v>
      </c>
      <c r="N17" s="139" t="n">
        <v>0.3442137637735818</v>
      </c>
      <c r="O17" s="139" t="n">
        <v>0.004571008922090392</v>
      </c>
      <c r="P17" s="132" t="n">
        <v>-0.1388313763371873</v>
      </c>
      <c r="Q17" s="139" t="n">
        <v>-0.08531478583911827</v>
      </c>
      <c r="R17" s="132" t="n">
        <v>-0.5167801585801381</v>
      </c>
      <c r="S17" s="139" t="n">
        <v>0.6053096322505283</v>
      </c>
      <c r="T17" s="139" t="n">
        <v>0.003861916573012381</v>
      </c>
      <c r="U17" s="132" t="n">
        <v>-0.406757780165741</v>
      </c>
      <c r="V17" s="139" t="n">
        <v>-0.2414545590732794</v>
      </c>
      <c r="W17" s="132" t="n">
        <v>-1.509005773789593</v>
      </c>
      <c r="X17" s="139" t="n">
        <v>0.1312973072902772</v>
      </c>
      <c r="Y17" s="139" t="n">
        <v>0.02988917599446439</v>
      </c>
      <c r="Z17" s="132" t="n">
        <v>2.741022214609645</v>
      </c>
      <c r="AA17" s="139" t="n">
        <v>0.2439137469895863</v>
      </c>
      <c r="AB17" s="132" t="n">
        <v>2.291007074707301</v>
      </c>
      <c r="AC17" s="139" t="n">
        <v>0.02196300448710264</v>
      </c>
      <c r="AD17" s="139" t="n">
        <v>0.04182237807160261</v>
      </c>
      <c r="AE17" s="132" t="n">
        <v>-0.1358128626900373</v>
      </c>
      <c r="AF17" s="139" t="n">
        <v>-0.01180511194899408</v>
      </c>
      <c r="AG17" s="132" t="n">
        <v>-0.1166073922955668</v>
      </c>
      <c r="AH17" s="139" t="n">
        <v>0.9071711794881825</v>
      </c>
      <c r="AI17" s="139" t="n">
        <v>8.65253057288351e-05</v>
      </c>
      <c r="AJ17" s="132" t="n">
        <v>6.179005187471408</v>
      </c>
      <c r="AK17" s="132" t="n">
        <v>-7.234150684688998</v>
      </c>
      <c r="AL17" s="139" t="n">
        <v>7.848961884882044e-07</v>
      </c>
      <c r="AM17" s="139" t="n">
        <v>0.4207057112788222</v>
      </c>
      <c r="AN17" s="139" t="n">
        <v>0.9662546132430333</v>
      </c>
      <c r="AO17" s="139" t="n">
        <v>0.3610675950482624</v>
      </c>
      <c r="AP17" s="139" t="n">
        <v>0.2415930493581291</v>
      </c>
      <c r="AQ17" s="139" t="n">
        <v>0.9683227461635778</v>
      </c>
      <c r="AR17" s="139" t="n">
        <v>2.877952691123416e-06</v>
      </c>
    </row>
    <row r="18">
      <c r="C18" s="126" t="inlineStr">
        <is>
          <t>Communication Services</t>
        </is>
      </c>
      <c r="D18" s="126" t="inlineStr">
        <is>
          <t>ex_2020_21</t>
        </is>
      </c>
      <c r="E18" s="112" t="n">
        <v>39904</v>
      </c>
      <c r="F18" s="112" t="n">
        <v>46204</v>
      </c>
      <c r="G18" s="138" t="n">
        <v>184</v>
      </c>
      <c r="H18" s="139" t="n">
        <v>0.08321338194884342</v>
      </c>
      <c r="I18" s="139" t="n">
        <v>0.05746094885751873</v>
      </c>
      <c r="J18" s="138" t="n">
        <v>0</v>
      </c>
      <c r="K18" s="132" t="n">
        <v>-0.7398567885381091</v>
      </c>
      <c r="L18" s="139" t="n">
        <v>-0.03306912039235708</v>
      </c>
      <c r="M18" s="132" t="n">
        <v>-0.4280114301841053</v>
      </c>
      <c r="N18" s="139" t="n">
        <v>0.6686427986451651</v>
      </c>
      <c r="O18" s="139" t="n">
        <v>0.000904006239691002</v>
      </c>
      <c r="P18" s="132" t="n">
        <v>-0.004009908497659115</v>
      </c>
      <c r="Q18" s="139" t="n">
        <v>-0.00213359016121316</v>
      </c>
      <c r="R18" s="132" t="n">
        <v>-0.01395553919325524</v>
      </c>
      <c r="S18" s="139" t="n">
        <v>0.9888654521631886</v>
      </c>
      <c r="T18" s="139" t="n">
        <v>2.739791796546598e-06</v>
      </c>
      <c r="U18" s="132" t="n">
        <v>-0.35286327976802</v>
      </c>
      <c r="V18" s="139" t="n">
        <v>-0.1841060462145501</v>
      </c>
      <c r="W18" s="132" t="n">
        <v>-1.226951794741708</v>
      </c>
      <c r="X18" s="139" t="n">
        <v>0.2198407095691008</v>
      </c>
      <c r="Y18" s="139" t="n">
        <v>0.01786789867802674</v>
      </c>
      <c r="Z18" s="132" t="n">
        <v>3.569944136086451</v>
      </c>
      <c r="AA18" s="139" t="n">
        <v>0.2573026800828999</v>
      </c>
      <c r="AB18" s="132" t="n">
        <v>2.504011313175775</v>
      </c>
      <c r="AC18" s="139" t="n">
        <v>0.01227941077295513</v>
      </c>
      <c r="AD18" s="139" t="n">
        <v>0.05117773072627718</v>
      </c>
      <c r="AE18" s="132" t="n">
        <v>0.2907436342099993</v>
      </c>
      <c r="AF18" s="139" t="n">
        <v>0.02023532869600153</v>
      </c>
      <c r="AG18" s="132" t="n">
        <v>0.1860411348126378</v>
      </c>
      <c r="AH18" s="139" t="n">
        <v>0.8524125034726469</v>
      </c>
      <c r="AI18" s="139" t="n">
        <v>0.0003085156501896336</v>
      </c>
      <c r="AJ18" s="132" t="n">
        <v>3.849139829068014</v>
      </c>
      <c r="AK18" s="132" t="n">
        <v>-4.588996617606125</v>
      </c>
      <c r="AL18" s="139" t="n">
        <v>0.02676423949596218</v>
      </c>
      <c r="AM18" s="139" t="n">
        <v>0.7487098281381741</v>
      </c>
      <c r="AN18" s="139" t="n">
        <v>0.9888654521631886</v>
      </c>
      <c r="AO18" s="139" t="n">
        <v>0.4234185263265951</v>
      </c>
      <c r="AP18" s="139" t="n">
        <v>0.06753675925125324</v>
      </c>
      <c r="AQ18" s="139" t="n">
        <v>0.852412503472647</v>
      </c>
      <c r="AR18" s="139" t="n">
        <v>0.098135544818528</v>
      </c>
    </row>
    <row r="19">
      <c r="C19" s="126" t="inlineStr">
        <is>
          <t>Communication Services</t>
        </is>
      </c>
      <c r="D19" s="126" t="inlineStr">
        <is>
          <t>clean</t>
        </is>
      </c>
      <c r="E19" s="112" t="n">
        <v>39904</v>
      </c>
      <c r="F19" s="112" t="n">
        <v>46204</v>
      </c>
      <c r="G19" s="138" t="n">
        <v>160</v>
      </c>
      <c r="H19" s="139" t="n">
        <v>0.1019146720410368</v>
      </c>
      <c r="I19" s="139" t="n">
        <v>0.07275605749691449</v>
      </c>
      <c r="J19" s="138" t="n">
        <v>0</v>
      </c>
      <c r="K19" s="132" t="n">
        <v>-1.42360581414432</v>
      </c>
      <c r="L19" s="139" t="n">
        <v>-0.06642529438183913</v>
      </c>
      <c r="M19" s="132" t="n">
        <v>-0.7477053023992102</v>
      </c>
      <c r="N19" s="139" t="n">
        <v>0.4546379321682958</v>
      </c>
      <c r="O19" s="139" t="n">
        <v>0.003676361203800105</v>
      </c>
      <c r="P19" s="132" t="n">
        <v>-0.1522009352803948</v>
      </c>
      <c r="Q19" s="139" t="n">
        <v>-0.08265542952507653</v>
      </c>
      <c r="R19" s="132" t="n">
        <v>-0.4824356014770666</v>
      </c>
      <c r="S19" s="139" t="n">
        <v>0.6294965356011621</v>
      </c>
      <c r="T19" s="139" t="n">
        <v>0.004013498187507958</v>
      </c>
      <c r="U19" s="132" t="n">
        <v>-0.4914021776364375</v>
      </c>
      <c r="V19" s="139" t="n">
        <v>-0.2606045390854728</v>
      </c>
      <c r="W19" s="132" t="n">
        <v>-1.530995553467601</v>
      </c>
      <c r="X19" s="139" t="n">
        <v>0.1257704916016742</v>
      </c>
      <c r="Y19" s="139" t="n">
        <v>0.03575036976838464</v>
      </c>
      <c r="Z19" s="132" t="n">
        <v>3.492705956329752</v>
      </c>
      <c r="AA19" s="139" t="n">
        <v>0.2670987916576827</v>
      </c>
      <c r="AB19" s="132" t="n">
        <v>2.488625902669093</v>
      </c>
      <c r="AC19" s="139" t="n">
        <v>0.01282378227327263</v>
      </c>
      <c r="AD19" s="139" t="n">
        <v>0.05343982074393261</v>
      </c>
      <c r="AE19" s="132" t="n">
        <v>0.6811491629801252</v>
      </c>
      <c r="AF19" s="139" t="n">
        <v>0.04748760541224445</v>
      </c>
      <c r="AG19" s="132" t="n">
        <v>0.475162800459946</v>
      </c>
      <c r="AH19" s="139" t="n">
        <v>0.6346709393399252</v>
      </c>
      <c r="AI19" s="139" t="n">
        <v>0.001657914135963834</v>
      </c>
      <c r="AJ19" s="132" t="n">
        <v>4.166800677918155</v>
      </c>
      <c r="AK19" s="132" t="n">
        <v>-5.590406492062472</v>
      </c>
      <c r="AL19" s="139" t="n">
        <v>0.01156834884429769</v>
      </c>
      <c r="AM19" s="139" t="n">
        <v>0.7144310362644648</v>
      </c>
      <c r="AN19" s="139" t="n">
        <v>0.7181676281313339</v>
      </c>
      <c r="AO19" s="139" t="n">
        <v>0.2737209695649228</v>
      </c>
      <c r="AP19" s="139" t="n">
        <v>0.07053080250299948</v>
      </c>
      <c r="AQ19" s="139" t="n">
        <v>0.6981380332739178</v>
      </c>
      <c r="AR19" s="139" t="n">
        <v>0.06362591864363731</v>
      </c>
    </row>
    <row r="20">
      <c r="C20" s="126" t="inlineStr">
        <is>
          <t>Communication Services</t>
        </is>
      </c>
      <c r="D20" s="126" t="inlineStr">
        <is>
          <t>ex_seams</t>
        </is>
      </c>
      <c r="E20" s="112" t="n">
        <v>39904</v>
      </c>
      <c r="F20" s="112" t="n">
        <v>46204</v>
      </c>
      <c r="G20" s="138" t="n">
        <v>193</v>
      </c>
      <c r="H20" s="139" t="n">
        <v>0.07669219709475894</v>
      </c>
      <c r="I20" s="139" t="n">
        <v>0.05200482268552797</v>
      </c>
      <c r="J20" s="138" t="n">
        <v>0</v>
      </c>
      <c r="K20" s="132" t="n">
        <v>-0.4563795373955875</v>
      </c>
      <c r="L20" s="139" t="n">
        <v>-0.03118162279553999</v>
      </c>
      <c r="M20" s="132" t="n">
        <v>-0.4179358068691043</v>
      </c>
      <c r="N20" s="139" t="n">
        <v>0.6759940518784902</v>
      </c>
      <c r="O20" s="139" t="n">
        <v>0.0007929271916206071</v>
      </c>
      <c r="P20" s="132" t="n">
        <v>-0.1201934110515085</v>
      </c>
      <c r="Q20" s="139" t="n">
        <v>-0.07035667339630103</v>
      </c>
      <c r="R20" s="132" t="n">
        <v>-0.5241191036461282</v>
      </c>
      <c r="S20" s="139" t="n">
        <v>0.6001957021418398</v>
      </c>
      <c r="T20" s="139" t="n">
        <v>0.002843926725725421</v>
      </c>
      <c r="U20" s="132" t="n">
        <v>-0.3243274198767141</v>
      </c>
      <c r="V20" s="139" t="n">
        <v>-0.1863798477964846</v>
      </c>
      <c r="W20" s="132" t="n">
        <v>-1.3160974366094</v>
      </c>
      <c r="X20" s="139" t="n">
        <v>0.1881413412479684</v>
      </c>
      <c r="Y20" s="139" t="n">
        <v>0.01868517935460867</v>
      </c>
      <c r="Z20" s="132" t="n">
        <v>3.320480449756495</v>
      </c>
      <c r="AA20" s="139" t="n">
        <v>0.2717779040383032</v>
      </c>
      <c r="AB20" s="132" t="n">
        <v>2.602537571554884</v>
      </c>
      <c r="AC20" s="139" t="n">
        <v>0.00925366751647605</v>
      </c>
      <c r="AD20" s="139" t="n">
        <v>0.05488258996752704</v>
      </c>
      <c r="AE20" s="132" t="n">
        <v>-0.7477882158119704</v>
      </c>
      <c r="AF20" s="139" t="n">
        <v>-0.06283941280982193</v>
      </c>
      <c r="AG20" s="132" t="n">
        <v>-0.589958605094235</v>
      </c>
      <c r="AH20" s="139" t="n">
        <v>0.555218402083429</v>
      </c>
      <c r="AI20" s="139" t="n">
        <v>0.002650176663400283</v>
      </c>
      <c r="AJ20" s="132" t="n">
        <v>6.257300955716724</v>
      </c>
      <c r="AK20" s="132" t="n">
        <v>-6.713680493112314</v>
      </c>
      <c r="AL20" s="139" t="n">
        <v>7.366251579377092e-06</v>
      </c>
      <c r="AM20" s="139" t="n">
        <v>0.6759940518784902</v>
      </c>
      <c r="AN20" s="139" t="n">
        <v>0.8090555968373689</v>
      </c>
      <c r="AO20" s="139" t="n">
        <v>0.3947787351799538</v>
      </c>
      <c r="AP20" s="139" t="n">
        <v>0.1017903426812365</v>
      </c>
      <c r="AQ20" s="139" t="n">
        <v>0.6786002692130799</v>
      </c>
      <c r="AR20" s="139" t="n">
        <v>2.700958912438267e-05</v>
      </c>
    </row>
    <row r="21">
      <c r="C21" s="126" t="inlineStr">
        <is>
          <t>Communication Services</t>
        </is>
      </c>
      <c r="D21" s="126" t="inlineStr">
        <is>
          <t>audit_clean</t>
        </is>
      </c>
      <c r="E21" s="112" t="n">
        <v>39904</v>
      </c>
      <c r="F21" s="112" t="n">
        <v>46204</v>
      </c>
      <c r="G21" s="138" t="n">
        <v>151</v>
      </c>
      <c r="H21" s="139" t="n">
        <v>0.1032810648379918</v>
      </c>
      <c r="I21" s="139" t="n">
        <v>0.07235972224619847</v>
      </c>
      <c r="J21" s="138" t="n">
        <v>0</v>
      </c>
      <c r="K21" s="132" t="n">
        <v>-1.341591740132321</v>
      </c>
      <c r="L21" s="139" t="n">
        <v>-0.06226055784999246</v>
      </c>
      <c r="M21" s="132" t="n">
        <v>-0.6501079187065504</v>
      </c>
      <c r="N21" s="139" t="n">
        <v>0.5156225145381561</v>
      </c>
      <c r="O21" s="139" t="n">
        <v>0.003209780228642489</v>
      </c>
      <c r="P21" s="132" t="n">
        <v>-0.180619094443868</v>
      </c>
      <c r="Q21" s="139" t="n">
        <v>-0.09591023739898266</v>
      </c>
      <c r="R21" s="132" t="n">
        <v>-0.6046006459415331</v>
      </c>
      <c r="S21" s="139" t="n">
        <v>0.5454443773767197</v>
      </c>
      <c r="T21" s="139" t="n">
        <v>0.005321768764018131</v>
      </c>
      <c r="U21" s="132" t="n">
        <v>-0.5096114581643711</v>
      </c>
      <c r="V21" s="139" t="n">
        <v>-0.2682926784812775</v>
      </c>
      <c r="W21" s="132" t="n">
        <v>-1.545711112719858</v>
      </c>
      <c r="X21" s="139" t="n">
        <v>0.1221743522240213</v>
      </c>
      <c r="Y21" s="139" t="n">
        <v>0.03737589244006245</v>
      </c>
      <c r="Z21" s="132" t="n">
        <v>3.655278020601826</v>
      </c>
      <c r="AA21" s="139" t="n">
        <v>0.2645668685651993</v>
      </c>
      <c r="AB21" s="132" t="n">
        <v>2.543762974453145</v>
      </c>
      <c r="AC21" s="139" t="n">
        <v>0.01096654726340818</v>
      </c>
      <c r="AD21" s="139" t="n">
        <v>0.05497848371349057</v>
      </c>
      <c r="AE21" s="132" t="n">
        <v>0.8099447854647558</v>
      </c>
      <c r="AF21" s="139" t="n">
        <v>0.05424604630491385</v>
      </c>
      <c r="AG21" s="132" t="n">
        <v>0.5413797975584467</v>
      </c>
      <c r="AH21" s="139" t="n">
        <v>0.5882458290706729</v>
      </c>
      <c r="AI21" s="139" t="n">
        <v>0.002278022686716064</v>
      </c>
      <c r="AJ21" s="132" t="n">
        <v>4.442488062949742</v>
      </c>
      <c r="AK21" s="132" t="n">
        <v>-5.78407980308206</v>
      </c>
      <c r="AL21" s="139" t="n">
        <v>0.01640686793298674</v>
      </c>
      <c r="AM21" s="139" t="n">
        <v>0.6992771055179756</v>
      </c>
      <c r="AN21" s="139" t="n">
        <v>0.9581476092413563</v>
      </c>
      <c r="AO21" s="139" t="n">
        <v>0.273226374132121</v>
      </c>
      <c r="AP21" s="139" t="n">
        <v>0.06031600994874498</v>
      </c>
      <c r="AQ21" s="139" t="n">
        <v>0.6470704119777402</v>
      </c>
      <c r="AR21" s="139" t="n">
        <v>0.06015851575428469</v>
      </c>
    </row>
    <row r="22">
      <c r="C22" s="126" t="inlineStr">
        <is>
          <t>Communication Services</t>
        </is>
      </c>
      <c r="D22" s="126" t="inlineStr">
        <is>
          <t>since_2020</t>
        </is>
      </c>
      <c r="E22" s="112" t="n">
        <v>43831</v>
      </c>
      <c r="F22" s="112" t="n">
        <v>46204</v>
      </c>
      <c r="G22" s="138" t="n">
        <v>79</v>
      </c>
      <c r="H22" s="139" t="n">
        <v>0.186283874391133</v>
      </c>
      <c r="I22" s="139" t="n">
        <v>0.1305498931850463</v>
      </c>
      <c r="J22" s="138" t="n">
        <v>0</v>
      </c>
      <c r="K22" s="132" t="n">
        <v>-0.05378320270849386</v>
      </c>
      <c r="L22" s="139" t="n">
        <v>-0.009766855504864985</v>
      </c>
      <c r="M22" s="132" t="n">
        <v>-0.08016677609009722</v>
      </c>
      <c r="N22" s="139" t="n">
        <v>0.9361046139273366</v>
      </c>
      <c r="O22" s="139" t="n">
        <v>6.993226720297674e-05</v>
      </c>
      <c r="P22" s="132" t="n">
        <v>0.1301513591931397</v>
      </c>
      <c r="Q22" s="139" t="n">
        <v>0.1896022390050121</v>
      </c>
      <c r="R22" s="132" t="n">
        <v>1.082958285808888</v>
      </c>
      <c r="S22" s="139" t="n">
        <v>0.2788269389091074</v>
      </c>
      <c r="T22" s="139" t="n">
        <v>0.01733962972949765</v>
      </c>
      <c r="U22" s="132" t="n">
        <v>-0.03490828493736217</v>
      </c>
      <c r="V22" s="139" t="n">
        <v>-0.04192718616418426</v>
      </c>
      <c r="W22" s="132" t="n">
        <v>-0.2897190991189561</v>
      </c>
      <c r="X22" s="139" t="n">
        <v>0.7720311437123839</v>
      </c>
      <c r="Y22" s="139" t="n">
        <v>0.0008794238113288833</v>
      </c>
      <c r="Z22" s="132" t="n">
        <v>1.825364899877989</v>
      </c>
      <c r="AA22" s="139" t="n">
        <v>0.4158625914660457</v>
      </c>
      <c r="AB22" s="132" t="n">
        <v>2.518403958717671</v>
      </c>
      <c r="AC22" s="139" t="n">
        <v>0.01178880290050177</v>
      </c>
      <c r="AD22" s="139" t="n">
        <v>0.1247652399416258</v>
      </c>
      <c r="AE22" s="132" t="n">
        <v>-1.587272728971717</v>
      </c>
      <c r="AF22" s="139" t="n">
        <v>-0.3251448324202696</v>
      </c>
      <c r="AG22" s="132" t="n">
        <v>-1.755353741197886</v>
      </c>
      <c r="AH22" s="139" t="n">
        <v>0.07919881937688711</v>
      </c>
      <c r="AI22" s="139" t="n">
        <v>0.06381528779529255</v>
      </c>
      <c r="AJ22" s="132" t="n">
        <v>6.517266411873479</v>
      </c>
      <c r="AK22" s="132" t="n">
        <v>-6.571049614581968</v>
      </c>
      <c r="AL22" s="139" t="n">
        <v>1.736508899230493e-05</v>
      </c>
      <c r="AM22" s="139" t="n">
        <v>0.9361046139273366</v>
      </c>
      <c r="AN22" s="139" t="n">
        <v>0.5513720907474443</v>
      </c>
      <c r="AO22" s="139" t="n">
        <v>0.831904993950753</v>
      </c>
      <c r="AP22" s="139" t="n">
        <v>0.06483841595275974</v>
      </c>
      <c r="AQ22" s="139" t="n">
        <v>0.145197835524293</v>
      </c>
      <c r="AR22" s="139" t="n">
        <v>9.550798945767713e-05</v>
      </c>
    </row>
    <row r="23">
      <c r="C23" s="126" t="inlineStr">
        <is>
          <t>Communication Services</t>
        </is>
      </c>
      <c r="D23" s="126" t="inlineStr">
        <is>
          <t>since_2022</t>
        </is>
      </c>
      <c r="E23" s="112" t="n">
        <v>44562</v>
      </c>
      <c r="F23" s="112" t="n">
        <v>46204</v>
      </c>
      <c r="G23" s="138" t="n">
        <v>55</v>
      </c>
      <c r="H23" s="139" t="n">
        <v>0.3383204068173287</v>
      </c>
      <c r="I23" s="139" t="n">
        <v>0.2708020809823622</v>
      </c>
      <c r="J23" s="138" t="n">
        <v>0</v>
      </c>
      <c r="K23" s="132" t="n">
        <v>4.081376394847972</v>
      </c>
      <c r="L23" s="139" t="n">
        <v>0.1933339863636839</v>
      </c>
      <c r="M23" s="132" t="n">
        <v>1.358549605488751</v>
      </c>
      <c r="N23" s="139" t="n">
        <v>0.1742893534399799</v>
      </c>
      <c r="O23" s="139" t="n">
        <v>0.03624918356015228</v>
      </c>
      <c r="P23" s="132" t="n">
        <v>0.232463162980987</v>
      </c>
      <c r="Q23" s="139" t="n">
        <v>0.2915490232665865</v>
      </c>
      <c r="R23" s="132" t="n">
        <v>3.161625240845853</v>
      </c>
      <c r="S23" s="139" t="n">
        <v>0.001568913352484769</v>
      </c>
      <c r="T23" s="139" t="n">
        <v>0.04526765587681836</v>
      </c>
      <c r="U23" s="132" t="n">
        <v>0.1022446381223108</v>
      </c>
      <c r="V23" s="139" t="n">
        <v>0.08956447526639016</v>
      </c>
      <c r="W23" s="132" t="n">
        <v>0.4826330541281743</v>
      </c>
      <c r="X23" s="139" t="n">
        <v>0.6293563050626796</v>
      </c>
      <c r="Y23" s="139" t="n">
        <v>0.003854654283960368</v>
      </c>
      <c r="Z23" s="132" t="n">
        <v>2.179281716477474</v>
      </c>
      <c r="AA23" s="139" t="n">
        <v>0.4206172192119536</v>
      </c>
      <c r="AB23" s="132" t="n">
        <v>2.914018332509432</v>
      </c>
      <c r="AC23" s="139" t="n">
        <v>0.003568089525702423</v>
      </c>
      <c r="AD23" s="139" t="n">
        <v>0.1587400971641625</v>
      </c>
      <c r="AE23" s="132" t="n">
        <v>-2.638669116577899</v>
      </c>
      <c r="AF23" s="139" t="n">
        <v>-0.3953794786525183</v>
      </c>
      <c r="AG23" s="132" t="n">
        <v>-1.999196450171885</v>
      </c>
      <c r="AH23" s="139" t="n">
        <v>0.04558710251120357</v>
      </c>
      <c r="AI23" s="139" t="n">
        <v>0.09500596253432625</v>
      </c>
      <c r="AJ23" s="132" t="n">
        <v>0.2982402843671333</v>
      </c>
      <c r="AK23" s="132" t="n">
        <v>3.783136110480841</v>
      </c>
      <c r="AL23" s="139" t="n">
        <v>0.4740158041203291</v>
      </c>
      <c r="AM23" s="139" t="n">
        <v>0.6390609626132595</v>
      </c>
      <c r="AN23" s="139" t="n">
        <v>0.009353498314541686</v>
      </c>
      <c r="AO23" s="139" t="n">
        <v>0.7231921470233547</v>
      </c>
      <c r="AP23" s="139" t="n">
        <v>0.01308299492757555</v>
      </c>
      <c r="AQ23" s="139" t="n">
        <v>0.1671527092077464</v>
      </c>
      <c r="AR23" s="139" t="n">
        <v>0.9772311542052887</v>
      </c>
    </row>
    <row r="24">
      <c r="C24" s="126" t="inlineStr">
        <is>
          <t>Communication Services</t>
        </is>
      </c>
      <c r="D24" s="126" t="inlineStr">
        <is>
          <t>since_2022_ex_seams</t>
        </is>
      </c>
      <c r="E24" s="112" t="n">
        <v>44562</v>
      </c>
      <c r="F24" s="112" t="n">
        <v>46204</v>
      </c>
      <c r="G24" s="138" t="n">
        <v>52</v>
      </c>
      <c r="H24" s="139" t="n">
        <v>0.3488743812107209</v>
      </c>
      <c r="I24" s="139" t="n">
        <v>0.2780998574292776</v>
      </c>
      <c r="J24" s="138" t="n">
        <v>0</v>
      </c>
      <c r="K24" s="132" t="n">
        <v>4.385167485774207</v>
      </c>
      <c r="L24" s="139" t="n">
        <v>0.206547652754088</v>
      </c>
      <c r="M24" s="132" t="n">
        <v>1.481262075289488</v>
      </c>
      <c r="N24" s="139" t="n">
        <v>0.1385367503201025</v>
      </c>
      <c r="O24" s="139" t="n">
        <v>0.04155365963574964</v>
      </c>
      <c r="P24" s="132" t="n">
        <v>0.2230875165058359</v>
      </c>
      <c r="Q24" s="139" t="n">
        <v>0.2729286108443945</v>
      </c>
      <c r="R24" s="132" t="n">
        <v>2.490634477462657</v>
      </c>
      <c r="S24" s="139" t="n">
        <v>0.01275152297813387</v>
      </c>
      <c r="T24" s="139" t="n">
        <v>0.03782463754280219</v>
      </c>
      <c r="U24" s="132" t="n">
        <v>0.1005002181080936</v>
      </c>
      <c r="V24" s="139" t="n">
        <v>0.08800967520193527</v>
      </c>
      <c r="W24" s="132" t="n">
        <v>0.4848600847822994</v>
      </c>
      <c r="X24" s="139" t="n">
        <v>0.627775597975796</v>
      </c>
      <c r="Y24" s="139" t="n">
        <v>0.003513045715479501</v>
      </c>
      <c r="Z24" s="132" t="n">
        <v>2.257428798661581</v>
      </c>
      <c r="AA24" s="139" t="n">
        <v>0.4337864637203788</v>
      </c>
      <c r="AB24" s="132" t="n">
        <v>3.075617501491205</v>
      </c>
      <c r="AC24" s="139" t="n">
        <v>0.002100671391560782</v>
      </c>
      <c r="AD24" s="139" t="n">
        <v>0.1687554335208528</v>
      </c>
      <c r="AE24" s="132" t="n">
        <v>-2.7232163976445</v>
      </c>
      <c r="AF24" s="139" t="n">
        <v>-0.4049410631135442</v>
      </c>
      <c r="AG24" s="132" t="n">
        <v>-2.069348045539306</v>
      </c>
      <c r="AH24" s="139" t="n">
        <v>0.03851343811764307</v>
      </c>
      <c r="AI24" s="139" t="n">
        <v>0.1000106392303504</v>
      </c>
      <c r="AJ24" s="132" t="n">
        <v>-0.2537486584143023</v>
      </c>
      <c r="AK24" s="132" t="n">
        <v>4.638916144188507</v>
      </c>
      <c r="AL24" s="139" t="n">
        <v>0.3753120161813261</v>
      </c>
      <c r="AM24" s="139" t="n">
        <v>0.6845642455099491</v>
      </c>
      <c r="AN24" s="139" t="n">
        <v>0.1402667527594725</v>
      </c>
      <c r="AO24" s="139" t="n">
        <v>0.6905531577733756</v>
      </c>
      <c r="AP24" s="139" t="n">
        <v>0.007702461769056201</v>
      </c>
      <c r="AQ24" s="139" t="n">
        <v>0.1412159397646913</v>
      </c>
      <c r="AR24" s="139" t="n">
        <v>0.9127750527660768</v>
      </c>
    </row>
    <row r="25">
      <c r="C25" s="126" t="inlineStr">
        <is>
          <t>Consumer Discretionary</t>
        </is>
      </c>
      <c r="D25" s="126" t="inlineStr">
        <is>
          <t>full</t>
        </is>
      </c>
      <c r="E25" s="112" t="n">
        <v>39904</v>
      </c>
      <c r="F25" s="112" t="n">
        <v>46204</v>
      </c>
      <c r="G25" s="138" t="n">
        <v>208</v>
      </c>
      <c r="H25" s="139" t="n">
        <v>0.1927551340436495</v>
      </c>
      <c r="I25" s="139" t="n">
        <v>0.1727738254803736</v>
      </c>
      <c r="J25" s="138" t="n">
        <v>0</v>
      </c>
      <c r="K25" s="132" t="n">
        <v>3.92559497336404</v>
      </c>
      <c r="L25" s="139" t="n">
        <v>0.2756882411244894</v>
      </c>
      <c r="M25" s="132" t="n">
        <v>3.345768664314699</v>
      </c>
      <c r="N25" s="139" t="n">
        <v>0.0008205482341148151</v>
      </c>
      <c r="O25" s="139" t="n">
        <v>0.06119621847546464</v>
      </c>
      <c r="P25" s="132" t="n">
        <v>0.01508583661021246</v>
      </c>
      <c r="Q25" s="139" t="n">
        <v>0.009402665917781279</v>
      </c>
      <c r="R25" s="132" t="n">
        <v>0.0697005181663428</v>
      </c>
      <c r="S25" s="139" t="n">
        <v>0.9444320293495982</v>
      </c>
      <c r="T25" s="139" t="n">
        <v>4.860462001110566e-05</v>
      </c>
      <c r="U25" s="132" t="n">
        <v>-0.2025610805162579</v>
      </c>
      <c r="V25" s="139" t="n">
        <v>-0.1220200955370648</v>
      </c>
      <c r="W25" s="132" t="n">
        <v>-0.9934820851807908</v>
      </c>
      <c r="X25" s="139" t="n">
        <v>0.3204750766263225</v>
      </c>
      <c r="Y25" s="139" t="n">
        <v>0.00770488089029342</v>
      </c>
      <c r="Z25" s="132" t="n">
        <v>2.283156798116177</v>
      </c>
      <c r="AA25" s="139" t="n">
        <v>0.1987272734485525</v>
      </c>
      <c r="AB25" s="132" t="n">
        <v>1.969161321457486</v>
      </c>
      <c r="AC25" s="139" t="n">
        <v>0.04893456891293324</v>
      </c>
      <c r="AD25" s="139" t="n">
        <v>0.02892288243657704</v>
      </c>
      <c r="AE25" s="132" t="n">
        <v>1.904031701558468</v>
      </c>
      <c r="AF25" s="139" t="n">
        <v>0.1668349523219994</v>
      </c>
      <c r="AG25" s="132" t="n">
        <v>1.535827230655445</v>
      </c>
      <c r="AH25" s="139" t="n">
        <v>0.1245807592533805</v>
      </c>
      <c r="AI25" s="139" t="n">
        <v>0.01825082813440781</v>
      </c>
      <c r="AJ25" s="132" t="n">
        <v>5.968952397629377</v>
      </c>
      <c r="AK25" s="132" t="n">
        <v>-2.043357424265335</v>
      </c>
      <c r="AL25" s="139" t="n">
        <v>0.2329711168271935</v>
      </c>
      <c r="AM25" s="139" t="n">
        <v>0.009026030575262967</v>
      </c>
      <c r="AN25" s="139" t="n">
        <v>0.9866714792407835</v>
      </c>
      <c r="AO25" s="139" t="n">
        <v>0.5033100362593185</v>
      </c>
      <c r="AP25" s="139" t="n">
        <v>0.2246705158112964</v>
      </c>
      <c r="AQ25" s="139" t="n">
        <v>0.3635479687668071</v>
      </c>
      <c r="AR25" s="139" t="n">
        <v>0.2847424761221254</v>
      </c>
    </row>
    <row r="26">
      <c r="C26" s="126" t="inlineStr">
        <is>
          <t>Consumer Discretionary</t>
        </is>
      </c>
      <c r="D26" s="126" t="inlineStr">
        <is>
          <t>ex_2013_14</t>
        </is>
      </c>
      <c r="E26" s="112" t="n">
        <v>39904</v>
      </c>
      <c r="F26" s="112" t="n">
        <v>46204</v>
      </c>
      <c r="G26" s="138" t="n">
        <v>184</v>
      </c>
      <c r="H26" s="139" t="n">
        <v>0.2640832588475134</v>
      </c>
      <c r="I26" s="139" t="n">
        <v>0.2434114402758143</v>
      </c>
      <c r="J26" s="138" t="n">
        <v>0</v>
      </c>
      <c r="K26" s="132" t="n">
        <v>4.538925815437483</v>
      </c>
      <c r="L26" s="139" t="n">
        <v>0.3542791715015566</v>
      </c>
      <c r="M26" s="132" t="n">
        <v>4.382574440276152</v>
      </c>
      <c r="N26" s="139" t="n">
        <v>1.172850718833551e-05</v>
      </c>
      <c r="O26" s="139" t="n">
        <v>0.1006272352479063</v>
      </c>
      <c r="P26" s="132" t="n">
        <v>0.07617274238111582</v>
      </c>
      <c r="Q26" s="139" t="n">
        <v>0.0510560565921683</v>
      </c>
      <c r="R26" s="132" t="n">
        <v>0.3816370107194615</v>
      </c>
      <c r="S26" s="139" t="n">
        <v>0.7027306278131151</v>
      </c>
      <c r="T26" s="139" t="n">
        <v>0.001383084818579183</v>
      </c>
      <c r="U26" s="132" t="n">
        <v>-0.1408031790566926</v>
      </c>
      <c r="V26" s="139" t="n">
        <v>-0.09116392244047937</v>
      </c>
      <c r="W26" s="132" t="n">
        <v>-0.7360790727326499</v>
      </c>
      <c r="X26" s="139" t="n">
        <v>0.4616825777046309</v>
      </c>
      <c r="Y26" s="139" t="n">
        <v>0.004260780172763323</v>
      </c>
      <c r="Z26" s="132" t="n">
        <v>2.205377592873549</v>
      </c>
      <c r="AA26" s="139" t="n">
        <v>0.2140512071335312</v>
      </c>
      <c r="AB26" s="132" t="n">
        <v>1.833033332401798</v>
      </c>
      <c r="AC26" s="139" t="n">
        <v>0.06679761426921438</v>
      </c>
      <c r="AD26" s="139" t="n">
        <v>0.03220857647590147</v>
      </c>
      <c r="AE26" s="132" t="n">
        <v>1.663530649224299</v>
      </c>
      <c r="AF26" s="139" t="n">
        <v>0.1577142787883767</v>
      </c>
      <c r="AG26" s="132" t="n">
        <v>1.35703248199669</v>
      </c>
      <c r="AH26" s="139" t="n">
        <v>0.1747708898520335</v>
      </c>
      <c r="AI26" s="139" t="n">
        <v>0.0154434722246779</v>
      </c>
      <c r="AJ26" s="132" t="n">
        <v>6.179005187471408</v>
      </c>
      <c r="AK26" s="132" t="n">
        <v>-1.640079372033924</v>
      </c>
      <c r="AL26" s="139" t="n">
        <v>0.3335083844774471</v>
      </c>
      <c r="AM26" s="139" t="n">
        <v>0.0001290135790716906</v>
      </c>
      <c r="AN26" s="139" t="n">
        <v>0.9662546132430333</v>
      </c>
      <c r="AO26" s="139" t="n">
        <v>0.5642787060834379</v>
      </c>
      <c r="AP26" s="139" t="n">
        <v>0.2632026036499188</v>
      </c>
      <c r="AQ26" s="139" t="n">
        <v>0.3888261902065162</v>
      </c>
      <c r="AR26" s="139" t="n">
        <v>0.4076213588057687</v>
      </c>
    </row>
    <row r="27">
      <c r="C27" s="126" t="inlineStr">
        <is>
          <t>Consumer Discretionary</t>
        </is>
      </c>
      <c r="D27" s="126" t="inlineStr">
        <is>
          <t>ex_2020_21</t>
        </is>
      </c>
      <c r="E27" s="112" t="n">
        <v>39904</v>
      </c>
      <c r="F27" s="112" t="n">
        <v>46204</v>
      </c>
      <c r="G27" s="138" t="n">
        <v>184</v>
      </c>
      <c r="H27" s="139" t="n">
        <v>0.06364912114308985</v>
      </c>
      <c r="I27" s="139" t="n">
        <v>0.03734713016396318</v>
      </c>
      <c r="J27" s="138" t="n">
        <v>0</v>
      </c>
      <c r="K27" s="132" t="n">
        <v>2.447671839493641</v>
      </c>
      <c r="L27" s="139" t="n">
        <v>0.1259856449935484</v>
      </c>
      <c r="M27" s="132" t="n">
        <v>1.131329056623965</v>
      </c>
      <c r="N27" s="139" t="n">
        <v>0.2579166189111413</v>
      </c>
      <c r="O27" s="139" t="n">
        <v>0.0131210402905223</v>
      </c>
      <c r="P27" s="132" t="n">
        <v>0.04720799495048836</v>
      </c>
      <c r="Q27" s="139" t="n">
        <v>0.02892577374202401</v>
      </c>
      <c r="R27" s="132" t="n">
        <v>0.1961776128333373</v>
      </c>
      <c r="S27" s="139" t="n">
        <v>0.8444711499565125</v>
      </c>
      <c r="T27" s="139" t="n">
        <v>0.0005035765876371112</v>
      </c>
      <c r="U27" s="132" t="n">
        <v>-0.1162018550428394</v>
      </c>
      <c r="V27" s="139" t="n">
        <v>-0.06981802160494227</v>
      </c>
      <c r="W27" s="132" t="n">
        <v>-0.4928176695926978</v>
      </c>
      <c r="X27" s="139" t="n">
        <v>0.6221414245358077</v>
      </c>
      <c r="Y27" s="139" t="n">
        <v>0.002569641011007651</v>
      </c>
      <c r="Z27" s="132" t="n">
        <v>1.937375410291294</v>
      </c>
      <c r="AA27" s="139" t="n">
        <v>0.1608013035843598</v>
      </c>
      <c r="AB27" s="132" t="n">
        <v>1.377682708758252</v>
      </c>
      <c r="AC27" s="139" t="n">
        <v>0.1683012722550739</v>
      </c>
      <c r="AD27" s="139" t="n">
        <v>0.01998810101019111</v>
      </c>
      <c r="AE27" s="132" t="n">
        <v>1.614521506540965</v>
      </c>
      <c r="AF27" s="139" t="n">
        <v>0.1294007445862017</v>
      </c>
      <c r="AG27" s="132" t="n">
        <v>1.175704799273512</v>
      </c>
      <c r="AH27" s="139" t="n">
        <v>0.2397128601460567</v>
      </c>
      <c r="AI27" s="139" t="n">
        <v>0.01261624817800666</v>
      </c>
      <c r="AJ27" s="132" t="n">
        <v>3.849139829068014</v>
      </c>
      <c r="AK27" s="132" t="n">
        <v>-1.401467989574374</v>
      </c>
      <c r="AL27" s="139" t="n">
        <v>0.5735402393464533</v>
      </c>
      <c r="AM27" s="139" t="n">
        <v>0.7043878603541852</v>
      </c>
      <c r="AN27" s="139" t="n">
        <v>0.9289182649521639</v>
      </c>
      <c r="AO27" s="139" t="n">
        <v>0.8373060161960555</v>
      </c>
      <c r="AP27" s="139" t="n">
        <v>0.6171046649352708</v>
      </c>
      <c r="AQ27" s="139" t="n">
        <v>0.4394735769344374</v>
      </c>
      <c r="AR27" s="139" t="n">
        <v>0.6308942632810985</v>
      </c>
    </row>
    <row r="28">
      <c r="C28" s="126" t="inlineStr">
        <is>
          <t>Consumer Discretionary</t>
        </is>
      </c>
      <c r="D28" s="126" t="inlineStr">
        <is>
          <t>clean</t>
        </is>
      </c>
      <c r="E28" s="112" t="n">
        <v>39904</v>
      </c>
      <c r="F28" s="112" t="n">
        <v>46204</v>
      </c>
      <c r="G28" s="138" t="n">
        <v>160</v>
      </c>
      <c r="H28" s="139" t="n">
        <v>0.09774698160358963</v>
      </c>
      <c r="I28" s="139" t="n">
        <v>0.06845305243487498</v>
      </c>
      <c r="J28" s="138" t="n">
        <v>0</v>
      </c>
      <c r="K28" s="132" t="n">
        <v>3.87785693309109</v>
      </c>
      <c r="L28" s="139" t="n">
        <v>0.2245211736323114</v>
      </c>
      <c r="M28" s="132" t="n">
        <v>1.997866658466568</v>
      </c>
      <c r="N28" s="139" t="n">
        <v>0.0457311182048894</v>
      </c>
      <c r="O28" s="139" t="n">
        <v>0.04200159725874764</v>
      </c>
      <c r="P28" s="132" t="n">
        <v>0.1123000055558536</v>
      </c>
      <c r="Q28" s="139" t="n">
        <v>0.07567555768111296</v>
      </c>
      <c r="R28" s="132" t="n">
        <v>0.4932960484215719</v>
      </c>
      <c r="S28" s="139" t="n">
        <v>0.6218034200879758</v>
      </c>
      <c r="T28" s="139" t="n">
        <v>0.003364275533992767</v>
      </c>
      <c r="U28" s="132" t="n">
        <v>-0.03675306206823725</v>
      </c>
      <c r="V28" s="139" t="n">
        <v>-0.02418578643081826</v>
      </c>
      <c r="W28" s="132" t="n">
        <v>-0.1629416782454459</v>
      </c>
      <c r="X28" s="139" t="n">
        <v>0.8705643548234256</v>
      </c>
      <c r="Y28" s="139" t="n">
        <v>0.0003079193729585983</v>
      </c>
      <c r="Z28" s="132" t="n">
        <v>1.86285644921265</v>
      </c>
      <c r="AA28" s="139" t="n">
        <v>0.1767710227496773</v>
      </c>
      <c r="AB28" s="132" t="n">
        <v>1.285589407754488</v>
      </c>
      <c r="AC28" s="139" t="n">
        <v>0.1985863953478835</v>
      </c>
      <c r="AD28" s="139" t="n">
        <v>0.023406867427756</v>
      </c>
      <c r="AE28" s="132" t="n">
        <v>1.248724964733102</v>
      </c>
      <c r="AF28" s="139" t="n">
        <v>0.108025584317642</v>
      </c>
      <c r="AG28" s="132" t="n">
        <v>0.9114026347403509</v>
      </c>
      <c r="AH28" s="139" t="n">
        <v>0.3620832658940323</v>
      </c>
      <c r="AI28" s="139" t="n">
        <v>0.008579357033339341</v>
      </c>
      <c r="AJ28" s="132" t="n">
        <v>4.166800677918155</v>
      </c>
      <c r="AK28" s="132" t="n">
        <v>-0.2889437448270639</v>
      </c>
      <c r="AL28" s="139" t="n">
        <v>0.9053824929541239</v>
      </c>
      <c r="AM28" s="139" t="n">
        <v>0.1676807667512611</v>
      </c>
      <c r="AN28" s="139" t="n">
        <v>0.7181676281313339</v>
      </c>
      <c r="AO28" s="139" t="n">
        <v>0.8960101119446274</v>
      </c>
      <c r="AP28" s="139" t="n">
        <v>0.4368900697653436</v>
      </c>
      <c r="AQ28" s="139" t="n">
        <v>0.5689879892620507</v>
      </c>
      <c r="AR28" s="139" t="n">
        <v>0.9053824929541239</v>
      </c>
    </row>
    <row r="29">
      <c r="C29" s="126" t="inlineStr">
        <is>
          <t>Consumer Discretionary</t>
        </is>
      </c>
      <c r="D29" s="126" t="inlineStr">
        <is>
          <t>ex_seams</t>
        </is>
      </c>
      <c r="E29" s="112" t="n">
        <v>39904</v>
      </c>
      <c r="F29" s="112" t="n">
        <v>46204</v>
      </c>
      <c r="G29" s="138" t="n">
        <v>193</v>
      </c>
      <c r="H29" s="139" t="n">
        <v>0.1954939605457768</v>
      </c>
      <c r="I29" s="139" t="n">
        <v>0.1739831038758778</v>
      </c>
      <c r="J29" s="138" t="n">
        <v>0</v>
      </c>
      <c r="K29" s="132" t="n">
        <v>4.128321639343767</v>
      </c>
      <c r="L29" s="139" t="n">
        <v>0.300809527151171</v>
      </c>
      <c r="M29" s="132" t="n">
        <v>3.672190021572524</v>
      </c>
      <c r="N29" s="139" t="n">
        <v>0.0002404807585210111</v>
      </c>
      <c r="O29" s="139" t="n">
        <v>0.07379366121554554</v>
      </c>
      <c r="P29" s="132" t="n">
        <v>-0.1098408455441409</v>
      </c>
      <c r="Q29" s="139" t="n">
        <v>-0.0685699787809345</v>
      </c>
      <c r="R29" s="132" t="n">
        <v>-0.4841728401561582</v>
      </c>
      <c r="S29" s="139" t="n">
        <v>0.6282632103810517</v>
      </c>
      <c r="T29" s="139" t="n">
        <v>0.002701318785392592</v>
      </c>
      <c r="U29" s="132" t="n">
        <v>-0.2533139469021459</v>
      </c>
      <c r="V29" s="139" t="n">
        <v>-0.1552458138992918</v>
      </c>
      <c r="W29" s="132" t="n">
        <v>-1.289298543775795</v>
      </c>
      <c r="X29" s="139" t="n">
        <v>0.1972943170571817</v>
      </c>
      <c r="Y29" s="139" t="n">
        <v>0.01296400418335231</v>
      </c>
      <c r="Z29" s="132" t="n">
        <v>2.498216592899723</v>
      </c>
      <c r="AA29" s="139" t="n">
        <v>0.2180664317632675</v>
      </c>
      <c r="AB29" s="132" t="n">
        <v>1.907683279919566</v>
      </c>
      <c r="AC29" s="139" t="n">
        <v>0.05643216403880347</v>
      </c>
      <c r="AD29" s="139" t="n">
        <v>0.03533327897770633</v>
      </c>
      <c r="AE29" s="132" t="n">
        <v>1.641802475407297</v>
      </c>
      <c r="AF29" s="139" t="n">
        <v>0.1471363297639399</v>
      </c>
      <c r="AG29" s="132" t="n">
        <v>1.309491896289916</v>
      </c>
      <c r="AH29" s="139" t="n">
        <v>0.1903677809950524</v>
      </c>
      <c r="AI29" s="139" t="n">
        <v>0.01452949186681218</v>
      </c>
      <c r="AJ29" s="132" t="n">
        <v>6.257300955716724</v>
      </c>
      <c r="AK29" s="132" t="n">
        <v>-2.128979316372954</v>
      </c>
      <c r="AL29" s="139" t="n">
        <v>0.2047686413419427</v>
      </c>
      <c r="AM29" s="139" t="n">
        <v>0.002645288343731123</v>
      </c>
      <c r="AN29" s="139" t="n">
        <v>0.8090555968373689</v>
      </c>
      <c r="AO29" s="139" t="n">
        <v>0.3947787351799538</v>
      </c>
      <c r="AP29" s="139" t="n">
        <v>0.1551884511067095</v>
      </c>
      <c r="AQ29" s="139" t="n">
        <v>0.4188091181891152</v>
      </c>
      <c r="AR29" s="139" t="n">
        <v>0.2502727838623744</v>
      </c>
    </row>
    <row r="30">
      <c r="C30" s="126" t="inlineStr">
        <is>
          <t>Consumer Discretionary</t>
        </is>
      </c>
      <c r="D30" s="126" t="inlineStr">
        <is>
          <t>audit_clean</t>
        </is>
      </c>
      <c r="E30" s="112" t="n">
        <v>39904</v>
      </c>
      <c r="F30" s="112" t="n">
        <v>46204</v>
      </c>
      <c r="G30" s="138" t="n">
        <v>151</v>
      </c>
      <c r="H30" s="139" t="n">
        <v>0.08795004452529609</v>
      </c>
      <c r="I30" s="139" t="n">
        <v>0.05650004606065118</v>
      </c>
      <c r="J30" s="138" t="n">
        <v>0</v>
      </c>
      <c r="K30" s="132" t="n">
        <v>3.651566511074157</v>
      </c>
      <c r="L30" s="139" t="n">
        <v>0.219084187345269</v>
      </c>
      <c r="M30" s="132" t="n">
        <v>1.888654376910375</v>
      </c>
      <c r="N30" s="139" t="n">
        <v>0.05893815563569116</v>
      </c>
      <c r="O30" s="139" t="n">
        <v>0.03974397933424378</v>
      </c>
      <c r="P30" s="132" t="n">
        <v>0.02321735208552478</v>
      </c>
      <c r="Q30" s="139" t="n">
        <v>0.01593871035360106</v>
      </c>
      <c r="R30" s="132" t="n">
        <v>0.1013144221392759</v>
      </c>
      <c r="S30" s="139" t="n">
        <v>0.9193008678918129</v>
      </c>
      <c r="T30" s="139" t="n">
        <v>0.0001469712626032127</v>
      </c>
      <c r="U30" s="132" t="n">
        <v>-0.1079186550663631</v>
      </c>
      <c r="V30" s="139" t="n">
        <v>-0.07345229115923567</v>
      </c>
      <c r="W30" s="132" t="n">
        <v>-0.4904854042577286</v>
      </c>
      <c r="X30" s="139" t="n">
        <v>0.6237904556313889</v>
      </c>
      <c r="Y30" s="139" t="n">
        <v>0.002801461271100369</v>
      </c>
      <c r="Z30" s="132" t="n">
        <v>1.53716743925555</v>
      </c>
      <c r="AA30" s="139" t="n">
        <v>0.1438385857055924</v>
      </c>
      <c r="AB30" s="132" t="n">
        <v>1.022438801844126</v>
      </c>
      <c r="AC30" s="139" t="n">
        <v>0.3065732636246512</v>
      </c>
      <c r="AD30" s="139" t="n">
        <v>0.016250721680375</v>
      </c>
      <c r="AE30" s="132" t="n">
        <v>1.476834828476433</v>
      </c>
      <c r="AF30" s="139" t="n">
        <v>0.1278744527596974</v>
      </c>
      <c r="AG30" s="132" t="n">
        <v>1.052126662091658</v>
      </c>
      <c r="AH30" s="139" t="n">
        <v>0.2927414410775229</v>
      </c>
      <c r="AI30" s="139" t="n">
        <v>0.01265870970362915</v>
      </c>
      <c r="AJ30" s="132" t="n">
        <v>4.442488062949742</v>
      </c>
      <c r="AK30" s="132" t="n">
        <v>-0.7909215518755826</v>
      </c>
      <c r="AL30" s="139" t="n">
        <v>0.753447261981266</v>
      </c>
      <c r="AM30" s="139" t="n">
        <v>0.2161065706642009</v>
      </c>
      <c r="AN30" s="139" t="n">
        <v>0.9581476092413563</v>
      </c>
      <c r="AO30" s="139" t="n">
        <v>0.7624105568828087</v>
      </c>
      <c r="AP30" s="139" t="n">
        <v>0.4817579856958805</v>
      </c>
      <c r="AQ30" s="139" t="n">
        <v>0.4597175053008847</v>
      </c>
      <c r="AR30" s="139" t="n">
        <v>0.7648892435215306</v>
      </c>
    </row>
    <row r="31">
      <c r="C31" s="126" t="inlineStr">
        <is>
          <t>Consumer Discretionary</t>
        </is>
      </c>
      <c r="D31" s="126" t="inlineStr">
        <is>
          <t>since_2020</t>
        </is>
      </c>
      <c r="E31" s="112" t="n">
        <v>43831</v>
      </c>
      <c r="F31" s="112" t="n">
        <v>46204</v>
      </c>
      <c r="G31" s="138" t="n">
        <v>79</v>
      </c>
      <c r="H31" s="139" t="n">
        <v>0.3324190373724224</v>
      </c>
      <c r="I31" s="139" t="n">
        <v>0.2866943139047801</v>
      </c>
      <c r="J31" s="138" t="n">
        <v>0</v>
      </c>
      <c r="K31" s="132" t="n">
        <v>4.870679368193197</v>
      </c>
      <c r="L31" s="139" t="n">
        <v>0.3671924572420991</v>
      </c>
      <c r="M31" s="132" t="n">
        <v>3.142164669167334</v>
      </c>
      <c r="N31" s="139" t="n">
        <v>0.001677036891426287</v>
      </c>
      <c r="O31" s="139" t="n">
        <v>0.09884520034297417</v>
      </c>
      <c r="P31" s="132" t="n">
        <v>0.2998836528036213</v>
      </c>
      <c r="Q31" s="139" t="n">
        <v>0.1813608964005409</v>
      </c>
      <c r="R31" s="132" t="n">
        <v>0.9966030406257771</v>
      </c>
      <c r="S31" s="139" t="n">
        <v>0.3189572294801901</v>
      </c>
      <c r="T31" s="139" t="n">
        <v>0.015865004641064</v>
      </c>
      <c r="U31" s="132" t="n">
        <v>0.1483428439498515</v>
      </c>
      <c r="V31" s="139" t="n">
        <v>0.07396562190298334</v>
      </c>
      <c r="W31" s="132" t="n">
        <v>0.3543823416541106</v>
      </c>
      <c r="X31" s="139" t="n">
        <v>0.7230523663305033</v>
      </c>
      <c r="Y31" s="139" t="n">
        <v>0.002736948421453778</v>
      </c>
      <c r="Z31" s="132" t="n">
        <v>3.283785795209556</v>
      </c>
      <c r="AA31" s="139" t="n">
        <v>0.3105782853800698</v>
      </c>
      <c r="AB31" s="132" t="n">
        <v>1.552958971289181</v>
      </c>
      <c r="AC31" s="139" t="n">
        <v>0.1204329368221018</v>
      </c>
      <c r="AD31" s="139" t="n">
        <v>0.06958827499502951</v>
      </c>
      <c r="AE31" s="132" t="n">
        <v>-0.07806289552105661</v>
      </c>
      <c r="AF31" s="139" t="n">
        <v>-0.006638440473330467</v>
      </c>
      <c r="AG31" s="132" t="n">
        <v>-0.03426123541860945</v>
      </c>
      <c r="AH31" s="139" t="n">
        <v>0.9726688363635978</v>
      </c>
      <c r="AI31" s="139" t="n">
        <v>2.660131773668528e-05</v>
      </c>
      <c r="AJ31" s="132" t="n">
        <v>6.517266411873479</v>
      </c>
      <c r="AK31" s="132" t="n">
        <v>-1.646587043680276</v>
      </c>
      <c r="AL31" s="139" t="n">
        <v>0.4823384794732812</v>
      </c>
      <c r="AM31" s="139" t="n">
        <v>0.003689481161137831</v>
      </c>
      <c r="AN31" s="139" t="n">
        <v>0.5513720907474443</v>
      </c>
      <c r="AO31" s="139" t="n">
        <v>0.831904993950753</v>
      </c>
      <c r="AP31" s="139" t="n">
        <v>0.2434733509264441</v>
      </c>
      <c r="AQ31" s="139" t="n">
        <v>0.9726688363635977</v>
      </c>
      <c r="AR31" s="139" t="n">
        <v>0.5895248082451215</v>
      </c>
    </row>
    <row r="32">
      <c r="C32" s="126" t="inlineStr">
        <is>
          <t>Consumer Discretionary</t>
        </is>
      </c>
      <c r="D32" s="126" t="inlineStr">
        <is>
          <t>since_2022</t>
        </is>
      </c>
      <c r="E32" s="112" t="n">
        <v>44562</v>
      </c>
      <c r="F32" s="112" t="n">
        <v>46204</v>
      </c>
      <c r="G32" s="138" t="n">
        <v>55</v>
      </c>
      <c r="H32" s="139" t="n">
        <v>0.3036758566825378</v>
      </c>
      <c r="I32" s="139" t="n">
        <v>0.232622372670552</v>
      </c>
      <c r="J32" s="138" t="n">
        <v>0</v>
      </c>
      <c r="K32" s="132" t="n">
        <v>-1.387094654738889</v>
      </c>
      <c r="L32" s="139" t="n">
        <v>-0.03031324712635297</v>
      </c>
      <c r="M32" s="132" t="n">
        <v>-0.1709221583963787</v>
      </c>
      <c r="N32" s="139" t="n">
        <v>0.8642849731631006</v>
      </c>
      <c r="O32" s="139" t="n">
        <v>0.000891141641572446</v>
      </c>
      <c r="P32" s="132" t="n">
        <v>0.8259860729720208</v>
      </c>
      <c r="Q32" s="139" t="n">
        <v>0.4779197491726909</v>
      </c>
      <c r="R32" s="132" t="n">
        <v>3.138071123722669</v>
      </c>
      <c r="S32" s="139" t="n">
        <v>0.001700636057189397</v>
      </c>
      <c r="T32" s="139" t="n">
        <v>0.1216395427057358</v>
      </c>
      <c r="U32" s="132" t="n">
        <v>1.536915886355189</v>
      </c>
      <c r="V32" s="139" t="n">
        <v>0.6211123259496815</v>
      </c>
      <c r="W32" s="132" t="n">
        <v>3.061619179874838</v>
      </c>
      <c r="X32" s="139" t="n">
        <v>0.002201433343129278</v>
      </c>
      <c r="Y32" s="139" t="n">
        <v>0.1853762776378151</v>
      </c>
      <c r="Z32" s="132" t="n">
        <v>3.862937127586884</v>
      </c>
      <c r="AA32" s="139" t="n">
        <v>0.3439664758341686</v>
      </c>
      <c r="AB32" s="132" t="n">
        <v>1.527276698439713</v>
      </c>
      <c r="AC32" s="139" t="n">
        <v>0.1266922211825983</v>
      </c>
      <c r="AD32" s="139" t="n">
        <v>0.1061560571745431</v>
      </c>
      <c r="AE32" s="132" t="n">
        <v>-6.299339587919677</v>
      </c>
      <c r="AF32" s="139" t="n">
        <v>-0.4354607497855048</v>
      </c>
      <c r="AG32" s="132" t="n">
        <v>-2.629208156911987</v>
      </c>
      <c r="AH32" s="139" t="n">
        <v>0.008558395646113048</v>
      </c>
      <c r="AI32" s="139" t="n">
        <v>0.1152446160871834</v>
      </c>
      <c r="AJ32" s="132" t="n">
        <v>0.2982402843671333</v>
      </c>
      <c r="AK32" s="132" t="n">
        <v>-1.685334939106017</v>
      </c>
      <c r="AL32" s="139" t="n">
        <v>0.8200860465305913</v>
      </c>
      <c r="AM32" s="139" t="n">
        <v>0.9072887452862399</v>
      </c>
      <c r="AN32" s="139" t="n">
        <v>0.009353498314541686</v>
      </c>
      <c r="AO32" s="139" t="n">
        <v>0.01210788338721103</v>
      </c>
      <c r="AP32" s="139" t="n">
        <v>0.2787228866017162</v>
      </c>
      <c r="AQ32" s="139" t="n">
        <v>0.04707117605362177</v>
      </c>
      <c r="AR32" s="139" t="n">
        <v>0.9772311542052887</v>
      </c>
    </row>
    <row r="33">
      <c r="C33" s="126" t="inlineStr">
        <is>
          <t>Consumer Discretionary</t>
        </is>
      </c>
      <c r="D33" s="126" t="inlineStr">
        <is>
          <t>since_2022_ex_seams</t>
        </is>
      </c>
      <c r="E33" s="112" t="n">
        <v>44562</v>
      </c>
      <c r="F33" s="112" t="n">
        <v>46204</v>
      </c>
      <c r="G33" s="138" t="n">
        <v>52</v>
      </c>
      <c r="H33" s="139" t="n">
        <v>0.275973910104491</v>
      </c>
      <c r="I33" s="139" t="n">
        <v>0.1972754220723705</v>
      </c>
      <c r="J33" s="138" t="n">
        <v>0</v>
      </c>
      <c r="K33" s="132" t="n">
        <v>-1.874984699458613</v>
      </c>
      <c r="L33" s="139" t="n">
        <v>-0.04439566193057193</v>
      </c>
      <c r="M33" s="132" t="n">
        <v>-0.2142830330883151</v>
      </c>
      <c r="N33" s="139" t="n">
        <v>0.8303263483856891</v>
      </c>
      <c r="O33" s="139" t="n">
        <v>0.001919772744227277</v>
      </c>
      <c r="P33" s="132" t="n">
        <v>0.6649845638665881</v>
      </c>
      <c r="Q33" s="139" t="n">
        <v>0.4089724838240958</v>
      </c>
      <c r="R33" s="132" t="n">
        <v>2.178569843370872</v>
      </c>
      <c r="S33" s="139" t="n">
        <v>0.02936363847948131</v>
      </c>
      <c r="T33" s="139" t="n">
        <v>0.08493072352105946</v>
      </c>
      <c r="U33" s="132" t="n">
        <v>1.360054263915425</v>
      </c>
      <c r="V33" s="139" t="n">
        <v>0.5987263601175425</v>
      </c>
      <c r="W33" s="132" t="n">
        <v>2.441256413617244</v>
      </c>
      <c r="X33" s="139" t="n">
        <v>0.01463625849742667</v>
      </c>
      <c r="Y33" s="139" t="n">
        <v>0.1625847184755501</v>
      </c>
      <c r="Z33" s="132" t="n">
        <v>3.69746044753844</v>
      </c>
      <c r="AA33" s="139" t="n">
        <v>0.3571693640299133</v>
      </c>
      <c r="AB33" s="132" t="n">
        <v>1.547196616651408</v>
      </c>
      <c r="AC33" s="139" t="n">
        <v>0.1218158415839496</v>
      </c>
      <c r="AD33" s="139" t="n">
        <v>0.114407415386145</v>
      </c>
      <c r="AE33" s="132" t="n">
        <v>-5.994090795500028</v>
      </c>
      <c r="AF33" s="139" t="n">
        <v>-0.4480657122739902</v>
      </c>
      <c r="AG33" s="132" t="n">
        <v>-2.4038497794666</v>
      </c>
      <c r="AH33" s="139" t="n">
        <v>0.01622343839049578</v>
      </c>
      <c r="AI33" s="139" t="n">
        <v>0.12244639074593</v>
      </c>
      <c r="AJ33" s="132" t="n">
        <v>-0.2537486584143023</v>
      </c>
      <c r="AK33" s="132" t="n">
        <v>-1.62123604104432</v>
      </c>
      <c r="AL33" s="139" t="n">
        <v>0.8458294464241978</v>
      </c>
      <c r="AM33" s="139" t="n">
        <v>0.9361322152825664</v>
      </c>
      <c r="AN33" s="139" t="n">
        <v>0.1615000116371472</v>
      </c>
      <c r="AO33" s="139" t="n">
        <v>0.08049942173584668</v>
      </c>
      <c r="AP33" s="139" t="n">
        <v>0.2679948514846892</v>
      </c>
      <c r="AQ33" s="139" t="n">
        <v>0.0892289111477268</v>
      </c>
      <c r="AR33" s="139" t="n">
        <v>0.9127750527660768</v>
      </c>
    </row>
    <row r="34">
      <c r="C34" s="126" t="inlineStr">
        <is>
          <t>Consumer Staples</t>
        </is>
      </c>
      <c r="D34" s="126" t="inlineStr">
        <is>
          <t>full</t>
        </is>
      </c>
      <c r="E34" s="112" t="n">
        <v>39904</v>
      </c>
      <c r="F34" s="112" t="n">
        <v>46204</v>
      </c>
      <c r="G34" s="138" t="n">
        <v>208</v>
      </c>
      <c r="H34" s="139" t="n">
        <v>0.08771426274082184</v>
      </c>
      <c r="I34" s="139" t="n">
        <v>0.06513293261064412</v>
      </c>
      <c r="J34" s="138" t="n">
        <v>0</v>
      </c>
      <c r="K34" s="132" t="n">
        <v>0.7422051640121128</v>
      </c>
      <c r="L34" s="139" t="n">
        <v>0.06519660424049817</v>
      </c>
      <c r="M34" s="132" t="n">
        <v>0.5458682829133673</v>
      </c>
      <c r="N34" s="139" t="n">
        <v>0.5851564818447612</v>
      </c>
      <c r="O34" s="139" t="n">
        <v>0.003422457418494784</v>
      </c>
      <c r="P34" s="132" t="n">
        <v>0.06383204307954686</v>
      </c>
      <c r="Q34" s="139" t="n">
        <v>0.04976323461527776</v>
      </c>
      <c r="R34" s="132" t="n">
        <v>0.4603759876603368</v>
      </c>
      <c r="S34" s="139" t="n">
        <v>0.6452463672021873</v>
      </c>
      <c r="T34" s="139" t="n">
        <v>0.001361421937686624</v>
      </c>
      <c r="U34" s="132" t="n">
        <v>-0.1385148053001053</v>
      </c>
      <c r="V34" s="139" t="n">
        <v>-0.1043661834907223</v>
      </c>
      <c r="W34" s="132" t="n">
        <v>-0.8465724932199223</v>
      </c>
      <c r="X34" s="139" t="n">
        <v>0.3972334512226277</v>
      </c>
      <c r="Y34" s="139" t="n">
        <v>0.005636672632463924</v>
      </c>
      <c r="Z34" s="132" t="n">
        <v>1.076520951948672</v>
      </c>
      <c r="AA34" s="139" t="n">
        <v>0.1172013119892237</v>
      </c>
      <c r="AB34" s="132" t="n">
        <v>1.133410200575091</v>
      </c>
      <c r="AC34" s="139" t="n">
        <v>0.2570420324066012</v>
      </c>
      <c r="AD34" s="139" t="n">
        <v>0.01005985152441657</v>
      </c>
      <c r="AE34" s="132" t="n">
        <v>1.607974216623</v>
      </c>
      <c r="AF34" s="139" t="n">
        <v>0.1762301447546808</v>
      </c>
      <c r="AG34" s="132" t="n">
        <v>1.080475863456281</v>
      </c>
      <c r="AH34" s="139" t="n">
        <v>0.2799303293017883</v>
      </c>
      <c r="AI34" s="139" t="n">
        <v>0.02036427195480117</v>
      </c>
      <c r="AJ34" s="132" t="n">
        <v>5.968952397629377</v>
      </c>
      <c r="AK34" s="132" t="n">
        <v>-5.226747233617262</v>
      </c>
      <c r="AL34" s="139" t="n">
        <v>0.002781245771079854</v>
      </c>
      <c r="AM34" s="139" t="n">
        <v>0.5851564818447612</v>
      </c>
      <c r="AN34" s="139" t="n">
        <v>0.9866714792407835</v>
      </c>
      <c r="AO34" s="139" t="n">
        <v>0.5033100362593185</v>
      </c>
      <c r="AP34" s="139" t="n">
        <v>0.5654924712945226</v>
      </c>
      <c r="AQ34" s="139" t="n">
        <v>0.4398905174742387</v>
      </c>
      <c r="AR34" s="139" t="n">
        <v>0.005098950580313066</v>
      </c>
    </row>
    <row r="35">
      <c r="C35" s="126" t="inlineStr">
        <is>
          <t>Consumer Staples</t>
        </is>
      </c>
      <c r="D35" s="126" t="inlineStr">
        <is>
          <t>ex_2013_14</t>
        </is>
      </c>
      <c r="E35" s="112" t="n">
        <v>39904</v>
      </c>
      <c r="F35" s="112" t="n">
        <v>46204</v>
      </c>
      <c r="G35" s="138" t="n">
        <v>184</v>
      </c>
      <c r="H35" s="139" t="n">
        <v>0.102032612620984</v>
      </c>
      <c r="I35" s="139" t="n">
        <v>0.07680880960471947</v>
      </c>
      <c r="J35" s="138" t="n">
        <v>0</v>
      </c>
      <c r="K35" s="132" t="n">
        <v>0.9888551618659024</v>
      </c>
      <c r="L35" s="139" t="n">
        <v>0.09480915999020752</v>
      </c>
      <c r="M35" s="132" t="n">
        <v>0.7357442840298802</v>
      </c>
      <c r="N35" s="139" t="n">
        <v>0.4618863341205608</v>
      </c>
      <c r="O35" s="139" t="n">
        <v>0.007206508400802836</v>
      </c>
      <c r="P35" s="132" t="n">
        <v>0.05897765462313675</v>
      </c>
      <c r="Q35" s="139" t="n">
        <v>0.04855793985030189</v>
      </c>
      <c r="R35" s="132" t="n">
        <v>0.417874021893872</v>
      </c>
      <c r="S35" s="139" t="n">
        <v>0.6760392270035211</v>
      </c>
      <c r="T35" s="139" t="n">
        <v>0.001251050334795667</v>
      </c>
      <c r="U35" s="132" t="n">
        <v>-0.1672470992027513</v>
      </c>
      <c r="V35" s="139" t="n">
        <v>-0.1330130385428612</v>
      </c>
      <c r="W35" s="132" t="n">
        <v>-0.9863409292414932</v>
      </c>
      <c r="X35" s="139" t="n">
        <v>0.3239658414805751</v>
      </c>
      <c r="Y35" s="139" t="n">
        <v>0.009070506760504471</v>
      </c>
      <c r="Z35" s="132" t="n">
        <v>1.476910949671304</v>
      </c>
      <c r="AA35" s="139" t="n">
        <v>0.1760816552141396</v>
      </c>
      <c r="AB35" s="132" t="n">
        <v>1.565738123634216</v>
      </c>
      <c r="AC35" s="139" t="n">
        <v>0.1174099372867534</v>
      </c>
      <c r="AD35" s="139" t="n">
        <v>0.02179537732910819</v>
      </c>
      <c r="AE35" s="132" t="n">
        <v>0.9174294420639637</v>
      </c>
      <c r="AF35" s="139" t="n">
        <v>0.106841003620856</v>
      </c>
      <c r="AG35" s="132" t="n">
        <v>0.5959484709971611</v>
      </c>
      <c r="AH35" s="139" t="n">
        <v>0.5512096509532962</v>
      </c>
      <c r="AI35" s="139" t="n">
        <v>0.007087267755643389</v>
      </c>
      <c r="AJ35" s="132" t="n">
        <v>6.179005187471408</v>
      </c>
      <c r="AK35" s="132" t="n">
        <v>-5.190150025605499</v>
      </c>
      <c r="AL35" s="139" t="n">
        <v>0.003322921567792791</v>
      </c>
      <c r="AM35" s="139" t="n">
        <v>0.5080749675326169</v>
      </c>
      <c r="AN35" s="139" t="n">
        <v>0.9662546132430333</v>
      </c>
      <c r="AO35" s="139" t="n">
        <v>0.5642787060834379</v>
      </c>
      <c r="AP35" s="139" t="n">
        <v>0.3228773275385719</v>
      </c>
      <c r="AQ35" s="139" t="n">
        <v>0.7209609207328858</v>
      </c>
      <c r="AR35" s="139" t="n">
        <v>0.006092022874286784</v>
      </c>
    </row>
    <row r="36">
      <c r="C36" s="126" t="inlineStr">
        <is>
          <t>Consumer Staples</t>
        </is>
      </c>
      <c r="D36" s="126" t="inlineStr">
        <is>
          <t>ex_2020_21</t>
        </is>
      </c>
      <c r="E36" s="112" t="n">
        <v>39904</v>
      </c>
      <c r="F36" s="112" t="n">
        <v>46204</v>
      </c>
      <c r="G36" s="138" t="n">
        <v>184</v>
      </c>
      <c r="H36" s="139" t="n">
        <v>0.01669297006715387</v>
      </c>
      <c r="I36" s="139" t="n">
        <v>-0.01092801391972387</v>
      </c>
      <c r="J36" s="138" t="n">
        <v>0</v>
      </c>
      <c r="K36" s="132" t="n">
        <v>-0.9806854154622037</v>
      </c>
      <c r="L36" s="139" t="n">
        <v>-0.0671258884262828</v>
      </c>
      <c r="M36" s="132" t="n">
        <v>-0.8701625839140816</v>
      </c>
      <c r="N36" s="139" t="n">
        <v>0.3842115601931919</v>
      </c>
      <c r="O36" s="139" t="n">
        <v>0.00372482810112007</v>
      </c>
      <c r="P36" s="132" t="n">
        <v>0.08816692608481623</v>
      </c>
      <c r="Q36" s="139" t="n">
        <v>0.07184020895342808</v>
      </c>
      <c r="R36" s="132" t="n">
        <v>0.6192183432883381</v>
      </c>
      <c r="S36" s="139" t="n">
        <v>0.535772529309164</v>
      </c>
      <c r="T36" s="139" t="n">
        <v>0.003106209436027463</v>
      </c>
      <c r="U36" s="132" t="n">
        <v>0.04222748224470196</v>
      </c>
      <c r="V36" s="139" t="n">
        <v>0.03373977039417865</v>
      </c>
      <c r="W36" s="132" t="n">
        <v>0.3206710244532008</v>
      </c>
      <c r="X36" s="139" t="n">
        <v>0.7484597076981099</v>
      </c>
      <c r="Y36" s="139" t="n">
        <v>0.0006000972325483911</v>
      </c>
      <c r="Z36" s="132" t="n">
        <v>0.8135917519775608</v>
      </c>
      <c r="AA36" s="139" t="n">
        <v>0.08979967745695835</v>
      </c>
      <c r="AB36" s="132" t="n">
        <v>0.8423604706623842</v>
      </c>
      <c r="AC36" s="139" t="n">
        <v>0.3995862123012184</v>
      </c>
      <c r="AD36" s="139" t="n">
        <v>0.006233643459824245</v>
      </c>
      <c r="AE36" s="132" t="n">
        <v>-0.2974916397359656</v>
      </c>
      <c r="AF36" s="139" t="n">
        <v>-0.03170736587271122</v>
      </c>
      <c r="AG36" s="132" t="n">
        <v>-0.245080535542435</v>
      </c>
      <c r="AH36" s="139" t="n">
        <v>0.8063940738006459</v>
      </c>
      <c r="AI36" s="139" t="n">
        <v>0.0007574901692123381</v>
      </c>
      <c r="AJ36" s="132" t="n">
        <v>3.849139829068014</v>
      </c>
      <c r="AK36" s="132" t="n">
        <v>-4.829825244530215</v>
      </c>
      <c r="AL36" s="139" t="n">
        <v>0.008776895291494391</v>
      </c>
      <c r="AM36" s="139" t="n">
        <v>0.7043878603541852</v>
      </c>
      <c r="AN36" s="139" t="n">
        <v>0.8635982664161705</v>
      </c>
      <c r="AO36" s="139" t="n">
        <v>0.8373060161960555</v>
      </c>
      <c r="AP36" s="139" t="n">
        <v>0.6530692764357904</v>
      </c>
      <c r="AQ36" s="139" t="n">
        <v>0.852412503472647</v>
      </c>
      <c r="AR36" s="139" t="n">
        <v>0.04827292410321915</v>
      </c>
    </row>
    <row r="37">
      <c r="C37" s="126" t="inlineStr">
        <is>
          <t>Consumer Staples</t>
        </is>
      </c>
      <c r="D37" s="126" t="inlineStr">
        <is>
          <t>clean</t>
        </is>
      </c>
      <c r="E37" s="112" t="n">
        <v>39904</v>
      </c>
      <c r="F37" s="112" t="n">
        <v>46204</v>
      </c>
      <c r="G37" s="138" t="n">
        <v>160</v>
      </c>
      <c r="H37" s="139" t="n">
        <v>0.0309668783391458</v>
      </c>
      <c r="I37" s="139" t="n">
        <v>-0.0004952360004921719</v>
      </c>
      <c r="J37" s="138" t="n">
        <v>0</v>
      </c>
      <c r="K37" s="132" t="n">
        <v>-0.1109903144332184</v>
      </c>
      <c r="L37" s="139" t="n">
        <v>-0.008480872370744713</v>
      </c>
      <c r="M37" s="132" t="n">
        <v>-0.1054754471321989</v>
      </c>
      <c r="N37" s="139" t="n">
        <v>0.915998551649589</v>
      </c>
      <c r="O37" s="139" t="n">
        <v>5.9928340811366e-05</v>
      </c>
      <c r="P37" s="132" t="n">
        <v>0.07705588432943705</v>
      </c>
      <c r="Q37" s="139" t="n">
        <v>0.06852855682275083</v>
      </c>
      <c r="R37" s="132" t="n">
        <v>0.5449616924617537</v>
      </c>
      <c r="S37" s="139" t="n">
        <v>0.5857798645817667</v>
      </c>
      <c r="T37" s="139" t="n">
        <v>0.002758820654842897</v>
      </c>
      <c r="U37" s="132" t="n">
        <v>0.01977291284726405</v>
      </c>
      <c r="V37" s="139" t="n">
        <v>0.01717225236299386</v>
      </c>
      <c r="W37" s="132" t="n">
        <v>0.1307031859501217</v>
      </c>
      <c r="X37" s="139" t="n">
        <v>0.8960101119446273</v>
      </c>
      <c r="Y37" s="139" t="n">
        <v>0.0001552283749619576</v>
      </c>
      <c r="Z37" s="132" t="n">
        <v>1.313002641772762</v>
      </c>
      <c r="AA37" s="139" t="n">
        <v>0.1644323294836841</v>
      </c>
      <c r="AB37" s="132" t="n">
        <v>1.492431839343249</v>
      </c>
      <c r="AC37" s="139" t="n">
        <v>0.1355859734142997</v>
      </c>
      <c r="AD37" s="139" t="n">
        <v>0.02025328923726988</v>
      </c>
      <c r="AE37" s="132" t="n">
        <v>-1.426667011338779</v>
      </c>
      <c r="AF37" s="139" t="n">
        <v>-0.1628817300631792</v>
      </c>
      <c r="AG37" s="132" t="n">
        <v>-1.311728230342094</v>
      </c>
      <c r="AH37" s="139" t="n">
        <v>0.1896118480704199</v>
      </c>
      <c r="AI37" s="139" t="n">
        <v>0.01950501283652417</v>
      </c>
      <c r="AJ37" s="132" t="n">
        <v>4.166800677918155</v>
      </c>
      <c r="AK37" s="132" t="n">
        <v>-4.277790992351376</v>
      </c>
      <c r="AL37" s="139" t="n">
        <v>0.02535820299703939</v>
      </c>
      <c r="AM37" s="139" t="n">
        <v>0.915998551649589</v>
      </c>
      <c r="AN37" s="139" t="n">
        <v>0.7181676281313339</v>
      </c>
      <c r="AO37" s="139" t="n">
        <v>0.8960101119446274</v>
      </c>
      <c r="AP37" s="139" t="n">
        <v>0.4368900697653436</v>
      </c>
      <c r="AQ37" s="139" t="n">
        <v>0.3553610092681516</v>
      </c>
      <c r="AR37" s="139" t="n">
        <v>0.09298007765581111</v>
      </c>
    </row>
    <row r="38">
      <c r="C38" s="126" t="inlineStr">
        <is>
          <t>Consumer Staples</t>
        </is>
      </c>
      <c r="D38" s="126" t="inlineStr">
        <is>
          <t>ex_seams</t>
        </is>
      </c>
      <c r="E38" s="112" t="n">
        <v>39904</v>
      </c>
      <c r="F38" s="112" t="n">
        <v>46204</v>
      </c>
      <c r="G38" s="138" t="n">
        <v>193</v>
      </c>
      <c r="H38" s="139" t="n">
        <v>0.102631729535634</v>
      </c>
      <c r="I38" s="139" t="n">
        <v>0.07863792551252258</v>
      </c>
      <c r="J38" s="138" t="n">
        <v>0</v>
      </c>
      <c r="K38" s="132" t="n">
        <v>0.7774972038817614</v>
      </c>
      <c r="L38" s="139" t="n">
        <v>0.07752237848194556</v>
      </c>
      <c r="M38" s="132" t="n">
        <v>0.5399205465509258</v>
      </c>
      <c r="N38" s="139" t="n">
        <v>0.5892518275658534</v>
      </c>
      <c r="O38" s="139" t="n">
        <v>0.004901060481656727</v>
      </c>
      <c r="P38" s="132" t="n">
        <v>-0.0578223847482289</v>
      </c>
      <c r="Q38" s="139" t="n">
        <v>-0.04939424356693274</v>
      </c>
      <c r="R38" s="132" t="n">
        <v>-0.4372161765108979</v>
      </c>
      <c r="S38" s="139" t="n">
        <v>0.6619545792305745</v>
      </c>
      <c r="T38" s="139" t="n">
        <v>0.001401717471259278</v>
      </c>
      <c r="U38" s="132" t="n">
        <v>-0.1679097426881134</v>
      </c>
      <c r="V38" s="139" t="n">
        <v>-0.1408143403411105</v>
      </c>
      <c r="W38" s="132" t="n">
        <v>-1.177711709136993</v>
      </c>
      <c r="X38" s="139" t="n">
        <v>0.2389115572757292</v>
      </c>
      <c r="Y38" s="139" t="n">
        <v>0.01066579262528666</v>
      </c>
      <c r="Z38" s="132" t="n">
        <v>1.91563823204591</v>
      </c>
      <c r="AA38" s="139" t="n">
        <v>0.2288139070421333</v>
      </c>
      <c r="AB38" s="132" t="n">
        <v>2.035542341011839</v>
      </c>
      <c r="AC38" s="139" t="n">
        <v>0.04179633271228811</v>
      </c>
      <c r="AD38" s="139" t="n">
        <v>0.03890192942440707</v>
      </c>
      <c r="AE38" s="132" t="n">
        <v>1.003915405331969</v>
      </c>
      <c r="AF38" s="139" t="n">
        <v>0.1231136828893146</v>
      </c>
      <c r="AG38" s="132" t="n">
        <v>0.7636220550621509</v>
      </c>
      <c r="AH38" s="139" t="n">
        <v>0.4450925022000418</v>
      </c>
      <c r="AI38" s="139" t="n">
        <v>0.01017239546127058</v>
      </c>
      <c r="AJ38" s="132" t="n">
        <v>6.257300955716724</v>
      </c>
      <c r="AK38" s="132" t="n">
        <v>-5.479803751834965</v>
      </c>
      <c r="AL38" s="139" t="n">
        <v>0.002835319040840112</v>
      </c>
      <c r="AM38" s="139" t="n">
        <v>0.6481770103224387</v>
      </c>
      <c r="AN38" s="139" t="n">
        <v>0.8090555968373689</v>
      </c>
      <c r="AO38" s="139" t="n">
        <v>0.3947787351799538</v>
      </c>
      <c r="AP38" s="139" t="n">
        <v>0.1551884511067095</v>
      </c>
      <c r="AQ38" s="139" t="n">
        <v>0.6120021905250574</v>
      </c>
      <c r="AR38" s="139" t="n">
        <v>0.005198084908206872</v>
      </c>
    </row>
    <row r="39">
      <c r="C39" s="126" t="inlineStr">
        <is>
          <t>Consumer Staples</t>
        </is>
      </c>
      <c r="D39" s="126" t="inlineStr">
        <is>
          <t>audit_clean</t>
        </is>
      </c>
      <c r="E39" s="112" t="n">
        <v>39904</v>
      </c>
      <c r="F39" s="112" t="n">
        <v>46204</v>
      </c>
      <c r="G39" s="138" t="n">
        <v>151</v>
      </c>
      <c r="H39" s="139" t="n">
        <v>0.0279918827980864</v>
      </c>
      <c r="I39" s="139" t="n">
        <v>-0.005525638484738193</v>
      </c>
      <c r="J39" s="138" t="n">
        <v>0</v>
      </c>
      <c r="K39" s="132" t="n">
        <v>-0.5186238333680167</v>
      </c>
      <c r="L39" s="139" t="n">
        <v>-0.04109071361265461</v>
      </c>
      <c r="M39" s="132" t="n">
        <v>-0.4740392584074994</v>
      </c>
      <c r="N39" s="139" t="n">
        <v>0.6354719121958976</v>
      </c>
      <c r="O39" s="139" t="n">
        <v>0.001398094893933055</v>
      </c>
      <c r="P39" s="132" t="n">
        <v>0.03804891583163481</v>
      </c>
      <c r="Q39" s="139" t="n">
        <v>0.03449388989323385</v>
      </c>
      <c r="R39" s="132" t="n">
        <v>0.2795721357918863</v>
      </c>
      <c r="S39" s="139" t="n">
        <v>0.7798057873472803</v>
      </c>
      <c r="T39" s="139" t="n">
        <v>0.0006883517385667393</v>
      </c>
      <c r="U39" s="132" t="n">
        <v>-0.03900548685549637</v>
      </c>
      <c r="V39" s="139" t="n">
        <v>-0.03505854765664623</v>
      </c>
      <c r="W39" s="132" t="n">
        <v>-0.2617695061244167</v>
      </c>
      <c r="X39" s="139" t="n">
        <v>0.7934991500772883</v>
      </c>
      <c r="Y39" s="139" t="n">
        <v>0.0006382073047475068</v>
      </c>
      <c r="Z39" s="132" t="n">
        <v>1.212393263685317</v>
      </c>
      <c r="AA39" s="139" t="n">
        <v>0.1498156343560955</v>
      </c>
      <c r="AB39" s="132" t="n">
        <v>1.348830960540011</v>
      </c>
      <c r="AC39" s="139" t="n">
        <v>0.1773912677261267</v>
      </c>
      <c r="AD39" s="139" t="n">
        <v>0.01762934265352201</v>
      </c>
      <c r="AE39" s="132" t="n">
        <v>-1.093560852636218</v>
      </c>
      <c r="AF39" s="139" t="n">
        <v>-0.1250415108204298</v>
      </c>
      <c r="AG39" s="132" t="n">
        <v>-0.9654089830897272</v>
      </c>
      <c r="AH39" s="139" t="n">
        <v>0.3343400038551889</v>
      </c>
      <c r="AI39" s="139" t="n">
        <v>0.01210403829504014</v>
      </c>
      <c r="AJ39" s="132" t="n">
        <v>4.442488062949742</v>
      </c>
      <c r="AK39" s="132" t="n">
        <v>-4.961111896317752</v>
      </c>
      <c r="AL39" s="139" t="n">
        <v>0.01546797001619971</v>
      </c>
      <c r="AM39" s="139" t="n">
        <v>0.6992771055179756</v>
      </c>
      <c r="AN39" s="139" t="n">
        <v>0.9581476092413563</v>
      </c>
      <c r="AO39" s="139" t="n">
        <v>0.800081580172293</v>
      </c>
      <c r="AP39" s="139" t="n">
        <v>0.4817579856958805</v>
      </c>
      <c r="AQ39" s="139" t="n">
        <v>0.4597175053008847</v>
      </c>
      <c r="AR39" s="139" t="n">
        <v>0.06015851575428469</v>
      </c>
    </row>
    <row r="40">
      <c r="C40" s="126" t="inlineStr">
        <is>
          <t>Consumer Staples</t>
        </is>
      </c>
      <c r="D40" s="126" t="inlineStr">
        <is>
          <t>since_2020</t>
        </is>
      </c>
      <c r="E40" s="112" t="n">
        <v>43831</v>
      </c>
      <c r="F40" s="112" t="n">
        <v>46204</v>
      </c>
      <c r="G40" s="138" t="n">
        <v>79</v>
      </c>
      <c r="H40" s="139" t="n">
        <v>0.3255965892261952</v>
      </c>
      <c r="I40" s="139" t="n">
        <v>0.2794045747896332</v>
      </c>
      <c r="J40" s="138" t="n">
        <v>0</v>
      </c>
      <c r="K40" s="132" t="n">
        <v>1.585056241845666</v>
      </c>
      <c r="L40" s="139" t="n">
        <v>0.153750283022097</v>
      </c>
      <c r="M40" s="132" t="n">
        <v>1.49390422814009</v>
      </c>
      <c r="N40" s="139" t="n">
        <v>0.1352006531812817</v>
      </c>
      <c r="O40" s="139" t="n">
        <v>0.01733005459313586</v>
      </c>
      <c r="P40" s="132" t="n">
        <v>-0.08971058655492414</v>
      </c>
      <c r="Q40" s="139" t="n">
        <v>-0.06980742119943183</v>
      </c>
      <c r="R40" s="132" t="n">
        <v>-0.4744905943262271</v>
      </c>
      <c r="S40" s="139" t="n">
        <v>0.6351501036072102</v>
      </c>
      <c r="T40" s="139" t="n">
        <v>0.002350477431659614</v>
      </c>
      <c r="U40" s="132" t="n">
        <v>-0.4425878684137255</v>
      </c>
      <c r="V40" s="139" t="n">
        <v>-0.2839421424312578</v>
      </c>
      <c r="W40" s="132" t="n">
        <v>-1.626156284939543</v>
      </c>
      <c r="X40" s="139" t="n">
        <v>0.1039164130173245</v>
      </c>
      <c r="Y40" s="139" t="n">
        <v>0.04033355445814935</v>
      </c>
      <c r="Z40" s="132" t="n">
        <v>0.7381555019071528</v>
      </c>
      <c r="AA40" s="139" t="n">
        <v>0.08982788334778183</v>
      </c>
      <c r="AB40" s="132" t="n">
        <v>0.6926438551000885</v>
      </c>
      <c r="AC40" s="139" t="n">
        <v>0.4885330814098037</v>
      </c>
      <c r="AD40" s="139" t="n">
        <v>0.005821249688385821</v>
      </c>
      <c r="AE40" s="132" t="n">
        <v>4.098468113600946</v>
      </c>
      <c r="AF40" s="139" t="n">
        <v>0.4484458473921169</v>
      </c>
      <c r="AG40" s="132" t="n">
        <v>2.045661066753093</v>
      </c>
      <c r="AH40" s="139" t="n">
        <v>0.04078972877200737</v>
      </c>
      <c r="AI40" s="139" t="n">
        <v>0.121392270258434</v>
      </c>
      <c r="AJ40" s="132" t="n">
        <v>6.517266411873479</v>
      </c>
      <c r="AK40" s="132" t="n">
        <v>-4.932210170027809</v>
      </c>
      <c r="AL40" s="139" t="n">
        <v>0.007585071993581494</v>
      </c>
      <c r="AM40" s="139" t="n">
        <v>0.1859008981242624</v>
      </c>
      <c r="AN40" s="139" t="n">
        <v>0.7762945710754792</v>
      </c>
      <c r="AO40" s="139" t="n">
        <v>0.2857701357976423</v>
      </c>
      <c r="AP40" s="139" t="n">
        <v>0.5842754380261526</v>
      </c>
      <c r="AQ40" s="139" t="n">
        <v>0.08973740329841622</v>
      </c>
      <c r="AR40" s="139" t="n">
        <v>0.01390596532156607</v>
      </c>
    </row>
    <row r="41">
      <c r="C41" s="126" t="inlineStr">
        <is>
          <t>Consumer Staples</t>
        </is>
      </c>
      <c r="D41" s="126" t="inlineStr">
        <is>
          <t>since_2022</t>
        </is>
      </c>
      <c r="E41" s="112" t="n">
        <v>44562</v>
      </c>
      <c r="F41" s="112" t="n">
        <v>46204</v>
      </c>
      <c r="G41" s="138" t="n">
        <v>55</v>
      </c>
      <c r="H41" s="139" t="n">
        <v>0.04784855022952439</v>
      </c>
      <c r="I41" s="139" t="n">
        <v>-0.04930976097154449</v>
      </c>
      <c r="J41" s="138" t="n">
        <v>0</v>
      </c>
      <c r="K41" s="132" t="n">
        <v>-0.9555836674064759</v>
      </c>
      <c r="L41" s="139" t="n">
        <v>-0.03249691989940584</v>
      </c>
      <c r="M41" s="132" t="n">
        <v>-0.3603542997027553</v>
      </c>
      <c r="N41" s="139" t="n">
        <v>0.718582197633248</v>
      </c>
      <c r="O41" s="139" t="n">
        <v>0.001024156245409968</v>
      </c>
      <c r="P41" s="132" t="n">
        <v>0.1237845578428582</v>
      </c>
      <c r="Q41" s="139" t="n">
        <v>0.1114540468241735</v>
      </c>
      <c r="R41" s="132" t="n">
        <v>0.5795120736431359</v>
      </c>
      <c r="S41" s="139" t="n">
        <v>0.5622437023100817</v>
      </c>
      <c r="T41" s="139" t="n">
        <v>0.006615406082445374</v>
      </c>
      <c r="U41" s="132" t="n">
        <v>0.2739516559274641</v>
      </c>
      <c r="V41" s="139" t="n">
        <v>0.1722824732644066</v>
      </c>
      <c r="W41" s="132" t="n">
        <v>0.7691330039668882</v>
      </c>
      <c r="X41" s="139" t="n">
        <v>0.4418143572787168</v>
      </c>
      <c r="Y41" s="139" t="n">
        <v>0.01426251312569404</v>
      </c>
      <c r="Z41" s="132" t="n">
        <v>1.397841118340876</v>
      </c>
      <c r="AA41" s="139" t="n">
        <v>0.1936883092684859</v>
      </c>
      <c r="AB41" s="132" t="n">
        <v>1.236618444742331</v>
      </c>
      <c r="AC41" s="139" t="n">
        <v>0.2162287689769653</v>
      </c>
      <c r="AD41" s="139" t="n">
        <v>0.03366040696435701</v>
      </c>
      <c r="AE41" s="132" t="n">
        <v>-1.407424389869102</v>
      </c>
      <c r="AF41" s="139" t="n">
        <v>-0.1514001088576102</v>
      </c>
      <c r="AG41" s="132" t="n">
        <v>-0.6322503181931597</v>
      </c>
      <c r="AH41" s="139" t="n">
        <v>0.5272233220449596</v>
      </c>
      <c r="AI41" s="139" t="n">
        <v>0.01393076571192864</v>
      </c>
      <c r="AJ41" s="132" t="n">
        <v>0.2982402843671333</v>
      </c>
      <c r="AK41" s="132" t="n">
        <v>-1.253823951773611</v>
      </c>
      <c r="AL41" s="139" t="n">
        <v>0.8063611263953516</v>
      </c>
      <c r="AM41" s="139" t="n">
        <v>0.9072887452862399</v>
      </c>
      <c r="AN41" s="139" t="n">
        <v>0.5622437023100817</v>
      </c>
      <c r="AO41" s="139" t="n">
        <v>0.6074947412582355</v>
      </c>
      <c r="AP41" s="139" t="n">
        <v>0.3397880655352312</v>
      </c>
      <c r="AQ41" s="139" t="n">
        <v>0.7922010945865314</v>
      </c>
      <c r="AR41" s="139" t="n">
        <v>0.9772311542052887</v>
      </c>
    </row>
    <row r="42">
      <c r="C42" s="126" t="inlineStr">
        <is>
          <t>Consumer Staples</t>
        </is>
      </c>
      <c r="D42" s="126" t="inlineStr">
        <is>
          <t>since_2022_ex_seams</t>
        </is>
      </c>
      <c r="E42" s="112" t="n">
        <v>44562</v>
      </c>
      <c r="F42" s="112" t="n">
        <v>46204</v>
      </c>
      <c r="G42" s="138" t="n">
        <v>52</v>
      </c>
      <c r="H42" s="139" t="n">
        <v>0.03576223877827733</v>
      </c>
      <c r="I42" s="139" t="n">
        <v>-0.06904621352843154</v>
      </c>
      <c r="J42" s="138" t="n">
        <v>0</v>
      </c>
      <c r="K42" s="132" t="n">
        <v>-1.153138740835515</v>
      </c>
      <c r="L42" s="139" t="n">
        <v>-0.04246437677264112</v>
      </c>
      <c r="M42" s="132" t="n">
        <v>-0.5211046884828957</v>
      </c>
      <c r="N42" s="139" t="n">
        <v>0.6022938450223414</v>
      </c>
      <c r="O42" s="139" t="n">
        <v>0.001756379095241067</v>
      </c>
      <c r="P42" s="132" t="n">
        <v>-0.05079227403842834</v>
      </c>
      <c r="Q42" s="139" t="n">
        <v>-0.04858257906969617</v>
      </c>
      <c r="R42" s="132" t="n">
        <v>-0.2372676675128879</v>
      </c>
      <c r="S42" s="139" t="n">
        <v>0.8124491435729799</v>
      </c>
      <c r="T42" s="139" t="n">
        <v>0.001198499281307219</v>
      </c>
      <c r="U42" s="132" t="n">
        <v>0.06288615680551629</v>
      </c>
      <c r="V42" s="139" t="n">
        <v>0.04305539533230592</v>
      </c>
      <c r="W42" s="132" t="n">
        <v>0.1777120919768371</v>
      </c>
      <c r="X42" s="139" t="n">
        <v>0.8589490883893651</v>
      </c>
      <c r="Y42" s="139" t="n">
        <v>0.0008407717817952021</v>
      </c>
      <c r="Z42" s="132" t="n">
        <v>1.204962545248468</v>
      </c>
      <c r="AA42" s="139" t="n">
        <v>0.1810275172587938</v>
      </c>
      <c r="AB42" s="132" t="n">
        <v>1.144572027779178</v>
      </c>
      <c r="AC42" s="139" t="n">
        <v>0.2523864850751538</v>
      </c>
      <c r="AD42" s="139" t="n">
        <v>0.02938968720657675</v>
      </c>
      <c r="AE42" s="132" t="n">
        <v>-0.9457630619052529</v>
      </c>
      <c r="AF42" s="139" t="n">
        <v>-0.1099514918277371</v>
      </c>
      <c r="AG42" s="132" t="n">
        <v>-0.4126826736921807</v>
      </c>
      <c r="AH42" s="139" t="n">
        <v>0.679839120722199</v>
      </c>
      <c r="AI42" s="139" t="n">
        <v>0.00737334946810686</v>
      </c>
      <c r="AJ42" s="132" t="n">
        <v>-0.2537486584143023</v>
      </c>
      <c r="AK42" s="132" t="n">
        <v>-0.899390082421217</v>
      </c>
      <c r="AL42" s="139" t="n">
        <v>0.8592552657836818</v>
      </c>
      <c r="AM42" s="139" t="n">
        <v>0.9361322152825664</v>
      </c>
      <c r="AN42" s="139" t="n">
        <v>0.893694057930278</v>
      </c>
      <c r="AO42" s="139" t="n">
        <v>0.858949088389365</v>
      </c>
      <c r="AP42" s="139" t="n">
        <v>0.3373704899544729</v>
      </c>
      <c r="AQ42" s="139" t="n">
        <v>0.8827674863636481</v>
      </c>
      <c r="AR42" s="139" t="n">
        <v>0.9127750527660768</v>
      </c>
    </row>
    <row r="43">
      <c r="C43" s="126" t="inlineStr">
        <is>
          <t>Energy</t>
        </is>
      </c>
      <c r="D43" s="126" t="inlineStr">
        <is>
          <t>full</t>
        </is>
      </c>
      <c r="E43" s="112" t="n">
        <v>39904</v>
      </c>
      <c r="F43" s="112" t="n">
        <v>46204</v>
      </c>
      <c r="G43" s="138" t="n">
        <v>206</v>
      </c>
      <c r="H43" s="139" t="n">
        <v>0.4937748153297636</v>
      </c>
      <c r="I43" s="139" t="n">
        <v>0.4811191857130077</v>
      </c>
      <c r="J43" s="138" t="n">
        <v>2</v>
      </c>
      <c r="K43" s="132" t="n">
        <v>28.23304062332419</v>
      </c>
      <c r="L43" s="139" t="n">
        <v>0.6270607454719992</v>
      </c>
      <c r="M43" s="132" t="n">
        <v>2.945597583934818</v>
      </c>
      <c r="N43" s="139" t="n">
        <v>0.003223314543224998</v>
      </c>
      <c r="O43" s="139" t="n">
        <v>0.3114419523367273</v>
      </c>
      <c r="P43" s="132" t="n">
        <v>0.6337208616431314</v>
      </c>
      <c r="Q43" s="139" t="n">
        <v>0.1289213069064843</v>
      </c>
      <c r="R43" s="132" t="n">
        <v>1.723803019240012</v>
      </c>
      <c r="S43" s="139" t="n">
        <v>0.08474340938967062</v>
      </c>
      <c r="T43" s="139" t="n">
        <v>0.009005503255673508</v>
      </c>
      <c r="U43" s="132" t="n">
        <v>0.3924887415133149</v>
      </c>
      <c r="V43" s="139" t="n">
        <v>0.07739321256092857</v>
      </c>
      <c r="W43" s="132" t="n">
        <v>0.8454539806659841</v>
      </c>
      <c r="X43" s="139" t="n">
        <v>0.3978574163235327</v>
      </c>
      <c r="Y43" s="139" t="n">
        <v>0.003021505497482146</v>
      </c>
      <c r="Z43" s="132" t="n">
        <v>6.739876475479515</v>
      </c>
      <c r="AA43" s="139" t="n">
        <v>0.1902870802598457</v>
      </c>
      <c r="AB43" s="132" t="n">
        <v>1.871514680063853</v>
      </c>
      <c r="AC43" s="139" t="n">
        <v>0.06127377703944448</v>
      </c>
      <c r="AD43" s="139" t="n">
        <v>0.02660248345453364</v>
      </c>
      <c r="AE43" s="132" t="n">
        <v>7.038310583003947</v>
      </c>
      <c r="AF43" s="139" t="n">
        <v>0.2015676091617278</v>
      </c>
      <c r="AG43" s="132" t="n">
        <v>1.932981959510526</v>
      </c>
      <c r="AH43" s="139" t="n">
        <v>0.05323842022907943</v>
      </c>
      <c r="AI43" s="139" t="n">
        <v>0.02671297077399959</v>
      </c>
      <c r="AJ43" s="132" t="n">
        <v>5.706845342030378</v>
      </c>
      <c r="AK43" s="132" t="n">
        <v>22.52619528129383</v>
      </c>
      <c r="AL43" s="139" t="n">
        <v>0.01231180570584867</v>
      </c>
      <c r="AM43" s="139" t="n">
        <v>0.01772822998773749</v>
      </c>
      <c r="AN43" s="139" t="n">
        <v>0.4660887516431884</v>
      </c>
      <c r="AO43" s="139" t="n">
        <v>0.5033100362593185</v>
      </c>
      <c r="AP43" s="139" t="n">
        <v>0.2246705158112964</v>
      </c>
      <c r="AQ43" s="139" t="n">
        <v>0.2928113112599369</v>
      </c>
      <c r="AR43" s="139" t="n">
        <v>0.0193471232520479</v>
      </c>
    </row>
    <row r="44">
      <c r="C44" s="126" t="inlineStr">
        <is>
          <t>Energy</t>
        </is>
      </c>
      <c r="D44" s="126" t="inlineStr">
        <is>
          <t>ex_2013_14</t>
        </is>
      </c>
      <c r="E44" s="112" t="n">
        <v>39904</v>
      </c>
      <c r="F44" s="112" t="n">
        <v>46204</v>
      </c>
      <c r="G44" s="138" t="n">
        <v>182</v>
      </c>
      <c r="H44" s="139" t="n">
        <v>0.4993292883463868</v>
      </c>
      <c r="I44" s="139" t="n">
        <v>0.4851056885835</v>
      </c>
      <c r="J44" s="138" t="n">
        <v>2</v>
      </c>
      <c r="K44" s="132" t="n">
        <v>28.62653803250157</v>
      </c>
      <c r="L44" s="139" t="n">
        <v>0.6296303188510535</v>
      </c>
      <c r="M44" s="132" t="n">
        <v>2.933166034234339</v>
      </c>
      <c r="N44" s="139" t="n">
        <v>0.0033552440821083</v>
      </c>
      <c r="O44" s="139" t="n">
        <v>0.3124339530397288</v>
      </c>
      <c r="P44" s="132" t="n">
        <v>0.6400293339822536</v>
      </c>
      <c r="Q44" s="139" t="n">
        <v>0.1248453547446441</v>
      </c>
      <c r="R44" s="132" t="n">
        <v>1.542079860044875</v>
      </c>
      <c r="S44" s="139" t="n">
        <v>0.1230541884016483</v>
      </c>
      <c r="T44" s="139" t="n">
        <v>0.00813932407182183</v>
      </c>
      <c r="U44" s="132" t="n">
        <v>0.4045749707754993</v>
      </c>
      <c r="V44" s="139" t="n">
        <v>0.07642836570955561</v>
      </c>
      <c r="W44" s="132" t="n">
        <v>0.7963291543399398</v>
      </c>
      <c r="X44" s="139" t="n">
        <v>0.4258407442973204</v>
      </c>
      <c r="Y44" s="139" t="n">
        <v>0.002913202429912665</v>
      </c>
      <c r="Z44" s="132" t="n">
        <v>6.84317507402199</v>
      </c>
      <c r="AA44" s="139" t="n">
        <v>0.1920580000454733</v>
      </c>
      <c r="AB44" s="132" t="n">
        <v>1.800494899305054</v>
      </c>
      <c r="AC44" s="139" t="n">
        <v>0.07178252826815967</v>
      </c>
      <c r="AD44" s="139" t="n">
        <v>0.02600974667000044</v>
      </c>
      <c r="AE44" s="132" t="n">
        <v>6.832861814191537</v>
      </c>
      <c r="AF44" s="139" t="n">
        <v>0.1887638310900795</v>
      </c>
      <c r="AG44" s="132" t="n">
        <v>1.68664935281956</v>
      </c>
      <c r="AH44" s="139" t="n">
        <v>0.0916707961480836</v>
      </c>
      <c r="AI44" s="139" t="n">
        <v>0.02218984153516579</v>
      </c>
      <c r="AJ44" s="132" t="n">
        <v>5.925752558414628</v>
      </c>
      <c r="AK44" s="132" t="n">
        <v>22.70078547408695</v>
      </c>
      <c r="AL44" s="139" t="n">
        <v>0.01356409987667551</v>
      </c>
      <c r="AM44" s="139" t="n">
        <v>0.01845384245159565</v>
      </c>
      <c r="AN44" s="139" t="n">
        <v>0.6767980362090655</v>
      </c>
      <c r="AO44" s="139" t="n">
        <v>0.5642787060834379</v>
      </c>
      <c r="AP44" s="139" t="n">
        <v>0.2632026036499188</v>
      </c>
      <c r="AQ44" s="139" t="n">
        <v>0.3888261902065162</v>
      </c>
      <c r="AR44" s="139" t="n">
        <v>0.02131501409191865</v>
      </c>
    </row>
    <row r="45">
      <c r="C45" s="126" t="inlineStr">
        <is>
          <t>Energy</t>
        </is>
      </c>
      <c r="D45" s="126" t="inlineStr">
        <is>
          <t>ex_2020_21</t>
        </is>
      </c>
      <c r="E45" s="112" t="n">
        <v>39904</v>
      </c>
      <c r="F45" s="112" t="n">
        <v>46204</v>
      </c>
      <c r="G45" s="138" t="n">
        <v>184</v>
      </c>
      <c r="H45" s="139" t="n">
        <v>0.1607366931025715</v>
      </c>
      <c r="I45" s="139" t="n">
        <v>0.1371618811110707</v>
      </c>
      <c r="J45" s="138" t="n">
        <v>2</v>
      </c>
      <c r="K45" s="132" t="n">
        <v>9.793495366825459</v>
      </c>
      <c r="L45" s="139" t="n">
        <v>0.3360349927271993</v>
      </c>
      <c r="M45" s="132" t="n">
        <v>2.472761518947378</v>
      </c>
      <c r="N45" s="139" t="n">
        <v>0.01340735781534197</v>
      </c>
      <c r="O45" s="139" t="n">
        <v>0.09334587927356008</v>
      </c>
      <c r="P45" s="132" t="n">
        <v>0.581465163484268</v>
      </c>
      <c r="Q45" s="139" t="n">
        <v>0.2375046080680814</v>
      </c>
      <c r="R45" s="132" t="n">
        <v>2.086472829388797</v>
      </c>
      <c r="S45" s="139" t="n">
        <v>0.0369358139013225</v>
      </c>
      <c r="T45" s="139" t="n">
        <v>0.03394998927645354</v>
      </c>
      <c r="U45" s="132" t="n">
        <v>0.3325653038772565</v>
      </c>
      <c r="V45" s="139" t="n">
        <v>0.1332018709566173</v>
      </c>
      <c r="W45" s="132" t="n">
        <v>1.104334290787758</v>
      </c>
      <c r="X45" s="139" t="n">
        <v>0.2694481531169242</v>
      </c>
      <c r="Y45" s="139" t="n">
        <v>0.009353152777550777</v>
      </c>
      <c r="Z45" s="132" t="n">
        <v>0.9523964744331335</v>
      </c>
      <c r="AA45" s="139" t="n">
        <v>0.05269537154858972</v>
      </c>
      <c r="AB45" s="132" t="n">
        <v>0.5682056848910342</v>
      </c>
      <c r="AC45" s="139" t="n">
        <v>0.5698953117543497</v>
      </c>
      <c r="AD45" s="139" t="n">
        <v>0.002146531900971027</v>
      </c>
      <c r="AE45" s="132" t="n">
        <v>2.14934888740743</v>
      </c>
      <c r="AF45" s="139" t="n">
        <v>0.1148361880436759</v>
      </c>
      <c r="AG45" s="132" t="n">
        <v>0.9606929029290247</v>
      </c>
      <c r="AH45" s="139" t="n">
        <v>0.3367066007191806</v>
      </c>
      <c r="AI45" s="139" t="n">
        <v>0.00993606007047354</v>
      </c>
      <c r="AJ45" s="132" t="n">
        <v>3.849139829068014</v>
      </c>
      <c r="AK45" s="132" t="n">
        <v>5.944355537757443</v>
      </c>
      <c r="AL45" s="139" t="n">
        <v>0.0850753516456515</v>
      </c>
      <c r="AM45" s="139" t="n">
        <v>0.07374046798438083</v>
      </c>
      <c r="AN45" s="139" t="n">
        <v>0.2031469764572738</v>
      </c>
      <c r="AO45" s="139" t="n">
        <v>0.4234185263265951</v>
      </c>
      <c r="AP45" s="139" t="n">
        <v>0.6530692764357904</v>
      </c>
      <c r="AQ45" s="139" t="n">
        <v>0.5291103725587123</v>
      </c>
      <c r="AR45" s="139" t="n">
        <v>0.1871657736204333</v>
      </c>
    </row>
    <row r="46">
      <c r="C46" s="126" t="inlineStr">
        <is>
          <t>Energy</t>
        </is>
      </c>
      <c r="D46" s="126" t="inlineStr">
        <is>
          <t>clean</t>
        </is>
      </c>
      <c r="E46" s="112" t="n">
        <v>39904</v>
      </c>
      <c r="F46" s="112" t="n">
        <v>46204</v>
      </c>
      <c r="G46" s="138" t="n">
        <v>160</v>
      </c>
      <c r="H46" s="139" t="n">
        <v>0.1624879947161636</v>
      </c>
      <c r="I46" s="139" t="n">
        <v>0.1352960464926624</v>
      </c>
      <c r="J46" s="138" t="n">
        <v>2</v>
      </c>
      <c r="K46" s="132" t="n">
        <v>10.08931264021524</v>
      </c>
      <c r="L46" s="139" t="n">
        <v>0.3418899807808112</v>
      </c>
      <c r="M46" s="132" t="n">
        <v>2.498452612580019</v>
      </c>
      <c r="N46" s="139" t="n">
        <v>0.01247368183337638</v>
      </c>
      <c r="O46" s="139" t="n">
        <v>0.09739214846811572</v>
      </c>
      <c r="P46" s="132" t="n">
        <v>0.5873892347394793</v>
      </c>
      <c r="Q46" s="139" t="n">
        <v>0.2316653640514302</v>
      </c>
      <c r="R46" s="132" t="n">
        <v>1.937398064886615</v>
      </c>
      <c r="S46" s="139" t="n">
        <v>0.05269670300623952</v>
      </c>
      <c r="T46" s="139" t="n">
        <v>0.03152844218566564</v>
      </c>
      <c r="U46" s="132" t="n">
        <v>0.3261369572668684</v>
      </c>
      <c r="V46" s="139" t="n">
        <v>0.1256105083944151</v>
      </c>
      <c r="W46" s="132" t="n">
        <v>0.9601653864291031</v>
      </c>
      <c r="X46" s="139" t="n">
        <v>0.3369719844235681</v>
      </c>
      <c r="Y46" s="139" t="n">
        <v>0.008305552605283539</v>
      </c>
      <c r="Z46" s="132" t="n">
        <v>0.9913758438526203</v>
      </c>
      <c r="AA46" s="139" t="n">
        <v>0.0550591230924844</v>
      </c>
      <c r="AB46" s="132" t="n">
        <v>0.5664918394236064</v>
      </c>
      <c r="AC46" s="139" t="n">
        <v>0.5710594788738841</v>
      </c>
      <c r="AD46" s="139" t="n">
        <v>0.00227080439762839</v>
      </c>
      <c r="AE46" s="132" t="n">
        <v>1.814342703288993</v>
      </c>
      <c r="AF46" s="139" t="n">
        <v>0.09186253482233553</v>
      </c>
      <c r="AG46" s="132" t="n">
        <v>0.7358730836231313</v>
      </c>
      <c r="AH46" s="139" t="n">
        <v>0.4618079392034002</v>
      </c>
      <c r="AI46" s="139" t="n">
        <v>0.006204093628924823</v>
      </c>
      <c r="AJ46" s="132" t="n">
        <v>4.166800677918155</v>
      </c>
      <c r="AK46" s="132" t="n">
        <v>5.922511962297091</v>
      </c>
      <c r="AL46" s="139" t="n">
        <v>0.09241446195592973</v>
      </c>
      <c r="AM46" s="139" t="n">
        <v>0.0686052500835701</v>
      </c>
      <c r="AN46" s="139" t="n">
        <v>0.2898318665343174</v>
      </c>
      <c r="AO46" s="139" t="n">
        <v>0.5295274040941785</v>
      </c>
      <c r="AP46" s="139" t="n">
        <v>0.7183762040793694</v>
      </c>
      <c r="AQ46" s="139" t="n">
        <v>0.6349859164046754</v>
      </c>
      <c r="AR46" s="139" t="n">
        <v>0.1452227259307467</v>
      </c>
    </row>
    <row r="47">
      <c r="C47" s="126" t="inlineStr">
        <is>
          <t>Energy</t>
        </is>
      </c>
      <c r="D47" s="126" t="inlineStr">
        <is>
          <t>ex_seams</t>
        </is>
      </c>
      <c r="E47" s="112" t="n">
        <v>39904</v>
      </c>
      <c r="F47" s="112" t="n">
        <v>46204</v>
      </c>
      <c r="G47" s="138" t="n">
        <v>191</v>
      </c>
      <c r="H47" s="139" t="n">
        <v>0.4979417414332141</v>
      </c>
      <c r="I47" s="139" t="n">
        <v>0.4843725993097875</v>
      </c>
      <c r="J47" s="138" t="n">
        <v>2</v>
      </c>
      <c r="K47" s="132" t="n">
        <v>28.19455437588936</v>
      </c>
      <c r="L47" s="139" t="n">
        <v>0.6250200840131077</v>
      </c>
      <c r="M47" s="132" t="n">
        <v>2.887994018057077</v>
      </c>
      <c r="N47" s="139" t="n">
        <v>0.003877072457363129</v>
      </c>
      <c r="O47" s="139" t="n">
        <v>0.3135559443784547</v>
      </c>
      <c r="P47" s="132" t="n">
        <v>0.5822816846653227</v>
      </c>
      <c r="Q47" s="139" t="n">
        <v>0.1142722224040758</v>
      </c>
      <c r="R47" s="132" t="n">
        <v>1.403284871805702</v>
      </c>
      <c r="S47" s="139" t="n">
        <v>0.1605319075696832</v>
      </c>
      <c r="T47" s="139" t="n">
        <v>0.007394313253898832</v>
      </c>
      <c r="U47" s="132" t="n">
        <v>0.4393561220451581</v>
      </c>
      <c r="V47" s="139" t="n">
        <v>0.0849172822444817</v>
      </c>
      <c r="W47" s="132" t="n">
        <v>0.9052223345104637</v>
      </c>
      <c r="X47" s="139" t="n">
        <v>0.3653476118901797</v>
      </c>
      <c r="Y47" s="139" t="n">
        <v>0.003782894657618274</v>
      </c>
      <c r="Z47" s="132" t="n">
        <v>8.170420842247292</v>
      </c>
      <c r="AA47" s="139" t="n">
        <v>0.2225910699279315</v>
      </c>
      <c r="AB47" s="132" t="n">
        <v>1.932188338575986</v>
      </c>
      <c r="AC47" s="139" t="n">
        <v>0.05333626399437019</v>
      </c>
      <c r="AD47" s="139" t="n">
        <v>0.03695088909486544</v>
      </c>
      <c r="AE47" s="132" t="n">
        <v>7.252325001374225</v>
      </c>
      <c r="AF47" s="139" t="n">
        <v>0.2046253652486272</v>
      </c>
      <c r="AG47" s="132" t="n">
        <v>1.949727184314035</v>
      </c>
      <c r="AH47" s="139" t="n">
        <v>0.05120864443494</v>
      </c>
      <c r="AI47" s="139" t="n">
        <v>0.02819650482034941</v>
      </c>
      <c r="AJ47" s="132" t="n">
        <v>6.03355971264353</v>
      </c>
      <c r="AK47" s="132" t="n">
        <v>22.16099466324583</v>
      </c>
      <c r="AL47" s="139" t="n">
        <v>0.0166588777980976</v>
      </c>
      <c r="AM47" s="139" t="n">
        <v>0.02132389851549721</v>
      </c>
      <c r="AN47" s="139" t="n">
        <v>0.8090555968373689</v>
      </c>
      <c r="AO47" s="139" t="n">
        <v>0.5023529663489972</v>
      </c>
      <c r="AP47" s="139" t="n">
        <v>0.1551884511067095</v>
      </c>
      <c r="AQ47" s="139" t="n">
        <v>0.3501608579080534</v>
      </c>
      <c r="AR47" s="139" t="n">
        <v>0.02617823653986767</v>
      </c>
    </row>
    <row r="48">
      <c r="C48" s="126" t="inlineStr">
        <is>
          <t>Energy</t>
        </is>
      </c>
      <c r="D48" s="126" t="inlineStr">
        <is>
          <t>audit_clean</t>
        </is>
      </c>
      <c r="E48" s="112" t="n">
        <v>39904</v>
      </c>
      <c r="F48" s="112" t="n">
        <v>46204</v>
      </c>
      <c r="G48" s="138" t="n">
        <v>151</v>
      </c>
      <c r="H48" s="139" t="n">
        <v>0.178212824946715</v>
      </c>
      <c r="I48" s="139" t="n">
        <v>0.1498753361517741</v>
      </c>
      <c r="J48" s="138" t="n">
        <v>2</v>
      </c>
      <c r="K48" s="132" t="n">
        <v>9.978455544837985</v>
      </c>
      <c r="L48" s="139" t="n">
        <v>0.3451499789676633</v>
      </c>
      <c r="M48" s="132" t="n">
        <v>2.385385015564932</v>
      </c>
      <c r="N48" s="139" t="n">
        <v>0.01706125497239763</v>
      </c>
      <c r="O48" s="139" t="n">
        <v>0.09864270768649075</v>
      </c>
      <c r="P48" s="132" t="n">
        <v>0.5515429107760372</v>
      </c>
      <c r="Q48" s="139" t="n">
        <v>0.2182893284347993</v>
      </c>
      <c r="R48" s="132" t="n">
        <v>1.658632888866324</v>
      </c>
      <c r="S48" s="139" t="n">
        <v>0.09718979024422136</v>
      </c>
      <c r="T48" s="139" t="n">
        <v>0.02756709974920779</v>
      </c>
      <c r="U48" s="132" t="n">
        <v>0.2970172285330381</v>
      </c>
      <c r="V48" s="139" t="n">
        <v>0.1165475560578035</v>
      </c>
      <c r="W48" s="132" t="n">
        <v>0.8561751071300976</v>
      </c>
      <c r="X48" s="139" t="n">
        <v>0.3919009294196061</v>
      </c>
      <c r="Y48" s="139" t="n">
        <v>0.007053103726523124</v>
      </c>
      <c r="Z48" s="132" t="n">
        <v>1.529934974098707</v>
      </c>
      <c r="AA48" s="139" t="n">
        <v>0.08253533288279255</v>
      </c>
      <c r="AB48" s="132" t="n">
        <v>1.078275533268052</v>
      </c>
      <c r="AC48" s="139" t="n">
        <v>0.280910812436892</v>
      </c>
      <c r="AD48" s="139" t="n">
        <v>0.00535058981386638</v>
      </c>
      <c r="AE48" s="132" t="n">
        <v>2.791090651641777</v>
      </c>
      <c r="AF48" s="139" t="n">
        <v>0.1393280347506595</v>
      </c>
      <c r="AG48" s="132" t="n">
        <v>1.154162093505349</v>
      </c>
      <c r="AH48" s="139" t="n">
        <v>0.2484337202094804</v>
      </c>
      <c r="AI48" s="139" t="n">
        <v>0.01502792042972934</v>
      </c>
      <c r="AJ48" s="132" t="n">
        <v>4.442488062949742</v>
      </c>
      <c r="AK48" s="132" t="n">
        <v>5.535967481888249</v>
      </c>
      <c r="AL48" s="139" t="n">
        <v>0.1226867433269834</v>
      </c>
      <c r="AM48" s="139" t="n">
        <v>0.09383690234818698</v>
      </c>
      <c r="AN48" s="139" t="n">
        <v>0.4692364492717861</v>
      </c>
      <c r="AO48" s="139" t="n">
        <v>0.615844317659381</v>
      </c>
      <c r="AP48" s="139" t="n">
        <v>0.4817579856958805</v>
      </c>
      <c r="AQ48" s="139" t="n">
        <v>0.4597175053008847</v>
      </c>
      <c r="AR48" s="139" t="n">
        <v>0.1927934537995453</v>
      </c>
    </row>
    <row r="49">
      <c r="C49" s="126" t="inlineStr">
        <is>
          <t>Energy</t>
        </is>
      </c>
      <c r="D49" s="126" t="inlineStr">
        <is>
          <t>since_2020</t>
        </is>
      </c>
      <c r="E49" s="112" t="n">
        <v>43831</v>
      </c>
      <c r="F49" s="112" t="n">
        <v>46204</v>
      </c>
      <c r="G49" s="138" t="n">
        <v>77</v>
      </c>
      <c r="H49" s="139" t="n">
        <v>0.6870470109520358</v>
      </c>
      <c r="I49" s="139" t="n">
        <v>0.6650080680613342</v>
      </c>
      <c r="J49" s="138" t="n">
        <v>2</v>
      </c>
      <c r="K49" s="132" t="n">
        <v>40.06190807837756</v>
      </c>
      <c r="L49" s="139" t="n">
        <v>0.7268271089689927</v>
      </c>
      <c r="M49" s="132" t="n">
        <v>4.195343059761824</v>
      </c>
      <c r="N49" s="139" t="n">
        <v>2.724588875735456e-05</v>
      </c>
      <c r="O49" s="139" t="n">
        <v>0.3767079900036122</v>
      </c>
      <c r="P49" s="132" t="n">
        <v>0.1797724761728929</v>
      </c>
      <c r="Q49" s="139" t="n">
        <v>0.02767242137122777</v>
      </c>
      <c r="R49" s="132" t="n">
        <v>0.2040499315197478</v>
      </c>
      <c r="S49" s="139" t="n">
        <v>0.8383144799371876</v>
      </c>
      <c r="T49" s="139" t="n">
        <v>0.0003533296832270993</v>
      </c>
      <c r="U49" s="132" t="n">
        <v>0.201467489227662</v>
      </c>
      <c r="V49" s="139" t="n">
        <v>0.02561257801220707</v>
      </c>
      <c r="W49" s="132" t="n">
        <v>0.2122589819460914</v>
      </c>
      <c r="X49" s="139" t="n">
        <v>0.831904993950753</v>
      </c>
      <c r="Y49" s="139" t="n">
        <v>0.0003082617759552209</v>
      </c>
      <c r="Z49" s="132" t="n">
        <v>4.868590169300216</v>
      </c>
      <c r="AA49" s="139" t="n">
        <v>0.1157170163999209</v>
      </c>
      <c r="AB49" s="132" t="n">
        <v>1.436316860671972</v>
      </c>
      <c r="AC49" s="139" t="n">
        <v>0.1509121984449726</v>
      </c>
      <c r="AD49" s="139" t="n">
        <v>0.009877292752810463</v>
      </c>
      <c r="AE49" s="132" t="n">
        <v>15.20175027332694</v>
      </c>
      <c r="AF49" s="139" t="n">
        <v>0.3281101589597246</v>
      </c>
      <c r="AG49" s="132" t="n">
        <v>2.661558857539337</v>
      </c>
      <c r="AH49" s="139" t="n">
        <v>0.007777974126706777</v>
      </c>
      <c r="AI49" s="139" t="n">
        <v>0.06462791705884197</v>
      </c>
      <c r="AJ49" s="132" t="n">
        <v>6.269183634334258</v>
      </c>
      <c r="AK49" s="132" t="n">
        <v>33.7927244440433</v>
      </c>
      <c r="AL49" s="139" t="n">
        <v>0.0001906505013589133</v>
      </c>
      <c r="AM49" s="139" t="n">
        <v>0.0001498523881654501</v>
      </c>
      <c r="AN49" s="139" t="n">
        <v>0.9221459279309062</v>
      </c>
      <c r="AO49" s="139" t="n">
        <v>0.831904993950753</v>
      </c>
      <c r="AP49" s="139" t="n">
        <v>0.2434733509264441</v>
      </c>
      <c r="AQ49" s="139" t="n">
        <v>0.0439300975918863</v>
      </c>
      <c r="AR49" s="139" t="n">
        <v>0.0004194311029896092</v>
      </c>
    </row>
    <row r="50">
      <c r="C50" s="126" t="inlineStr">
        <is>
          <t>Energy</t>
        </is>
      </c>
      <c r="D50" s="126" t="inlineStr">
        <is>
          <t>since_2022</t>
        </is>
      </c>
      <c r="E50" s="112" t="n">
        <v>44562</v>
      </c>
      <c r="F50" s="112" t="n">
        <v>46204</v>
      </c>
      <c r="G50" s="138" t="n">
        <v>55</v>
      </c>
      <c r="H50" s="139" t="n">
        <v>0.2309314778888898</v>
      </c>
      <c r="I50" s="139" t="n">
        <v>0.1524550980816337</v>
      </c>
      <c r="J50" s="138" t="n">
        <v>2</v>
      </c>
      <c r="K50" s="132" t="n">
        <v>3.869159584002884</v>
      </c>
      <c r="L50" s="139" t="n">
        <v>0.06967781938079082</v>
      </c>
      <c r="M50" s="132" t="n">
        <v>0.5708695735958129</v>
      </c>
      <c r="N50" s="139" t="n">
        <v>0.5680880572119187</v>
      </c>
      <c r="O50" s="139" t="n">
        <v>0.004708373634786267</v>
      </c>
      <c r="P50" s="132" t="n">
        <v>0.9241136301325157</v>
      </c>
      <c r="Q50" s="139" t="n">
        <v>0.4406148952049945</v>
      </c>
      <c r="R50" s="132" t="n">
        <v>1.990901851774233</v>
      </c>
      <c r="S50" s="139" t="n">
        <v>0.04649167859631187</v>
      </c>
      <c r="T50" s="139" t="n">
        <v>0.1033911041484906</v>
      </c>
      <c r="U50" s="132" t="n">
        <v>0.5361071302971787</v>
      </c>
      <c r="V50" s="139" t="n">
        <v>0.1785349218234056</v>
      </c>
      <c r="W50" s="132" t="n">
        <v>0.9872392947813439</v>
      </c>
      <c r="X50" s="139" t="n">
        <v>0.3235253424126907</v>
      </c>
      <c r="Y50" s="139" t="n">
        <v>0.01531652404065231</v>
      </c>
      <c r="Z50" s="132" t="n">
        <v>1.980631835181341</v>
      </c>
      <c r="AA50" s="139" t="n">
        <v>0.145329499693447</v>
      </c>
      <c r="AB50" s="132" t="n">
        <v>1.405221156458577</v>
      </c>
      <c r="AC50" s="139" t="n">
        <v>0.1599555248846611</v>
      </c>
      <c r="AD50" s="139" t="n">
        <v>0.01895047512501846</v>
      </c>
      <c r="AE50" s="132" t="n">
        <v>1.561204010806137</v>
      </c>
      <c r="AF50" s="139" t="n">
        <v>0.08893346209234469</v>
      </c>
      <c r="AG50" s="132" t="n">
        <v>0.5590226670731007</v>
      </c>
      <c r="AH50" s="139" t="n">
        <v>0.5761462506083865</v>
      </c>
      <c r="AI50" s="139" t="n">
        <v>0.004806766348350311</v>
      </c>
      <c r="AJ50" s="132" t="n">
        <v>0.2982402843671333</v>
      </c>
      <c r="AK50" s="132" t="n">
        <v>3.570919299635752</v>
      </c>
      <c r="AL50" s="139" t="n">
        <v>0.409702993618382</v>
      </c>
      <c r="AM50" s="139" t="n">
        <v>0.9072887452862399</v>
      </c>
      <c r="AN50" s="139" t="n">
        <v>0.1704694881864769</v>
      </c>
      <c r="AO50" s="139" t="n">
        <v>0.508396966648514</v>
      </c>
      <c r="AP50" s="139" t="n">
        <v>0.2932517956218788</v>
      </c>
      <c r="AQ50" s="139" t="n">
        <v>0.7922010945865314</v>
      </c>
      <c r="AR50" s="139" t="n">
        <v>0.9772311542052887</v>
      </c>
    </row>
    <row r="51">
      <c r="C51" s="126" t="inlineStr">
        <is>
          <t>Energy</t>
        </is>
      </c>
      <c r="D51" s="126" t="inlineStr">
        <is>
          <t>since_2022_ex_seams</t>
        </is>
      </c>
      <c r="E51" s="112" t="n">
        <v>44562</v>
      </c>
      <c r="F51" s="112" t="n">
        <v>46204</v>
      </c>
      <c r="G51" s="138" t="n">
        <v>52</v>
      </c>
      <c r="H51" s="139" t="n">
        <v>0.2128183458679942</v>
      </c>
      <c r="I51" s="139" t="n">
        <v>0.1272551225927762</v>
      </c>
      <c r="J51" s="138" t="n">
        <v>2</v>
      </c>
      <c r="K51" s="132" t="n">
        <v>2.638584909428929</v>
      </c>
      <c r="L51" s="139" t="n">
        <v>0.04987006136742326</v>
      </c>
      <c r="M51" s="132" t="n">
        <v>0.4447114363087884</v>
      </c>
      <c r="N51" s="139" t="n">
        <v>0.6565283035719476</v>
      </c>
      <c r="O51" s="139" t="n">
        <v>0.002422415047523718</v>
      </c>
      <c r="P51" s="132" t="n">
        <v>0.8300069437137054</v>
      </c>
      <c r="Q51" s="139" t="n">
        <v>0.4074649636046197</v>
      </c>
      <c r="R51" s="132" t="n">
        <v>1.654171806676161</v>
      </c>
      <c r="S51" s="139" t="n">
        <v>0.09809260950887588</v>
      </c>
      <c r="T51" s="139" t="n">
        <v>0.08430574843126903</v>
      </c>
      <c r="U51" s="132" t="n">
        <v>0.374349079778691</v>
      </c>
      <c r="V51" s="139" t="n">
        <v>0.1315451781931858</v>
      </c>
      <c r="W51" s="132" t="n">
        <v>0.7391069510483529</v>
      </c>
      <c r="X51" s="139" t="n">
        <v>0.45984205631393</v>
      </c>
      <c r="Y51" s="139" t="n">
        <v>0.00784825005995804</v>
      </c>
      <c r="Z51" s="132" t="n">
        <v>1.510510346215088</v>
      </c>
      <c r="AA51" s="139" t="n">
        <v>0.1164716930922101</v>
      </c>
      <c r="AB51" s="132" t="n">
        <v>1.127556748965852</v>
      </c>
      <c r="AC51" s="139" t="n">
        <v>0.2595071613277151</v>
      </c>
      <c r="AD51" s="139" t="n">
        <v>0.01216596466462705</v>
      </c>
      <c r="AE51" s="132" t="n">
        <v>2.3155222479225</v>
      </c>
      <c r="AF51" s="139" t="n">
        <v>0.1381635148568851</v>
      </c>
      <c r="AG51" s="132" t="n">
        <v>0.8734119989266087</v>
      </c>
      <c r="AH51" s="139" t="n">
        <v>0.3824385531757579</v>
      </c>
      <c r="AI51" s="139" t="n">
        <v>0.01164258217385672</v>
      </c>
      <c r="AJ51" s="132" t="n">
        <v>-0.2537486584143023</v>
      </c>
      <c r="AK51" s="132" t="n">
        <v>2.89233356784323</v>
      </c>
      <c r="AL51" s="139" t="n">
        <v>0.3801718049327256</v>
      </c>
      <c r="AM51" s="139" t="n">
        <v>0.9361322152825664</v>
      </c>
      <c r="AN51" s="139" t="n">
        <v>0.2697546761494087</v>
      </c>
      <c r="AO51" s="139" t="n">
        <v>0.5688850760090902</v>
      </c>
      <c r="AP51" s="139" t="n">
        <v>0.3373704899544729</v>
      </c>
      <c r="AQ51" s="139" t="n">
        <v>0.6247003961706689</v>
      </c>
      <c r="AR51" s="139" t="n">
        <v>0.9127750527660768</v>
      </c>
    </row>
    <row r="52">
      <c r="C52" s="126" t="inlineStr">
        <is>
          <t>Financials</t>
        </is>
      </c>
      <c r="D52" s="126" t="inlineStr">
        <is>
          <t>full</t>
        </is>
      </c>
      <c r="E52" s="112" t="n">
        <v>39904</v>
      </c>
      <c r="F52" s="112" t="n">
        <v>46204</v>
      </c>
      <c r="G52" s="138" t="n">
        <v>208</v>
      </c>
      <c r="H52" s="139" t="n">
        <v>0.1249745738959779</v>
      </c>
      <c r="I52" s="139" t="n">
        <v>0.1033155286953832</v>
      </c>
      <c r="J52" s="138" t="n">
        <v>0</v>
      </c>
      <c r="K52" s="132" t="n">
        <v>1.593324423116947</v>
      </c>
      <c r="L52" s="139" t="n">
        <v>0.2303426251871399</v>
      </c>
      <c r="M52" s="132" t="n">
        <v>2.282700402161341</v>
      </c>
      <c r="N52" s="139" t="n">
        <v>0.02244802209214081</v>
      </c>
      <c r="O52" s="139" t="n">
        <v>0.04272053919102425</v>
      </c>
      <c r="P52" s="132" t="n">
        <v>-0.01617020819415077</v>
      </c>
      <c r="Q52" s="139" t="n">
        <v>-0.02074696444350084</v>
      </c>
      <c r="R52" s="132" t="n">
        <v>-0.1109486394137998</v>
      </c>
      <c r="S52" s="139" t="n">
        <v>0.9116570749875013</v>
      </c>
      <c r="T52" s="139" t="n">
        <v>0.0002366380981053684</v>
      </c>
      <c r="U52" s="132" t="n">
        <v>-0.09404481653953134</v>
      </c>
      <c r="V52" s="139" t="n">
        <v>-0.1166185304485744</v>
      </c>
      <c r="W52" s="132" t="n">
        <v>-0.7609437812315464</v>
      </c>
      <c r="X52" s="139" t="n">
        <v>0.4466906468976637</v>
      </c>
      <c r="Y52" s="139" t="n">
        <v>0.007037822944902739</v>
      </c>
      <c r="Z52" s="132" t="n">
        <v>0.7696450840693287</v>
      </c>
      <c r="AA52" s="139" t="n">
        <v>0.1379016875476637</v>
      </c>
      <c r="AB52" s="132" t="n">
        <v>1.310868933818462</v>
      </c>
      <c r="AC52" s="139" t="n">
        <v>0.1899020481871059</v>
      </c>
      <c r="AD52" s="139" t="n">
        <v>0.01392726329004301</v>
      </c>
      <c r="AE52" s="132" t="n">
        <v>0.8664026806872978</v>
      </c>
      <c r="AF52" s="139" t="n">
        <v>0.1562751768601612</v>
      </c>
      <c r="AG52" s="132" t="n">
        <v>1.505485658118214</v>
      </c>
      <c r="AH52" s="139" t="n">
        <v>0.132199261369748</v>
      </c>
      <c r="AI52" s="139" t="n">
        <v>0.01601358209006576</v>
      </c>
      <c r="AJ52" s="132" t="n">
        <v>5.968952397629377</v>
      </c>
      <c r="AK52" s="132" t="n">
        <v>-4.375627974512429</v>
      </c>
      <c r="AL52" s="139" t="n">
        <v>0.0001160683149561414</v>
      </c>
      <c r="AM52" s="139" t="n">
        <v>0.08230941433784962</v>
      </c>
      <c r="AN52" s="139" t="n">
        <v>0.9866714792407835</v>
      </c>
      <c r="AO52" s="139" t="n">
        <v>0.5033100362593185</v>
      </c>
      <c r="AP52" s="139" t="n">
        <v>0.5222306325145412</v>
      </c>
      <c r="AQ52" s="139" t="n">
        <v>0.3635479687668071</v>
      </c>
      <c r="AR52" s="139" t="n">
        <v>0.000319187866129389</v>
      </c>
    </row>
    <row r="53">
      <c r="C53" s="126" t="inlineStr">
        <is>
          <t>Financials</t>
        </is>
      </c>
      <c r="D53" s="126" t="inlineStr">
        <is>
          <t>ex_2013_14</t>
        </is>
      </c>
      <c r="E53" s="112" t="n">
        <v>39904</v>
      </c>
      <c r="F53" s="112" t="n">
        <v>46204</v>
      </c>
      <c r="G53" s="138" t="n">
        <v>184</v>
      </c>
      <c r="H53" s="139" t="n">
        <v>0.1412122653358791</v>
      </c>
      <c r="I53" s="139" t="n">
        <v>0.1170890143621678</v>
      </c>
      <c r="J53" s="138" t="n">
        <v>0</v>
      </c>
      <c r="K53" s="132" t="n">
        <v>1.707058648720911</v>
      </c>
      <c r="L53" s="139" t="n">
        <v>0.2514328770161939</v>
      </c>
      <c r="M53" s="132" t="n">
        <v>2.448041404578032</v>
      </c>
      <c r="N53" s="139" t="n">
        <v>0.01436351486233711</v>
      </c>
      <c r="O53" s="139" t="n">
        <v>0.05068371374049541</v>
      </c>
      <c r="P53" s="132" t="n">
        <v>0.01877368313831806</v>
      </c>
      <c r="Q53" s="139" t="n">
        <v>0.02374533206072272</v>
      </c>
      <c r="R53" s="132" t="n">
        <v>0.1196411991481619</v>
      </c>
      <c r="S53" s="139" t="n">
        <v>0.9047673819064683</v>
      </c>
      <c r="T53" s="139" t="n">
        <v>0.0002991649926153972</v>
      </c>
      <c r="U53" s="132" t="n">
        <v>-0.08295469817465739</v>
      </c>
      <c r="V53" s="139" t="n">
        <v>-0.1013520685515544</v>
      </c>
      <c r="W53" s="132" t="n">
        <v>-0.6235594784699783</v>
      </c>
      <c r="X53" s="139" t="n">
        <v>0.5329169293837066</v>
      </c>
      <c r="Y53" s="139" t="n">
        <v>0.005266333473939233</v>
      </c>
      <c r="Z53" s="132" t="n">
        <v>0.8620681096734212</v>
      </c>
      <c r="AA53" s="139" t="n">
        <v>0.1578910053561906</v>
      </c>
      <c r="AB53" s="132" t="n">
        <v>1.384201036962918</v>
      </c>
      <c r="AC53" s="139" t="n">
        <v>0.1662969059415698</v>
      </c>
      <c r="AD53" s="139" t="n">
        <v>0.01752471436467118</v>
      </c>
      <c r="AE53" s="132" t="n">
        <v>0.5956276134517162</v>
      </c>
      <c r="AF53" s="139" t="n">
        <v>0.1065604676771572</v>
      </c>
      <c r="AG53" s="132" t="n">
        <v>0.9940094762942774</v>
      </c>
      <c r="AH53" s="139" t="n">
        <v>0.3202182539855438</v>
      </c>
      <c r="AI53" s="139" t="n">
        <v>0.007050098073669409</v>
      </c>
      <c r="AJ53" s="132" t="n">
        <v>6.179005187471408</v>
      </c>
      <c r="AK53" s="132" t="n">
        <v>-4.471946538750493</v>
      </c>
      <c r="AL53" s="139" t="n">
        <v>0.0001218230518782448</v>
      </c>
      <c r="AM53" s="139" t="n">
        <v>0.05266622116190275</v>
      </c>
      <c r="AN53" s="139" t="n">
        <v>0.9866714792407835</v>
      </c>
      <c r="AO53" s="139" t="n">
        <v>0.5862086223220773</v>
      </c>
      <c r="AP53" s="139" t="n">
        <v>0.3658531930714535</v>
      </c>
      <c r="AQ53" s="139" t="n">
        <v>0.5032001134058546</v>
      </c>
      <c r="AR53" s="139" t="n">
        <v>0.0003350133926651733</v>
      </c>
    </row>
    <row r="54">
      <c r="C54" s="126" t="inlineStr">
        <is>
          <t>Financials</t>
        </is>
      </c>
      <c r="D54" s="126" t="inlineStr">
        <is>
          <t>ex_2020_21</t>
        </is>
      </c>
      <c r="E54" s="112" t="n">
        <v>39904</v>
      </c>
      <c r="F54" s="112" t="n">
        <v>46204</v>
      </c>
      <c r="G54" s="138" t="n">
        <v>184</v>
      </c>
      <c r="H54" s="139" t="n">
        <v>0.04455654425420597</v>
      </c>
      <c r="I54" s="139" t="n">
        <v>0.01771824493550389</v>
      </c>
      <c r="J54" s="138" t="n">
        <v>0</v>
      </c>
      <c r="K54" s="132" t="n">
        <v>0.7509781321598248</v>
      </c>
      <c r="L54" s="139" t="n">
        <v>0.09915529786723351</v>
      </c>
      <c r="M54" s="132" t="n">
        <v>0.6630708456214383</v>
      </c>
      <c r="N54" s="139" t="n">
        <v>0.5072851816847468</v>
      </c>
      <c r="O54" s="139" t="n">
        <v>0.008127518910403753</v>
      </c>
      <c r="P54" s="132" t="n">
        <v>0.1068464191047582</v>
      </c>
      <c r="Q54" s="139" t="n">
        <v>0.1679384580971561</v>
      </c>
      <c r="R54" s="132" t="n">
        <v>1.111850725839863</v>
      </c>
      <c r="S54" s="139" t="n">
        <v>0.2662023375672005</v>
      </c>
      <c r="T54" s="139" t="n">
        <v>0.01697445674456899</v>
      </c>
      <c r="U54" s="132" t="n">
        <v>0.01685631226639317</v>
      </c>
      <c r="V54" s="139" t="n">
        <v>0.02597991975807974</v>
      </c>
      <c r="W54" s="132" t="n">
        <v>0.2053406120483093</v>
      </c>
      <c r="X54" s="139" t="n">
        <v>0.8373060161960555</v>
      </c>
      <c r="Y54" s="139" t="n">
        <v>0.0003558057720068897</v>
      </c>
      <c r="Z54" s="132" t="n">
        <v>0.2281178899827752</v>
      </c>
      <c r="AA54" s="139" t="n">
        <v>0.04856863387816714</v>
      </c>
      <c r="AB54" s="132" t="n">
        <v>0.5913630140899977</v>
      </c>
      <c r="AC54" s="139" t="n">
        <v>0.5542772164924457</v>
      </c>
      <c r="AD54" s="139" t="n">
        <v>0.00182349333836318</v>
      </c>
      <c r="AE54" s="132" t="n">
        <v>0.3357790093173143</v>
      </c>
      <c r="AF54" s="139" t="n">
        <v>0.06903466861341495</v>
      </c>
      <c r="AG54" s="132" t="n">
        <v>0.6269316748635059</v>
      </c>
      <c r="AH54" s="139" t="n">
        <v>0.5307040232947597</v>
      </c>
      <c r="AI54" s="139" t="n">
        <v>0.003590799547706358</v>
      </c>
      <c r="AJ54" s="132" t="n">
        <v>3.849139829068014</v>
      </c>
      <c r="AK54" s="132" t="n">
        <v>-3.098161696908191</v>
      </c>
      <c r="AL54" s="139" t="n">
        <v>0.05084609024512776</v>
      </c>
      <c r="AM54" s="139" t="n">
        <v>0.7484332346301469</v>
      </c>
      <c r="AN54" s="139" t="n">
        <v>0.8635982664161705</v>
      </c>
      <c r="AO54" s="139" t="n">
        <v>0.8373060161960555</v>
      </c>
      <c r="AP54" s="139" t="n">
        <v>0.6530692764357904</v>
      </c>
      <c r="AQ54" s="139" t="n">
        <v>0.7297180320302946</v>
      </c>
      <c r="AR54" s="139" t="n">
        <v>0.1398267481741013</v>
      </c>
    </row>
    <row r="55">
      <c r="C55" s="126" t="inlineStr">
        <is>
          <t>Financials</t>
        </is>
      </c>
      <c r="D55" s="126" t="inlineStr">
        <is>
          <t>clean</t>
        </is>
      </c>
      <c r="E55" s="112" t="n">
        <v>39904</v>
      </c>
      <c r="F55" s="112" t="n">
        <v>46204</v>
      </c>
      <c r="G55" s="138" t="n">
        <v>160</v>
      </c>
      <c r="H55" s="139" t="n">
        <v>0.07633837064114268</v>
      </c>
      <c r="I55" s="139" t="n">
        <v>0.04634935670092</v>
      </c>
      <c r="J55" s="138" t="n">
        <v>0</v>
      </c>
      <c r="K55" s="132" t="n">
        <v>1.15171994082514</v>
      </c>
      <c r="L55" s="139" t="n">
        <v>0.1554195639647222</v>
      </c>
      <c r="M55" s="132" t="n">
        <v>1.034424223717163</v>
      </c>
      <c r="N55" s="139" t="n">
        <v>0.3009378848038855</v>
      </c>
      <c r="O55" s="139" t="n">
        <v>0.02012623647796696</v>
      </c>
      <c r="P55" s="132" t="n">
        <v>0.1580906835484089</v>
      </c>
      <c r="Q55" s="139" t="n">
        <v>0.2482992503262354</v>
      </c>
      <c r="R55" s="132" t="n">
        <v>1.610392341885754</v>
      </c>
      <c r="S55" s="139" t="n">
        <v>0.1073122313712687</v>
      </c>
      <c r="T55" s="139" t="n">
        <v>0.03621855452187206</v>
      </c>
      <c r="U55" s="132" t="n">
        <v>0.04251817251370849</v>
      </c>
      <c r="V55" s="139" t="n">
        <v>0.06521305622104938</v>
      </c>
      <c r="W55" s="132" t="n">
        <v>0.4798296120332551</v>
      </c>
      <c r="X55" s="139" t="n">
        <v>0.6313485549157654</v>
      </c>
      <c r="Y55" s="139" t="n">
        <v>0.002238647397045268</v>
      </c>
      <c r="Z55" s="132" t="n">
        <v>0.311882227847167</v>
      </c>
      <c r="AA55" s="139" t="n">
        <v>0.0689787931173203</v>
      </c>
      <c r="AB55" s="132" t="n">
        <v>0.8423298462044168</v>
      </c>
      <c r="AC55" s="139" t="n">
        <v>0.399603349216654</v>
      </c>
      <c r="AD55" s="139" t="n">
        <v>0.003564120092381717</v>
      </c>
      <c r="AE55" s="132" t="n">
        <v>-0.06836986022565261</v>
      </c>
      <c r="AF55" s="139" t="n">
        <v>-0.01378535011273702</v>
      </c>
      <c r="AG55" s="132" t="n">
        <v>-0.1273596332929745</v>
      </c>
      <c r="AH55" s="139" t="n">
        <v>0.8986557639729316</v>
      </c>
      <c r="AI55" s="139" t="n">
        <v>0.0001397130888642906</v>
      </c>
      <c r="AJ55" s="132" t="n">
        <v>4.166800677918155</v>
      </c>
      <c r="AK55" s="132" t="n">
        <v>-3.015080737093014</v>
      </c>
      <c r="AL55" s="139" t="n">
        <v>0.06803373490579911</v>
      </c>
      <c r="AM55" s="139" t="n">
        <v>0.6916769145070888</v>
      </c>
      <c r="AN55" s="139" t="n">
        <v>0.3934781816946518</v>
      </c>
      <c r="AO55" s="139" t="n">
        <v>0.8681042630091773</v>
      </c>
      <c r="AP55" s="139" t="n">
        <v>0.7183762040793694</v>
      </c>
      <c r="AQ55" s="139" t="n">
        <v>0.8986557639729316</v>
      </c>
      <c r="AR55" s="139" t="n">
        <v>0.1416943801651676</v>
      </c>
    </row>
    <row r="56">
      <c r="C56" s="126" t="inlineStr">
        <is>
          <t>Financials</t>
        </is>
      </c>
      <c r="D56" s="126" t="inlineStr">
        <is>
          <t>ex_seams</t>
        </is>
      </c>
      <c r="E56" s="112" t="n">
        <v>39904</v>
      </c>
      <c r="F56" s="112" t="n">
        <v>46204</v>
      </c>
      <c r="G56" s="138" t="n">
        <v>193</v>
      </c>
      <c r="H56" s="139" t="n">
        <v>0.1384604387966255</v>
      </c>
      <c r="I56" s="139" t="n">
        <v>0.1154246216521503</v>
      </c>
      <c r="J56" s="138" t="n">
        <v>0</v>
      </c>
      <c r="K56" s="132" t="n">
        <v>1.77198566043701</v>
      </c>
      <c r="L56" s="139" t="n">
        <v>0.2576447114568128</v>
      </c>
      <c r="M56" s="132" t="n">
        <v>2.488356773860446</v>
      </c>
      <c r="N56" s="139" t="n">
        <v>0.01283349176756921</v>
      </c>
      <c r="O56" s="139" t="n">
        <v>0.05413502588604169</v>
      </c>
      <c r="P56" s="132" t="n">
        <v>-0.051477375502612</v>
      </c>
      <c r="Q56" s="139" t="n">
        <v>-0.06412531520643913</v>
      </c>
      <c r="R56" s="132" t="n">
        <v>-0.3300963546925246</v>
      </c>
      <c r="S56" s="139" t="n">
        <v>0.7413271575402516</v>
      </c>
      <c r="T56" s="139" t="n">
        <v>0.002362472894434475</v>
      </c>
      <c r="U56" s="132" t="n">
        <v>-0.0816627564235699</v>
      </c>
      <c r="V56" s="139" t="n">
        <v>-0.09986833283391253</v>
      </c>
      <c r="W56" s="132" t="n">
        <v>-0.6572549515358462</v>
      </c>
      <c r="X56" s="139" t="n">
        <v>0.511016997224377</v>
      </c>
      <c r="Y56" s="139" t="n">
        <v>0.00536481765595842</v>
      </c>
      <c r="Z56" s="132" t="n">
        <v>1.10884976151568</v>
      </c>
      <c r="AA56" s="139" t="n">
        <v>0.1931409682879083</v>
      </c>
      <c r="AB56" s="132" t="n">
        <v>1.663458189744983</v>
      </c>
      <c r="AC56" s="139" t="n">
        <v>0.09622075345030501</v>
      </c>
      <c r="AD56" s="139" t="n">
        <v>0.02771756768093203</v>
      </c>
      <c r="AE56" s="132" t="n">
        <v>0.7520764877164924</v>
      </c>
      <c r="AF56" s="139" t="n">
        <v>0.1344943350921065</v>
      </c>
      <c r="AG56" s="132" t="n">
        <v>1.416063155668604</v>
      </c>
      <c r="AH56" s="139" t="n">
        <v>0.1567570143052752</v>
      </c>
      <c r="AI56" s="139" t="n">
        <v>0.01213999683234923</v>
      </c>
      <c r="AJ56" s="132" t="n">
        <v>6.257300955716724</v>
      </c>
      <c r="AK56" s="132" t="n">
        <v>-4.485315295279711</v>
      </c>
      <c r="AL56" s="139" t="n">
        <v>8.004579705023218e-05</v>
      </c>
      <c r="AM56" s="139" t="n">
        <v>0.04705613648108709</v>
      </c>
      <c r="AN56" s="139" t="n">
        <v>0.8154598732942768</v>
      </c>
      <c r="AO56" s="139" t="n">
        <v>0.6245763299409052</v>
      </c>
      <c r="AP56" s="139" t="n">
        <v>0.211685657590671</v>
      </c>
      <c r="AQ56" s="139" t="n">
        <v>0.4188091181891152</v>
      </c>
      <c r="AR56" s="139" t="n">
        <v>0.0002201259418881385</v>
      </c>
    </row>
    <row r="57">
      <c r="C57" s="126" t="inlineStr">
        <is>
          <t>Financials</t>
        </is>
      </c>
      <c r="D57" s="126" t="inlineStr">
        <is>
          <t>audit_clean</t>
        </is>
      </c>
      <c r="E57" s="112" t="n">
        <v>39904</v>
      </c>
      <c r="F57" s="112" t="n">
        <v>46204</v>
      </c>
      <c r="G57" s="138" t="n">
        <v>151</v>
      </c>
      <c r="H57" s="139" t="n">
        <v>0.07693507860790771</v>
      </c>
      <c r="I57" s="139" t="n">
        <v>0.04510525373231844</v>
      </c>
      <c r="J57" s="138" t="n">
        <v>0</v>
      </c>
      <c r="K57" s="132" t="n">
        <v>1.278922621572451</v>
      </c>
      <c r="L57" s="139" t="n">
        <v>0.1743511921714421</v>
      </c>
      <c r="M57" s="132" t="n">
        <v>1.144330927960313</v>
      </c>
      <c r="N57" s="139" t="n">
        <v>0.2524864215856584</v>
      </c>
      <c r="O57" s="139" t="n">
        <v>0.02517092206704197</v>
      </c>
      <c r="P57" s="132" t="n">
        <v>0.1515576427301621</v>
      </c>
      <c r="Q57" s="139" t="n">
        <v>0.2364107209760719</v>
      </c>
      <c r="R57" s="132" t="n">
        <v>1.522141709021299</v>
      </c>
      <c r="S57" s="139" t="n">
        <v>0.1279735770741235</v>
      </c>
      <c r="T57" s="139" t="n">
        <v>0.03233407215126394</v>
      </c>
      <c r="U57" s="132" t="n">
        <v>0.04977169707788698</v>
      </c>
      <c r="V57" s="139" t="n">
        <v>0.07697330009244271</v>
      </c>
      <c r="W57" s="132" t="n">
        <v>0.5415805520837449</v>
      </c>
      <c r="X57" s="139" t="n">
        <v>0.5881074922901302</v>
      </c>
      <c r="Y57" s="139" t="n">
        <v>0.003076480324490705</v>
      </c>
      <c r="Z57" s="132" t="n">
        <v>0.389423424914761</v>
      </c>
      <c r="AA57" s="139" t="n">
        <v>0.08279900812044773</v>
      </c>
      <c r="AB57" s="132" t="n">
        <v>1.089181527941107</v>
      </c>
      <c r="AC57" s="139" t="n">
        <v>0.276073843092876</v>
      </c>
      <c r="AD57" s="139" t="n">
        <v>0.005384831430353954</v>
      </c>
      <c r="AE57" s="132" t="n">
        <v>0.001895980784059448</v>
      </c>
      <c r="AF57" s="139" t="n">
        <v>0.0003730221563250681</v>
      </c>
      <c r="AG57" s="132" t="n">
        <v>0.003529103564690363</v>
      </c>
      <c r="AH57" s="139" t="n">
        <v>0.9971841885972148</v>
      </c>
      <c r="AI57" s="139" t="n">
        <v>1.077187042897165e-07</v>
      </c>
      <c r="AJ57" s="132" t="n">
        <v>4.442488062949742</v>
      </c>
      <c r="AK57" s="132" t="n">
        <v>-3.163565441377288</v>
      </c>
      <c r="AL57" s="139" t="n">
        <v>0.06546432840096572</v>
      </c>
      <c r="AM57" s="139" t="n">
        <v>0.6593571353922666</v>
      </c>
      <c r="AN57" s="139" t="n">
        <v>0.4692364492717861</v>
      </c>
      <c r="AO57" s="139" t="n">
        <v>0.7624105568828087</v>
      </c>
      <c r="AP57" s="139" t="n">
        <v>0.4817579856958805</v>
      </c>
      <c r="AQ57" s="139" t="n">
        <v>0.9971841885972149</v>
      </c>
      <c r="AR57" s="139" t="n">
        <v>0.1200179354017705</v>
      </c>
    </row>
    <row r="58">
      <c r="C58" s="126" t="inlineStr">
        <is>
          <t>Financials</t>
        </is>
      </c>
      <c r="D58" s="126" t="inlineStr">
        <is>
          <t>since_2020</t>
        </is>
      </c>
      <c r="E58" s="112" t="n">
        <v>43831</v>
      </c>
      <c r="F58" s="112" t="n">
        <v>46204</v>
      </c>
      <c r="G58" s="138" t="n">
        <v>79</v>
      </c>
      <c r="H58" s="139" t="n">
        <v>0.3165269914614766</v>
      </c>
      <c r="I58" s="139" t="n">
        <v>0.269713771698564</v>
      </c>
      <c r="J58" s="138" t="n">
        <v>0</v>
      </c>
      <c r="K58" s="132" t="n">
        <v>2.341991798100389</v>
      </c>
      <c r="L58" s="139" t="n">
        <v>0.3591280564035275</v>
      </c>
      <c r="M58" s="132" t="n">
        <v>3.675056284476978</v>
      </c>
      <c r="N58" s="139" t="n">
        <v>0.0002377969852913608</v>
      </c>
      <c r="O58" s="139" t="n">
        <v>0.09455113647771762</v>
      </c>
      <c r="P58" s="132" t="n">
        <v>-0.2447306896568286</v>
      </c>
      <c r="Q58" s="139" t="n">
        <v>-0.301050290573285</v>
      </c>
      <c r="R58" s="132" t="n">
        <v>-0.9814641335048628</v>
      </c>
      <c r="S58" s="139" t="n">
        <v>0.3263639130771376</v>
      </c>
      <c r="T58" s="139" t="n">
        <v>0.04371505182262436</v>
      </c>
      <c r="U58" s="132" t="n">
        <v>-0.2181268339631672</v>
      </c>
      <c r="V58" s="139" t="n">
        <v>-0.2212239606188185</v>
      </c>
      <c r="W58" s="132" t="n">
        <v>-0.9542267667767915</v>
      </c>
      <c r="X58" s="139" t="n">
        <v>0.3399688684298829</v>
      </c>
      <c r="Y58" s="139" t="n">
        <v>0.02448336535598739</v>
      </c>
      <c r="Z58" s="132" t="n">
        <v>1.086997960506228</v>
      </c>
      <c r="AA58" s="139" t="n">
        <v>0.2091147911789608</v>
      </c>
      <c r="AB58" s="132" t="n">
        <v>1.42230548613216</v>
      </c>
      <c r="AC58" s="139" t="n">
        <v>0.1549375869531917</v>
      </c>
      <c r="AD58" s="139" t="n">
        <v>0.03154738748919883</v>
      </c>
      <c r="AE58" s="132" t="n">
        <v>1.904987735933354</v>
      </c>
      <c r="AF58" s="139" t="n">
        <v>0.3295136034398647</v>
      </c>
      <c r="AG58" s="132" t="n">
        <v>1.666783381440335</v>
      </c>
      <c r="AH58" s="139" t="n">
        <v>0.09555748590057567</v>
      </c>
      <c r="AI58" s="139" t="n">
        <v>0.06554170228015366</v>
      </c>
      <c r="AJ58" s="132" t="n">
        <v>6.517266411873479</v>
      </c>
      <c r="AK58" s="132" t="n">
        <v>-4.175274613773087</v>
      </c>
      <c r="AL58" s="139" t="n">
        <v>8.882020055711592e-05</v>
      </c>
      <c r="AM58" s="139" t="n">
        <v>0.0008719222794016565</v>
      </c>
      <c r="AN58" s="139" t="n">
        <v>0.5513720907474443</v>
      </c>
      <c r="AO58" s="139" t="n">
        <v>0.7479315105457425</v>
      </c>
      <c r="AP58" s="139" t="n">
        <v>0.2434733509264441</v>
      </c>
      <c r="AQ58" s="139" t="n">
        <v>0.1501617635580475</v>
      </c>
      <c r="AR58" s="139" t="n">
        <v>0.0003256740687094251</v>
      </c>
    </row>
    <row r="59">
      <c r="C59" s="126" t="inlineStr">
        <is>
          <t>Financials</t>
        </is>
      </c>
      <c r="D59" s="126" t="inlineStr">
        <is>
          <t>since_2022</t>
        </is>
      </c>
      <c r="E59" s="112" t="n">
        <v>44562</v>
      </c>
      <c r="F59" s="112" t="n">
        <v>46204</v>
      </c>
      <c r="G59" s="138" t="n">
        <v>55</v>
      </c>
      <c r="H59" s="139" t="n">
        <v>0.2686392278628688</v>
      </c>
      <c r="I59" s="139" t="n">
        <v>0.1940105776447941</v>
      </c>
      <c r="J59" s="138" t="n">
        <v>0</v>
      </c>
      <c r="K59" s="132" t="n">
        <v>1.795220076913082</v>
      </c>
      <c r="L59" s="139" t="n">
        <v>0.190538825944327</v>
      </c>
      <c r="M59" s="132" t="n">
        <v>1.476607143922782</v>
      </c>
      <c r="N59" s="139" t="n">
        <v>0.1397809756311712</v>
      </c>
      <c r="O59" s="139" t="n">
        <v>0.03520860251624769</v>
      </c>
      <c r="P59" s="132" t="n">
        <v>0.08576470978478046</v>
      </c>
      <c r="Q59" s="139" t="n">
        <v>0.2410073577316487</v>
      </c>
      <c r="R59" s="132" t="n">
        <v>1.259356118969365</v>
      </c>
      <c r="S59" s="139" t="n">
        <v>0.2079017316142386</v>
      </c>
      <c r="T59" s="139" t="n">
        <v>0.03093324112309137</v>
      </c>
      <c r="U59" s="132" t="n">
        <v>0.2286335271007376</v>
      </c>
      <c r="V59" s="139" t="n">
        <v>0.4487447604385116</v>
      </c>
      <c r="W59" s="132" t="n">
        <v>2.021358096918519</v>
      </c>
      <c r="X59" s="139" t="n">
        <v>0.04324270910493677</v>
      </c>
      <c r="Y59" s="139" t="n">
        <v>0.0967637393710773</v>
      </c>
      <c r="Z59" s="132" t="n">
        <v>0.7988438460463301</v>
      </c>
      <c r="AA59" s="139" t="n">
        <v>0.3454616137423494</v>
      </c>
      <c r="AB59" s="132" t="n">
        <v>2.64467577285292</v>
      </c>
      <c r="AC59" s="139" t="n">
        <v>0.008176922539729903</v>
      </c>
      <c r="AD59" s="139" t="n">
        <v>0.1070809316052217</v>
      </c>
      <c r="AE59" s="132" t="n">
        <v>-0.5840946897329141</v>
      </c>
      <c r="AF59" s="139" t="n">
        <v>-0.1960995870655419</v>
      </c>
      <c r="AG59" s="132" t="n">
        <v>-1.094910318825681</v>
      </c>
      <c r="AH59" s="139" t="n">
        <v>0.2735559278996575</v>
      </c>
      <c r="AI59" s="139" t="n">
        <v>0.02337092877017288</v>
      </c>
      <c r="AJ59" s="132" t="n">
        <v>0.2982402843671333</v>
      </c>
      <c r="AK59" s="132" t="n">
        <v>1.496979792545952</v>
      </c>
      <c r="AL59" s="139" t="n">
        <v>0.6581302625558969</v>
      </c>
      <c r="AM59" s="139" t="n">
        <v>0.6390609626132595</v>
      </c>
      <c r="AN59" s="139" t="n">
        <v>0.3267027211080893</v>
      </c>
      <c r="AO59" s="139" t="n">
        <v>0.0951339600308609</v>
      </c>
      <c r="AP59" s="139" t="n">
        <v>0.02248653698425723</v>
      </c>
      <c r="AQ59" s="139" t="n">
        <v>0.6018230413792466</v>
      </c>
      <c r="AR59" s="139" t="n">
        <v>0.9772311542052887</v>
      </c>
    </row>
    <row r="60">
      <c r="C60" s="126" t="inlineStr">
        <is>
          <t>Financials</t>
        </is>
      </c>
      <c r="D60" s="126" t="inlineStr">
        <is>
          <t>since_2022_ex_seams</t>
        </is>
      </c>
      <c r="E60" s="112" t="n">
        <v>44562</v>
      </c>
      <c r="F60" s="112" t="n">
        <v>46204</v>
      </c>
      <c r="G60" s="138" t="n">
        <v>52</v>
      </c>
      <c r="H60" s="139" t="n">
        <v>0.2615637646731362</v>
      </c>
      <c r="I60" s="139" t="n">
        <v>0.1812989564854337</v>
      </c>
      <c r="J60" s="138" t="n">
        <v>0</v>
      </c>
      <c r="K60" s="132" t="n">
        <v>1.707417222807596</v>
      </c>
      <c r="L60" s="139" t="n">
        <v>0.1823891106589854</v>
      </c>
      <c r="M60" s="132" t="n">
        <v>1.39186251843778</v>
      </c>
      <c r="N60" s="139" t="n">
        <v>0.1639640338290291</v>
      </c>
      <c r="O60" s="139" t="n">
        <v>0.03240160786088797</v>
      </c>
      <c r="P60" s="132" t="n">
        <v>0.09654958212174813</v>
      </c>
      <c r="Q60" s="139" t="n">
        <v>0.2678855966500843</v>
      </c>
      <c r="R60" s="132" t="n">
        <v>1.178536221875951</v>
      </c>
      <c r="S60" s="139" t="n">
        <v>0.2385829007496647</v>
      </c>
      <c r="T60" s="139" t="n">
        <v>0.03643974866188371</v>
      </c>
      <c r="U60" s="132" t="n">
        <v>0.2364688267427335</v>
      </c>
      <c r="V60" s="139" t="n">
        <v>0.4696371888431235</v>
      </c>
      <c r="W60" s="132" t="n">
        <v>1.91178231784822</v>
      </c>
      <c r="X60" s="139" t="n">
        <v>0.05590412068353601</v>
      </c>
      <c r="Y60" s="139" t="n">
        <v>0.1000340666581708</v>
      </c>
      <c r="Z60" s="132" t="n">
        <v>0.7747892655060273</v>
      </c>
      <c r="AA60" s="139" t="n">
        <v>0.3376530669880254</v>
      </c>
      <c r="AB60" s="132" t="n">
        <v>2.646200035968339</v>
      </c>
      <c r="AC60" s="139" t="n">
        <v>0.008140166419662087</v>
      </c>
      <c r="AD60" s="139" t="n">
        <v>0.1022461987938562</v>
      </c>
      <c r="AE60" s="132" t="n">
        <v>-0.5598251251560765</v>
      </c>
      <c r="AF60" s="139" t="n">
        <v>-0.1887935793268185</v>
      </c>
      <c r="AG60" s="132" t="n">
        <v>-1.028220929065937</v>
      </c>
      <c r="AH60" s="139" t="n">
        <v>0.3038459156511846</v>
      </c>
      <c r="AI60" s="139" t="n">
        <v>0.02173887204759306</v>
      </c>
      <c r="AJ60" s="132" t="n">
        <v>-0.2537486584143023</v>
      </c>
      <c r="AK60" s="132" t="n">
        <v>1.961165881221892</v>
      </c>
      <c r="AL60" s="139" t="n">
        <v>0.5605013920446604</v>
      </c>
      <c r="AM60" s="139" t="n">
        <v>0.6845642455099491</v>
      </c>
      <c r="AN60" s="139" t="n">
        <v>0.3749159868923302</v>
      </c>
      <c r="AO60" s="139" t="n">
        <v>0.1229890655037792</v>
      </c>
      <c r="AP60" s="139" t="n">
        <v>0.02238545765407074</v>
      </c>
      <c r="AQ60" s="139" t="n">
        <v>0.6247003961706689</v>
      </c>
      <c r="AR60" s="139" t="n">
        <v>0.9127750527660768</v>
      </c>
    </row>
    <row r="61">
      <c r="C61" s="126" t="inlineStr">
        <is>
          <t>Health Care</t>
        </is>
      </c>
      <c r="D61" s="126" t="inlineStr">
        <is>
          <t>full</t>
        </is>
      </c>
      <c r="E61" s="112" t="n">
        <v>40634</v>
      </c>
      <c r="F61" s="112" t="n">
        <v>46204</v>
      </c>
      <c r="G61" s="138" t="n">
        <v>184</v>
      </c>
      <c r="H61" s="139" t="n">
        <v>0.1427183611722901</v>
      </c>
      <c r="I61" s="139" t="n">
        <v>0.1186374162613995</v>
      </c>
      <c r="J61" s="138" t="n">
        <v>0</v>
      </c>
      <c r="K61" s="132" t="n">
        <v>-0.7588255148361802</v>
      </c>
      <c r="L61" s="139" t="n">
        <v>-0.06644873891759176</v>
      </c>
      <c r="M61" s="132" t="n">
        <v>-0.8683852799834433</v>
      </c>
      <c r="N61" s="139" t="n">
        <v>0.3851834504369611</v>
      </c>
      <c r="O61" s="139" t="n">
        <v>0.003300849318049193</v>
      </c>
      <c r="P61" s="132" t="n">
        <v>0.105930234944911</v>
      </c>
      <c r="Q61" s="139" t="n">
        <v>0.08347946485764719</v>
      </c>
      <c r="R61" s="132" t="n">
        <v>0.7390350861437144</v>
      </c>
      <c r="S61" s="139" t="n">
        <v>0.4598856923661321</v>
      </c>
      <c r="T61" s="139" t="n">
        <v>0.00389490293189021</v>
      </c>
      <c r="U61" s="132" t="n">
        <v>-0.3648016785066043</v>
      </c>
      <c r="V61" s="139" t="n">
        <v>-0.2768046583588313</v>
      </c>
      <c r="W61" s="132" t="n">
        <v>-2.307005790240323</v>
      </c>
      <c r="X61" s="139" t="n">
        <v>0.0210544973163711</v>
      </c>
      <c r="Y61" s="139" t="n">
        <v>0.04214559060679957</v>
      </c>
      <c r="Z61" s="132" t="n">
        <v>0.5071544795097195</v>
      </c>
      <c r="AA61" s="139" t="n">
        <v>0.05889628677098158</v>
      </c>
      <c r="AB61" s="132" t="n">
        <v>0.4993436366740204</v>
      </c>
      <c r="AC61" s="139" t="n">
        <v>0.6175373188018796</v>
      </c>
      <c r="AD61" s="139" t="n">
        <v>0.002554592384370724</v>
      </c>
      <c r="AE61" s="132" t="n">
        <v>1.857631463841516</v>
      </c>
      <c r="AF61" s="139" t="n">
        <v>0.2155887375055181</v>
      </c>
      <c r="AG61" s="132" t="n">
        <v>1.146064945843076</v>
      </c>
      <c r="AH61" s="139" t="n">
        <v>0.2517682805348589</v>
      </c>
      <c r="AI61" s="139" t="n">
        <v>0.02970166842169664</v>
      </c>
      <c r="AJ61" s="132" t="n">
        <v>6.545174596036837</v>
      </c>
      <c r="AK61" s="132" t="n">
        <v>-7.304000110873012</v>
      </c>
      <c r="AL61" s="139" t="n">
        <v>5.726182639165245e-09</v>
      </c>
      <c r="AM61" s="139" t="n">
        <v>0.433212736361645</v>
      </c>
      <c r="AN61" s="139" t="n">
        <v>0.9866714792407835</v>
      </c>
      <c r="AO61" s="139" t="n">
        <v>0.1118600491992655</v>
      </c>
      <c r="AP61" s="139" t="n">
        <v>0.8491138133525844</v>
      </c>
      <c r="AQ61" s="139" t="n">
        <v>0.4398905174742387</v>
      </c>
      <c r="AR61" s="139" t="n">
        <v>3.149400451540885e-08</v>
      </c>
    </row>
    <row r="62">
      <c r="C62" s="126" t="inlineStr">
        <is>
          <t>Health Care</t>
        </is>
      </c>
      <c r="D62" s="126" t="inlineStr">
        <is>
          <t>ex_2013_14</t>
        </is>
      </c>
      <c r="E62" s="112" t="n">
        <v>40634</v>
      </c>
      <c r="F62" s="112" t="n">
        <v>46204</v>
      </c>
      <c r="G62" s="138" t="n">
        <v>160</v>
      </c>
      <c r="H62" s="139" t="n">
        <v>0.1443502025827489</v>
      </c>
      <c r="I62" s="139" t="n">
        <v>0.1165693650042667</v>
      </c>
      <c r="J62" s="138" t="n">
        <v>0</v>
      </c>
      <c r="K62" s="132" t="n">
        <v>-0.6044922285073145</v>
      </c>
      <c r="L62" s="139" t="n">
        <v>-0.05361663896746517</v>
      </c>
      <c r="M62" s="132" t="n">
        <v>-0.6465657994182377</v>
      </c>
      <c r="N62" s="139" t="n">
        <v>0.5179129987007762</v>
      </c>
      <c r="O62" s="139" t="n">
        <v>0.002107420689984707</v>
      </c>
      <c r="P62" s="132" t="n">
        <v>0.1172112318982438</v>
      </c>
      <c r="Q62" s="139" t="n">
        <v>0.09025462953771021</v>
      </c>
      <c r="R62" s="132" t="n">
        <v>0.7108795261991063</v>
      </c>
      <c r="S62" s="139" t="n">
        <v>0.4771588942222511</v>
      </c>
      <c r="T62" s="139" t="n">
        <v>0.00434568057463558</v>
      </c>
      <c r="U62" s="132" t="n">
        <v>-0.3115037809766166</v>
      </c>
      <c r="V62" s="139" t="n">
        <v>-0.230090725303919</v>
      </c>
      <c r="W62" s="132" t="n">
        <v>-1.875350203698003</v>
      </c>
      <c r="X62" s="139" t="n">
        <v>0.06074456092945613</v>
      </c>
      <c r="Y62" s="139" t="n">
        <v>0.02871902632050805</v>
      </c>
      <c r="Z62" s="132" t="n">
        <v>0.2193086603915916</v>
      </c>
      <c r="AA62" s="139" t="n">
        <v>0.02586143092291822</v>
      </c>
      <c r="AB62" s="132" t="n">
        <v>0.2059774939738079</v>
      </c>
      <c r="AC62" s="139" t="n">
        <v>0.8368084915544522</v>
      </c>
      <c r="AD62" s="139" t="n">
        <v>0.0004710451751065436</v>
      </c>
      <c r="AE62" s="132" t="n">
        <v>2.271649188193252</v>
      </c>
      <c r="AF62" s="139" t="n">
        <v>0.2586175791933049</v>
      </c>
      <c r="AG62" s="132" t="n">
        <v>1.350863452920258</v>
      </c>
      <c r="AH62" s="139" t="n">
        <v>0.1767391773665983</v>
      </c>
      <c r="AI62" s="139" t="n">
        <v>0.0399926312236849</v>
      </c>
      <c r="AJ62" s="132" t="n">
        <v>6.797517437672876</v>
      </c>
      <c r="AK62" s="132" t="n">
        <v>-7.402009666180187</v>
      </c>
      <c r="AL62" s="139" t="n">
        <v>6.881720038265371e-08</v>
      </c>
      <c r="AM62" s="139" t="n">
        <v>0.5179129987007762</v>
      </c>
      <c r="AN62" s="139" t="n">
        <v>0.9662546132430333</v>
      </c>
      <c r="AO62" s="139" t="n">
        <v>0.2504104729145781</v>
      </c>
      <c r="AP62" s="139" t="n">
        <v>0.9386131198694879</v>
      </c>
      <c r="AQ62" s="139" t="n">
        <v>0.3888261902065162</v>
      </c>
      <c r="AR62" s="139" t="n">
        <v>3.784946021045954e-07</v>
      </c>
    </row>
    <row r="63">
      <c r="C63" s="126" t="inlineStr">
        <is>
          <t>Health Care</t>
        </is>
      </c>
      <c r="D63" s="126" t="inlineStr">
        <is>
          <t>ex_2020_21</t>
        </is>
      </c>
      <c r="E63" s="112" t="n">
        <v>40634</v>
      </c>
      <c r="F63" s="112" t="n">
        <v>46204</v>
      </c>
      <c r="G63" s="138" t="n">
        <v>160</v>
      </c>
      <c r="H63" s="139" t="n">
        <v>0.1933451219543186</v>
      </c>
      <c r="I63" s="139" t="n">
        <v>0.1671550285112769</v>
      </c>
      <c r="J63" s="138" t="n">
        <v>0</v>
      </c>
      <c r="K63" s="132" t="n">
        <v>0.8721378934221543</v>
      </c>
      <c r="L63" s="139" t="n">
        <v>0.04721054747740597</v>
      </c>
      <c r="M63" s="132" t="n">
        <v>0.4115827213616249</v>
      </c>
      <c r="N63" s="139" t="n">
        <v>0.6806452983074309</v>
      </c>
      <c r="O63" s="139" t="n">
        <v>0.001665327572362485</v>
      </c>
      <c r="P63" s="132" t="n">
        <v>0.09119600530444238</v>
      </c>
      <c r="Q63" s="139" t="n">
        <v>0.06686130749377688</v>
      </c>
      <c r="R63" s="132" t="n">
        <v>0.6107475170441828</v>
      </c>
      <c r="S63" s="139" t="n">
        <v>0.5413667432542955</v>
      </c>
      <c r="T63" s="139" t="n">
        <v>0.002864064039310721</v>
      </c>
      <c r="U63" s="132" t="n">
        <v>-0.5196232544315711</v>
      </c>
      <c r="V63" s="139" t="n">
        <v>-0.3778411638575223</v>
      </c>
      <c r="W63" s="132" t="n">
        <v>-3.101180496675602</v>
      </c>
      <c r="X63" s="139" t="n">
        <v>0.001927507585853583</v>
      </c>
      <c r="Y63" s="139" t="n">
        <v>0.08150871945838034</v>
      </c>
      <c r="Z63" s="132" t="n">
        <v>0.4174541447202499</v>
      </c>
      <c r="AA63" s="139" t="n">
        <v>0.04467020822876362</v>
      </c>
      <c r="AB63" s="132" t="n">
        <v>0.4715404327474574</v>
      </c>
      <c r="AC63" s="139" t="n">
        <v>0.6372548531313429</v>
      </c>
      <c r="AD63" s="139" t="n">
        <v>0.001590283740978582</v>
      </c>
      <c r="AE63" s="132" t="n">
        <v>2.455212608816506</v>
      </c>
      <c r="AF63" s="139" t="n">
        <v>0.2494214943095725</v>
      </c>
      <c r="AG63" s="132" t="n">
        <v>1.237463526503218</v>
      </c>
      <c r="AH63" s="139" t="n">
        <v>0.215915047102214</v>
      </c>
      <c r="AI63" s="139" t="n">
        <v>0.04567023717949847</v>
      </c>
      <c r="AJ63" s="132" t="n">
        <v>4.423805672816994</v>
      </c>
      <c r="AK63" s="132" t="n">
        <v>-3.551667779394839</v>
      </c>
      <c r="AL63" s="139" t="n">
        <v>0.196893810020041</v>
      </c>
      <c r="AM63" s="139" t="n">
        <v>0.7487098281381741</v>
      </c>
      <c r="AN63" s="139" t="n">
        <v>0.8635982664161705</v>
      </c>
      <c r="AO63" s="139" t="n">
        <v>0.01060129172219471</v>
      </c>
      <c r="AP63" s="139" t="n">
        <v>0.6530692764357904</v>
      </c>
      <c r="AQ63" s="139" t="n">
        <v>0.4394735769344374</v>
      </c>
      <c r="AR63" s="139" t="n">
        <v>0.2707289887775564</v>
      </c>
    </row>
    <row r="64">
      <c r="C64" s="126" t="inlineStr">
        <is>
          <t>Health Care</t>
        </is>
      </c>
      <c r="D64" s="126" t="inlineStr">
        <is>
          <t>clean</t>
        </is>
      </c>
      <c r="E64" s="112" t="n">
        <v>40634</v>
      </c>
      <c r="F64" s="112" t="n">
        <v>46204</v>
      </c>
      <c r="G64" s="138" t="n">
        <v>136</v>
      </c>
      <c r="H64" s="139" t="n">
        <v>0.1940197890233353</v>
      </c>
      <c r="I64" s="139" t="n">
        <v>0.1630205501396174</v>
      </c>
      <c r="J64" s="138" t="n">
        <v>0</v>
      </c>
      <c r="K64" s="132" t="n">
        <v>1.054839974124577</v>
      </c>
      <c r="L64" s="139" t="n">
        <v>0.05625747696038803</v>
      </c>
      <c r="M64" s="132" t="n">
        <v>0.4561082738993668</v>
      </c>
      <c r="N64" s="139" t="n">
        <v>0.6483121207272686</v>
      </c>
      <c r="O64" s="139" t="n">
        <v>0.002403689952931165</v>
      </c>
      <c r="P64" s="132" t="n">
        <v>0.1219137636814439</v>
      </c>
      <c r="Q64" s="139" t="n">
        <v>0.08648237795670131</v>
      </c>
      <c r="R64" s="132" t="n">
        <v>0.7090355766216269</v>
      </c>
      <c r="S64" s="139" t="n">
        <v>0.4783023996663172</v>
      </c>
      <c r="T64" s="139" t="n">
        <v>0.004691880463030929</v>
      </c>
      <c r="U64" s="132" t="n">
        <v>-0.4673665122192958</v>
      </c>
      <c r="V64" s="139" t="n">
        <v>-0.3266719573473211</v>
      </c>
      <c r="W64" s="132" t="n">
        <v>-2.679979790123279</v>
      </c>
      <c r="X64" s="139" t="n">
        <v>0.007362660523854814</v>
      </c>
      <c r="Y64" s="139" t="n">
        <v>0.06052933014440665</v>
      </c>
      <c r="Z64" s="132" t="n">
        <v>0.1669316822353702</v>
      </c>
      <c r="AA64" s="139" t="n">
        <v>0.01803979616818394</v>
      </c>
      <c r="AB64" s="132" t="n">
        <v>0.1800648134481529</v>
      </c>
      <c r="AC64" s="139" t="n">
        <v>0.8571016858571829</v>
      </c>
      <c r="AD64" s="139" t="n">
        <v>0.0002535409857473692</v>
      </c>
      <c r="AE64" s="132" t="n">
        <v>2.905773562272516</v>
      </c>
      <c r="AF64" s="139" t="n">
        <v>0.2772914045117588</v>
      </c>
      <c r="AG64" s="132" t="n">
        <v>1.405276691432672</v>
      </c>
      <c r="AH64" s="139" t="n">
        <v>0.1599390166493775</v>
      </c>
      <c r="AI64" s="139" t="n">
        <v>0.05612841304864169</v>
      </c>
      <c r="AJ64" s="132" t="n">
        <v>4.925762693455346</v>
      </c>
      <c r="AK64" s="132" t="n">
        <v>-3.870922719330768</v>
      </c>
      <c r="AL64" s="139" t="n">
        <v>0.1874011124270303</v>
      </c>
      <c r="AM64" s="139" t="n">
        <v>0.7754930747273424</v>
      </c>
      <c r="AN64" s="139" t="n">
        <v>0.7181676281313339</v>
      </c>
      <c r="AO64" s="139" t="n">
        <v>0.04049463288120148</v>
      </c>
      <c r="AP64" s="139" t="n">
        <v>0.8571016858571828</v>
      </c>
      <c r="AQ64" s="139" t="n">
        <v>0.3553610092681516</v>
      </c>
      <c r="AR64" s="139" t="n">
        <v>0.2576765295871666</v>
      </c>
    </row>
    <row r="65">
      <c r="C65" s="126" t="inlineStr">
        <is>
          <t>Health Care</t>
        </is>
      </c>
      <c r="D65" s="126" t="inlineStr">
        <is>
          <t>ex_seams</t>
        </is>
      </c>
      <c r="E65" s="112" t="n">
        <v>40634</v>
      </c>
      <c r="F65" s="112" t="n">
        <v>46204</v>
      </c>
      <c r="G65" s="138" t="n">
        <v>172</v>
      </c>
      <c r="H65" s="139" t="n">
        <v>0.1817585168254584</v>
      </c>
      <c r="I65" s="139" t="n">
        <v>0.1571126890189962</v>
      </c>
      <c r="J65" s="138" t="n">
        <v>0</v>
      </c>
      <c r="K65" s="132" t="n">
        <v>-0.6410802145982467</v>
      </c>
      <c r="L65" s="139" t="n">
        <v>-0.05592076583487993</v>
      </c>
      <c r="M65" s="132" t="n">
        <v>-0.686104719015086</v>
      </c>
      <c r="N65" s="139" t="n">
        <v>0.4926470753498284</v>
      </c>
      <c r="O65" s="139" t="n">
        <v>0.00239286055666077</v>
      </c>
      <c r="P65" s="132" t="n">
        <v>0.1246739658599866</v>
      </c>
      <c r="Q65" s="139" t="n">
        <v>0.09528256246072722</v>
      </c>
      <c r="R65" s="132" t="n">
        <v>0.8784377807834938</v>
      </c>
      <c r="S65" s="139" t="n">
        <v>0.379706189004291</v>
      </c>
      <c r="T65" s="139" t="n">
        <v>0.005312293457065742</v>
      </c>
      <c r="U65" s="132" t="n">
        <v>-0.4141854613323189</v>
      </c>
      <c r="V65" s="139" t="n">
        <v>-0.3059513235545667</v>
      </c>
      <c r="W65" s="132" t="n">
        <v>-2.635170187841713</v>
      </c>
      <c r="X65" s="139" t="n">
        <v>0.008409510679710186</v>
      </c>
      <c r="Y65" s="139" t="n">
        <v>0.05362782158633861</v>
      </c>
      <c r="Z65" s="132" t="n">
        <v>0.07577249918352169</v>
      </c>
      <c r="AA65" s="139" t="n">
        <v>0.008510137822170125</v>
      </c>
      <c r="AB65" s="132" t="n">
        <v>0.07445246148247311</v>
      </c>
      <c r="AC65" s="139" t="n">
        <v>0.9406503663693779</v>
      </c>
      <c r="AD65" s="139" t="n">
        <v>5.38489795651742e-05</v>
      </c>
      <c r="AE65" s="132" t="n">
        <v>2.440799327348072</v>
      </c>
      <c r="AF65" s="139" t="n">
        <v>0.279302980776347</v>
      </c>
      <c r="AG65" s="132" t="n">
        <v>1.506124032375318</v>
      </c>
      <c r="AH65" s="139" t="n">
        <v>0.1320353363258193</v>
      </c>
      <c r="AI65" s="139" t="n">
        <v>0.05073474339209672</v>
      </c>
      <c r="AJ65" s="132" t="n">
        <v>6.845386320163209</v>
      </c>
      <c r="AK65" s="132" t="n">
        <v>-7.486466534761455</v>
      </c>
      <c r="AL65" s="139" t="n">
        <v>8.208840052148503e-09</v>
      </c>
      <c r="AM65" s="139" t="n">
        <v>0.6021242032053459</v>
      </c>
      <c r="AN65" s="139" t="n">
        <v>0.8090555968373689</v>
      </c>
      <c r="AO65" s="139" t="n">
        <v>0.09250461747681205</v>
      </c>
      <c r="AP65" s="139" t="n">
        <v>0.9406503663693779</v>
      </c>
      <c r="AQ65" s="139" t="n">
        <v>0.4188091181891152</v>
      </c>
      <c r="AR65" s="139" t="n">
        <v>4.514862028681677e-08</v>
      </c>
    </row>
    <row r="66">
      <c r="C66" s="126" t="inlineStr">
        <is>
          <t>Health Care</t>
        </is>
      </c>
      <c r="D66" s="126" t="inlineStr">
        <is>
          <t>audit_clean</t>
        </is>
      </c>
      <c r="E66" s="112" t="n">
        <v>40634</v>
      </c>
      <c r="F66" s="112" t="n">
        <v>46204</v>
      </c>
      <c r="G66" s="138" t="n">
        <v>130</v>
      </c>
      <c r="H66" s="139" t="n">
        <v>0.2041865721709598</v>
      </c>
      <c r="I66" s="139" t="n">
        <v>0.172097321048821</v>
      </c>
      <c r="J66" s="138" t="n">
        <v>0</v>
      </c>
      <c r="K66" s="132" t="n">
        <v>1.089768415088332</v>
      </c>
      <c r="L66" s="139" t="n">
        <v>0.05838626515609657</v>
      </c>
      <c r="M66" s="132" t="n">
        <v>0.4666187665764271</v>
      </c>
      <c r="N66" s="139" t="n">
        <v>0.6407726579027062</v>
      </c>
      <c r="O66" s="139" t="n">
        <v>0.00258275703129851</v>
      </c>
      <c r="P66" s="132" t="n">
        <v>0.06585733250674353</v>
      </c>
      <c r="Q66" s="139" t="n">
        <v>0.0466966923425633</v>
      </c>
      <c r="R66" s="132" t="n">
        <v>0.3941027964822243</v>
      </c>
      <c r="S66" s="139" t="n">
        <v>0.6935051464570092</v>
      </c>
      <c r="T66" s="139" t="n">
        <v>0.001330394280598224</v>
      </c>
      <c r="U66" s="132" t="n">
        <v>-0.5154747177936175</v>
      </c>
      <c r="V66" s="139" t="n">
        <v>-0.3585823058666917</v>
      </c>
      <c r="W66" s="132" t="n">
        <v>-3.032071557530955</v>
      </c>
      <c r="X66" s="139" t="n">
        <v>0.002428816190135574</v>
      </c>
      <c r="Y66" s="139" t="n">
        <v>0.07215224096728534</v>
      </c>
      <c r="Z66" s="132" t="n">
        <v>0.191993956866895</v>
      </c>
      <c r="AA66" s="139" t="n">
        <v>0.01991994628809941</v>
      </c>
      <c r="AB66" s="132" t="n">
        <v>0.2171699172772231</v>
      </c>
      <c r="AC66" s="139" t="n">
        <v>0.8280759277556979</v>
      </c>
      <c r="AD66" s="139" t="n">
        <v>0.0003203698147421497</v>
      </c>
      <c r="AE66" s="132" t="n">
        <v>3.158988719718379</v>
      </c>
      <c r="AF66" s="139" t="n">
        <v>0.2940130566025805</v>
      </c>
      <c r="AG66" s="132" t="n">
        <v>1.496720019706248</v>
      </c>
      <c r="AH66" s="139" t="n">
        <v>0.1344661248415822</v>
      </c>
      <c r="AI66" s="139" t="n">
        <v>0.06538333577171929</v>
      </c>
      <c r="AJ66" s="132" t="n">
        <v>5.256187035189023</v>
      </c>
      <c r="AK66" s="132" t="n">
        <v>-4.166418620100691</v>
      </c>
      <c r="AL66" s="139" t="n">
        <v>0.1737922180843676</v>
      </c>
      <c r="AM66" s="139" t="n">
        <v>0.6992771055179756</v>
      </c>
      <c r="AN66" s="139" t="n">
        <v>0.9581476092413563</v>
      </c>
      <c r="AO66" s="139" t="n">
        <v>0.01335848904574566</v>
      </c>
      <c r="AP66" s="139" t="n">
        <v>0.9108835205312678</v>
      </c>
      <c r="AQ66" s="139" t="n">
        <v>0.398761597592996</v>
      </c>
      <c r="AR66" s="139" t="n">
        <v>0.2389642998660055</v>
      </c>
    </row>
    <row r="67">
      <c r="C67" s="126" t="inlineStr">
        <is>
          <t>Health Care</t>
        </is>
      </c>
      <c r="D67" s="126" t="inlineStr">
        <is>
          <t>since_2020</t>
        </is>
      </c>
      <c r="E67" s="112" t="n">
        <v>43831</v>
      </c>
      <c r="F67" s="112" t="n">
        <v>46204</v>
      </c>
      <c r="G67" s="138" t="n">
        <v>79</v>
      </c>
      <c r="H67" s="139" t="n">
        <v>0.1131606859181534</v>
      </c>
      <c r="I67" s="139" t="n">
        <v>0.05241826714542419</v>
      </c>
      <c r="J67" s="138" t="n">
        <v>0</v>
      </c>
      <c r="K67" s="132" t="n">
        <v>-0.7220018604968343</v>
      </c>
      <c r="L67" s="139" t="n">
        <v>-0.09026797298169148</v>
      </c>
      <c r="M67" s="132" t="n">
        <v>-0.7683510739918606</v>
      </c>
      <c r="N67" s="139" t="n">
        <v>0.442278639065141</v>
      </c>
      <c r="O67" s="139" t="n">
        <v>0.005973590718405419</v>
      </c>
      <c r="P67" s="132" t="n">
        <v>0.2573802392101098</v>
      </c>
      <c r="Q67" s="139" t="n">
        <v>0.2581411408400646</v>
      </c>
      <c r="R67" s="132" t="n">
        <v>0.9328970054633915</v>
      </c>
      <c r="S67" s="139" t="n">
        <v>0.3508731486574646</v>
      </c>
      <c r="T67" s="139" t="n">
        <v>0.03214158921088184</v>
      </c>
      <c r="U67" s="132" t="n">
        <v>0.0594770593132819</v>
      </c>
      <c r="V67" s="139" t="n">
        <v>0.04918174838343993</v>
      </c>
      <c r="W67" s="132" t="n">
        <v>0.2354454600780882</v>
      </c>
      <c r="X67" s="139" t="n">
        <v>0.813863005543688</v>
      </c>
      <c r="Y67" s="139" t="n">
        <v>0.001210081757990866</v>
      </c>
      <c r="Z67" s="132" t="n">
        <v>1.477477996354369</v>
      </c>
      <c r="AA67" s="139" t="n">
        <v>0.2317439757371641</v>
      </c>
      <c r="AB67" s="132" t="n">
        <v>1.875868226478003</v>
      </c>
      <c r="AC67" s="139" t="n">
        <v>0.06067337658380634</v>
      </c>
      <c r="AD67" s="139" t="n">
        <v>0.03874456610744847</v>
      </c>
      <c r="AE67" s="132" t="n">
        <v>-0.122621171393583</v>
      </c>
      <c r="AF67" s="139" t="n">
        <v>-0.01729330627567495</v>
      </c>
      <c r="AG67" s="132" t="n">
        <v>-0.1268604046162001</v>
      </c>
      <c r="AH67" s="139" t="n">
        <v>0.8990508859103337</v>
      </c>
      <c r="AI67" s="139" t="n">
        <v>0.0001805207321954327</v>
      </c>
      <c r="AJ67" s="132" t="n">
        <v>6.517266411873479</v>
      </c>
      <c r="AK67" s="132" t="n">
        <v>-7.239268272370312</v>
      </c>
      <c r="AL67" s="139" t="n">
        <v>0.0001592747967769093</v>
      </c>
      <c r="AM67" s="139" t="n">
        <v>0.486506502971655</v>
      </c>
      <c r="AN67" s="139" t="n">
        <v>0.5513720907474443</v>
      </c>
      <c r="AO67" s="139" t="n">
        <v>0.831904993950753</v>
      </c>
      <c r="AP67" s="139" t="n">
        <v>0.2224690474739566</v>
      </c>
      <c r="AQ67" s="139" t="n">
        <v>0.9726688363635977</v>
      </c>
      <c r="AR67" s="139" t="n">
        <v>0.0004194311029896092</v>
      </c>
    </row>
    <row r="68">
      <c r="C68" s="126" t="inlineStr">
        <is>
          <t>Health Care</t>
        </is>
      </c>
      <c r="D68" s="126" t="inlineStr">
        <is>
          <t>since_2022</t>
        </is>
      </c>
      <c r="E68" s="112" t="n">
        <v>44562</v>
      </c>
      <c r="F68" s="112" t="n">
        <v>46204</v>
      </c>
      <c r="G68" s="138" t="n">
        <v>55</v>
      </c>
      <c r="H68" s="139" t="n">
        <v>0.1905991265091842</v>
      </c>
      <c r="I68" s="139" t="n">
        <v>0.1080072006427745</v>
      </c>
      <c r="J68" s="138" t="n">
        <v>0</v>
      </c>
      <c r="K68" s="132" t="n">
        <v>4.414734846750082</v>
      </c>
      <c r="L68" s="139" t="n">
        <v>0.1615118393680695</v>
      </c>
      <c r="M68" s="132" t="n">
        <v>0.9539799940150724</v>
      </c>
      <c r="N68" s="139" t="n">
        <v>0.3400937692442199</v>
      </c>
      <c r="O68" s="139" t="n">
        <v>0.02529825373100847</v>
      </c>
      <c r="P68" s="132" t="n">
        <v>0.3370349579440539</v>
      </c>
      <c r="Q68" s="139" t="n">
        <v>0.3264604525773196</v>
      </c>
      <c r="R68" s="132" t="n">
        <v>1.113293324766029</v>
      </c>
      <c r="S68" s="139" t="n">
        <v>0.2655824723964062</v>
      </c>
      <c r="T68" s="139" t="n">
        <v>0.05675785586995985</v>
      </c>
      <c r="U68" s="132" t="n">
        <v>-0.1108482457984437</v>
      </c>
      <c r="V68" s="139" t="n">
        <v>-0.07499326284041762</v>
      </c>
      <c r="W68" s="132" t="n">
        <v>-0.3131697920869835</v>
      </c>
      <c r="X68" s="139" t="n">
        <v>0.754151667330816</v>
      </c>
      <c r="Y68" s="139" t="n">
        <v>0.002702454312059732</v>
      </c>
      <c r="Z68" s="132" t="n">
        <v>0.8390963686830385</v>
      </c>
      <c r="AA68" s="139" t="n">
        <v>0.1250787969284146</v>
      </c>
      <c r="AB68" s="132" t="n">
        <v>0.9398408625556783</v>
      </c>
      <c r="AC68" s="139" t="n">
        <v>0.347299195155244</v>
      </c>
      <c r="AD68" s="139" t="n">
        <v>0.01403718219191696</v>
      </c>
      <c r="AE68" s="132" t="n">
        <v>-0.431114428523666</v>
      </c>
      <c r="AF68" s="139" t="n">
        <v>-0.04989073815376071</v>
      </c>
      <c r="AG68" s="132" t="n">
        <v>-0.3304888417092631</v>
      </c>
      <c r="AH68" s="139" t="n">
        <v>0.7410306224677756</v>
      </c>
      <c r="AI68" s="139" t="n">
        <v>0.001512733667034083</v>
      </c>
      <c r="AJ68" s="132" t="n">
        <v>0.2982402843671333</v>
      </c>
      <c r="AK68" s="132" t="n">
        <v>4.11649456238295</v>
      </c>
      <c r="AL68" s="139" t="n">
        <v>0.4956640418746185</v>
      </c>
      <c r="AM68" s="139" t="n">
        <v>0.7482062923372836</v>
      </c>
      <c r="AN68" s="139" t="n">
        <v>0.3651758995450585</v>
      </c>
      <c r="AO68" s="139" t="n">
        <v>0.754151667330816</v>
      </c>
      <c r="AP68" s="139" t="n">
        <v>0.4244767940786315</v>
      </c>
      <c r="AQ68" s="139" t="n">
        <v>0.8248457995503515</v>
      </c>
      <c r="AR68" s="139" t="n">
        <v>0.9772311542052887</v>
      </c>
    </row>
    <row r="69">
      <c r="C69" s="126" t="inlineStr">
        <is>
          <t>Health Care</t>
        </is>
      </c>
      <c r="D69" s="126" t="inlineStr">
        <is>
          <t>since_2022_ex_seams</t>
        </is>
      </c>
      <c r="E69" s="112" t="n">
        <v>44562</v>
      </c>
      <c r="F69" s="112" t="n">
        <v>46204</v>
      </c>
      <c r="G69" s="138" t="n">
        <v>52</v>
      </c>
      <c r="H69" s="139" t="n">
        <v>0.1810062174561434</v>
      </c>
      <c r="I69" s="139" t="n">
        <v>0.09198515413615904</v>
      </c>
      <c r="J69" s="138" t="n">
        <v>0</v>
      </c>
      <c r="K69" s="132" t="n">
        <v>4.801664471101765</v>
      </c>
      <c r="L69" s="139" t="n">
        <v>0.1860039300244722</v>
      </c>
      <c r="M69" s="132" t="n">
        <v>0.9993105713395195</v>
      </c>
      <c r="N69" s="139" t="n">
        <v>0.3176442659794259</v>
      </c>
      <c r="O69" s="139" t="n">
        <v>0.03369868787577912</v>
      </c>
      <c r="P69" s="132" t="n">
        <v>0.1956762453376406</v>
      </c>
      <c r="Q69" s="139" t="n">
        <v>0.1968829621906826</v>
      </c>
      <c r="R69" s="132" t="n">
        <v>0.731480349577886</v>
      </c>
      <c r="S69" s="139" t="n">
        <v>0.4644858028677632</v>
      </c>
      <c r="T69" s="139" t="n">
        <v>0.01968307355338084</v>
      </c>
      <c r="U69" s="132" t="n">
        <v>-0.2723238076831085</v>
      </c>
      <c r="V69" s="139" t="n">
        <v>-0.1961305550001169</v>
      </c>
      <c r="W69" s="132" t="n">
        <v>-0.8096077576178289</v>
      </c>
      <c r="X69" s="139" t="n">
        <v>0.4181656480750839</v>
      </c>
      <c r="Y69" s="139" t="n">
        <v>0.0174467074749034</v>
      </c>
      <c r="Z69" s="132" t="n">
        <v>0.8105322363240713</v>
      </c>
      <c r="AA69" s="139" t="n">
        <v>0.1280939031595938</v>
      </c>
      <c r="AB69" s="132" t="n">
        <v>1.134039853367039</v>
      </c>
      <c r="AC69" s="139" t="n">
        <v>0.2567778311951998</v>
      </c>
      <c r="AD69" s="139" t="n">
        <v>0.01471508218471451</v>
      </c>
      <c r="AE69" s="132" t="n">
        <v>-0.1868119827440871</v>
      </c>
      <c r="AF69" s="139" t="n">
        <v>-0.02284602394181282</v>
      </c>
      <c r="AG69" s="132" t="n">
        <v>-0.1474618543313872</v>
      </c>
      <c r="AH69" s="139" t="n">
        <v>0.8827674863636481</v>
      </c>
      <c r="AI69" s="139" t="n">
        <v>0.0003183345823718486</v>
      </c>
      <c r="AJ69" s="132" t="n">
        <v>-0.2537486584143023</v>
      </c>
      <c r="AK69" s="132" t="n">
        <v>5.055413129516054</v>
      </c>
      <c r="AL69" s="139" t="n">
        <v>0.4162716432738274</v>
      </c>
      <c r="AM69" s="139" t="n">
        <v>0.6988173851547369</v>
      </c>
      <c r="AN69" s="139" t="n">
        <v>0.6386679789431744</v>
      </c>
      <c r="AO69" s="139" t="n">
        <v>0.5688850760090902</v>
      </c>
      <c r="AP69" s="139" t="n">
        <v>0.3373704899544729</v>
      </c>
      <c r="AQ69" s="139" t="n">
        <v>0.8827674863636481</v>
      </c>
      <c r="AR69" s="139" t="n">
        <v>0.9127750527660768</v>
      </c>
    </row>
    <row r="70">
      <c r="C70" s="126" t="inlineStr">
        <is>
          <t>Industrials</t>
        </is>
      </c>
      <c r="D70" s="126" t="inlineStr">
        <is>
          <t>full</t>
        </is>
      </c>
      <c r="E70" s="112" t="n">
        <v>39904</v>
      </c>
      <c r="F70" s="112" t="n">
        <v>46204</v>
      </c>
      <c r="G70" s="138" t="n">
        <v>208</v>
      </c>
      <c r="H70" s="139" t="n">
        <v>0.1168767223132533</v>
      </c>
      <c r="I70" s="139" t="n">
        <v>0.09501723524179917</v>
      </c>
      <c r="J70" s="138" t="n">
        <v>0</v>
      </c>
      <c r="K70" s="132" t="n">
        <v>2.804500931554492</v>
      </c>
      <c r="L70" s="139" t="n">
        <v>0.2426682151117753</v>
      </c>
      <c r="M70" s="132" t="n">
        <v>1.035853472782735</v>
      </c>
      <c r="N70" s="139" t="n">
        <v>0.3002705066102225</v>
      </c>
      <c r="O70" s="139" t="n">
        <v>0.04741479669940685</v>
      </c>
      <c r="P70" s="132" t="n">
        <v>0.01819093325429499</v>
      </c>
      <c r="Q70" s="139" t="n">
        <v>0.01396950893351948</v>
      </c>
      <c r="R70" s="132" t="n">
        <v>0.09259475744089936</v>
      </c>
      <c r="S70" s="139" t="n">
        <v>0.9262255088119145</v>
      </c>
      <c r="T70" s="139" t="n">
        <v>0.0001072847072262073</v>
      </c>
      <c r="U70" s="132" t="n">
        <v>0.1784575847549106</v>
      </c>
      <c r="V70" s="139" t="n">
        <v>0.1324509019607522</v>
      </c>
      <c r="W70" s="132" t="n">
        <v>1.119242239572547</v>
      </c>
      <c r="X70" s="139" t="n">
        <v>0.2630368098546145</v>
      </c>
      <c r="Y70" s="139" t="n">
        <v>0.009078478055737804</v>
      </c>
      <c r="Z70" s="132" t="n">
        <v>0.2948888623935882</v>
      </c>
      <c r="AA70" s="139" t="n">
        <v>0.0316245722062274</v>
      </c>
      <c r="AB70" s="132" t="n">
        <v>0.188857198707982</v>
      </c>
      <c r="AC70" s="139" t="n">
        <v>0.8502047403050126</v>
      </c>
      <c r="AD70" s="139" t="n">
        <v>0.0007324465590096141</v>
      </c>
      <c r="AE70" s="132" t="n">
        <v>2.240278907819657</v>
      </c>
      <c r="AF70" s="139" t="n">
        <v>0.2418574725153106</v>
      </c>
      <c r="AG70" s="132" t="n">
        <v>1.947740285516742</v>
      </c>
      <c r="AH70" s="139" t="n">
        <v>0.05144604712930123</v>
      </c>
      <c r="AI70" s="139" t="n">
        <v>0.03835548797422905</v>
      </c>
      <c r="AJ70" s="132" t="n">
        <v>5.968952397629377</v>
      </c>
      <c r="AK70" s="132" t="n">
        <v>-3.164451466074886</v>
      </c>
      <c r="AL70" s="139" t="n">
        <v>0.1706868821431415</v>
      </c>
      <c r="AM70" s="139" t="n">
        <v>0.4128719465890559</v>
      </c>
      <c r="AN70" s="139" t="n">
        <v>0.9866714792407835</v>
      </c>
      <c r="AO70" s="139" t="n">
        <v>0.5033100362593185</v>
      </c>
      <c r="AP70" s="139" t="n">
        <v>0.9352252143355138</v>
      </c>
      <c r="AQ70" s="139" t="n">
        <v>0.2928113112599369</v>
      </c>
      <c r="AR70" s="139" t="n">
        <v>0.2346944629468196</v>
      </c>
    </row>
    <row r="71">
      <c r="C71" s="126" t="inlineStr">
        <is>
          <t>Industrials</t>
        </is>
      </c>
      <c r="D71" s="126" t="inlineStr">
        <is>
          <t>ex_2013_14</t>
        </is>
      </c>
      <c r="E71" s="112" t="n">
        <v>39904</v>
      </c>
      <c r="F71" s="112" t="n">
        <v>46204</v>
      </c>
      <c r="G71" s="138" t="n">
        <v>184</v>
      </c>
      <c r="H71" s="139" t="n">
        <v>0.1338146001277539</v>
      </c>
      <c r="I71" s="139" t="n">
        <v>0.1094835495695448</v>
      </c>
      <c r="J71" s="138" t="n">
        <v>0</v>
      </c>
      <c r="K71" s="132" t="n">
        <v>2.997954806769225</v>
      </c>
      <c r="L71" s="139" t="n">
        <v>0.2677002779147988</v>
      </c>
      <c r="M71" s="132" t="n">
        <v>1.086590645089612</v>
      </c>
      <c r="N71" s="139" t="n">
        <v>0.2772177612129028</v>
      </c>
      <c r="O71" s="139" t="n">
        <v>0.05745422143248324</v>
      </c>
      <c r="P71" s="132" t="n">
        <v>0.02844819540743848</v>
      </c>
      <c r="Q71" s="139" t="n">
        <v>0.02181391436380175</v>
      </c>
      <c r="R71" s="132" t="n">
        <v>0.1302197070895277</v>
      </c>
      <c r="S71" s="139" t="n">
        <v>0.8963926033317089</v>
      </c>
      <c r="T71" s="139" t="n">
        <v>0.0002524768049136927</v>
      </c>
      <c r="U71" s="132" t="n">
        <v>0.2176534521470908</v>
      </c>
      <c r="V71" s="139" t="n">
        <v>0.1612156902068759</v>
      </c>
      <c r="W71" s="132" t="n">
        <v>1.335344162469439</v>
      </c>
      <c r="X71" s="139" t="n">
        <v>0.1817637308506097</v>
      </c>
      <c r="Y71" s="139" t="n">
        <v>0.01332470908883809</v>
      </c>
      <c r="Z71" s="132" t="n">
        <v>-0.1212438264974207</v>
      </c>
      <c r="AA71" s="139" t="n">
        <v>-0.01346249523664615</v>
      </c>
      <c r="AB71" s="132" t="n">
        <v>-0.07701310472274428</v>
      </c>
      <c r="AC71" s="139" t="n">
        <v>0.9386131198694878</v>
      </c>
      <c r="AD71" s="139" t="n">
        <v>0.0001274052408715143</v>
      </c>
      <c r="AE71" s="132" t="n">
        <v>2.509348492780966</v>
      </c>
      <c r="AF71" s="139" t="n">
        <v>0.2721650730829949</v>
      </c>
      <c r="AG71" s="132" t="n">
        <v>1.996913625015704</v>
      </c>
      <c r="AH71" s="139" t="n">
        <v>0.04583456682598985</v>
      </c>
      <c r="AI71" s="139" t="n">
        <v>0.04599045494195519</v>
      </c>
      <c r="AJ71" s="132" t="n">
        <v>6.179005187471408</v>
      </c>
      <c r="AK71" s="132" t="n">
        <v>-3.181050380702179</v>
      </c>
      <c r="AL71" s="139" t="n">
        <v>0.1813475362348438</v>
      </c>
      <c r="AM71" s="139" t="n">
        <v>0.3811744216677413</v>
      </c>
      <c r="AN71" s="139" t="n">
        <v>0.9866714792407835</v>
      </c>
      <c r="AO71" s="139" t="n">
        <v>0.3998802078713414</v>
      </c>
      <c r="AP71" s="139" t="n">
        <v>0.9386131198694879</v>
      </c>
      <c r="AQ71" s="139" t="n">
        <v>0.3888261902065162</v>
      </c>
      <c r="AR71" s="139" t="n">
        <v>0.2493528623229102</v>
      </c>
    </row>
    <row r="72">
      <c r="C72" s="126" t="inlineStr">
        <is>
          <t>Industrials</t>
        </is>
      </c>
      <c r="D72" s="126" t="inlineStr">
        <is>
          <t>ex_2020_21</t>
        </is>
      </c>
      <c r="E72" s="112" t="n">
        <v>39904</v>
      </c>
      <c r="F72" s="112" t="n">
        <v>46204</v>
      </c>
      <c r="G72" s="138" t="n">
        <v>184</v>
      </c>
      <c r="H72" s="139" t="n">
        <v>0.1930971411337602</v>
      </c>
      <c r="I72" s="139" t="n">
        <v>0.17043133049145</v>
      </c>
      <c r="J72" s="138" t="n">
        <v>0</v>
      </c>
      <c r="K72" s="132" t="n">
        <v>-4.690567224088998</v>
      </c>
      <c r="L72" s="139" t="n">
        <v>-0.3506218006934251</v>
      </c>
      <c r="M72" s="132" t="n">
        <v>-3.267096928503937</v>
      </c>
      <c r="N72" s="139" t="n">
        <v>0.001086564713983496</v>
      </c>
      <c r="O72" s="139" t="n">
        <v>0.1016257990368601</v>
      </c>
      <c r="P72" s="132" t="n">
        <v>0.06075202382236472</v>
      </c>
      <c r="Q72" s="139" t="n">
        <v>0.05405997725011111</v>
      </c>
      <c r="R72" s="132" t="n">
        <v>0.4137979245092787</v>
      </c>
      <c r="S72" s="139" t="n">
        <v>0.6790221041011555</v>
      </c>
      <c r="T72" s="139" t="n">
        <v>0.00175892482383333</v>
      </c>
      <c r="U72" s="132" t="n">
        <v>0.1665316918008735</v>
      </c>
      <c r="V72" s="139" t="n">
        <v>0.1453105177070236</v>
      </c>
      <c r="W72" s="132" t="n">
        <v>1.168895759581399</v>
      </c>
      <c r="X72" s="139" t="n">
        <v>0.2424456321870785</v>
      </c>
      <c r="Y72" s="139" t="n">
        <v>0.01113093068925974</v>
      </c>
      <c r="Z72" s="132" t="n">
        <v>-2.2017976116944</v>
      </c>
      <c r="AA72" s="139" t="n">
        <v>-0.2653987402432412</v>
      </c>
      <c r="AB72" s="132" t="n">
        <v>-2.605386714662866</v>
      </c>
      <c r="AC72" s="139" t="n">
        <v>0.009177061566828293</v>
      </c>
      <c r="AD72" s="139" t="n">
        <v>0.054449026495903</v>
      </c>
      <c r="AE72" s="132" t="n">
        <v>1.536515982120467</v>
      </c>
      <c r="AF72" s="139" t="n">
        <v>0.1788445464468315</v>
      </c>
      <c r="AG72" s="132" t="n">
        <v>1.628661871597203</v>
      </c>
      <c r="AH72" s="139" t="n">
        <v>0.1033846185339165</v>
      </c>
      <c r="AI72" s="139" t="n">
        <v>0.02409950243872394</v>
      </c>
      <c r="AJ72" s="132" t="n">
        <v>3.849139829068014</v>
      </c>
      <c r="AK72" s="132" t="n">
        <v>-8.539707053157015</v>
      </c>
      <c r="AL72" s="139" t="n">
        <v>1.539818494933343e-08</v>
      </c>
      <c r="AM72" s="139" t="n">
        <v>0.01195221185381845</v>
      </c>
      <c r="AN72" s="139" t="n">
        <v>0.8635982664161705</v>
      </c>
      <c r="AO72" s="139" t="n">
        <v>0.4234185263265951</v>
      </c>
      <c r="AP72" s="139" t="n">
        <v>0.06753675925125324</v>
      </c>
      <c r="AQ72" s="139" t="n">
        <v>0.3717693968810171</v>
      </c>
      <c r="AR72" s="139" t="n">
        <v>1.693800344426677e-07</v>
      </c>
    </row>
    <row r="73">
      <c r="C73" s="126" t="inlineStr">
        <is>
          <t>Industrials</t>
        </is>
      </c>
      <c r="D73" s="126" t="inlineStr">
        <is>
          <t>clean</t>
        </is>
      </c>
      <c r="E73" s="112" t="n">
        <v>39904</v>
      </c>
      <c r="F73" s="112" t="n">
        <v>46204</v>
      </c>
      <c r="G73" s="138" t="n">
        <v>160</v>
      </c>
      <c r="H73" s="139" t="n">
        <v>0.2584511787642106</v>
      </c>
      <c r="I73" s="139" t="n">
        <v>0.2343749183344772</v>
      </c>
      <c r="J73" s="138" t="n">
        <v>0</v>
      </c>
      <c r="K73" s="132" t="n">
        <v>-4.881107283463601</v>
      </c>
      <c r="L73" s="139" t="n">
        <v>-0.3822971320856985</v>
      </c>
      <c r="M73" s="132" t="n">
        <v>-3.380886123168991</v>
      </c>
      <c r="N73" s="139" t="n">
        <v>0.0007225248027011855</v>
      </c>
      <c r="O73" s="139" t="n">
        <v>0.1217736374671453</v>
      </c>
      <c r="P73" s="132" t="n">
        <v>0.06701096030655851</v>
      </c>
      <c r="Q73" s="139" t="n">
        <v>0.06108560219243596</v>
      </c>
      <c r="R73" s="132" t="n">
        <v>0.4497653262503118</v>
      </c>
      <c r="S73" s="139" t="n">
        <v>0.6528796619375763</v>
      </c>
      <c r="T73" s="139" t="n">
        <v>0.0021920881593539</v>
      </c>
      <c r="U73" s="132" t="n">
        <v>0.2073483887009262</v>
      </c>
      <c r="V73" s="139" t="n">
        <v>0.1845799465631878</v>
      </c>
      <c r="W73" s="132" t="n">
        <v>1.442000094207594</v>
      </c>
      <c r="X73" s="139" t="n">
        <v>0.1493023470354125</v>
      </c>
      <c r="Y73" s="139" t="n">
        <v>0.01793434906472957</v>
      </c>
      <c r="Z73" s="132" t="n">
        <v>-2.881284856603219</v>
      </c>
      <c r="AA73" s="139" t="n">
        <v>-0.3698580258004621</v>
      </c>
      <c r="AB73" s="132" t="n">
        <v>-4.199534845675141</v>
      </c>
      <c r="AC73" s="139" t="n">
        <v>2.674638687505393e-05</v>
      </c>
      <c r="AD73" s="139" t="n">
        <v>0.1024687033137398</v>
      </c>
      <c r="AE73" s="132" t="n">
        <v>2.057497227405559</v>
      </c>
      <c r="AF73" s="139" t="n">
        <v>0.2407776957951564</v>
      </c>
      <c r="AG73" s="132" t="n">
        <v>2.255134425019126</v>
      </c>
      <c r="AH73" s="139" t="n">
        <v>0.0241248924204287</v>
      </c>
      <c r="AI73" s="139" t="n">
        <v>0.04262201732910575</v>
      </c>
      <c r="AJ73" s="132" t="n">
        <v>4.166800677918155</v>
      </c>
      <c r="AK73" s="132" t="n">
        <v>-9.047907961381755</v>
      </c>
      <c r="AL73" s="139" t="n">
        <v>9.567506786822833e-10</v>
      </c>
      <c r="AM73" s="139" t="n">
        <v>0.00794777282971304</v>
      </c>
      <c r="AN73" s="139" t="n">
        <v>0.7181676281313339</v>
      </c>
      <c r="AO73" s="139" t="n">
        <v>0.2737209695649228</v>
      </c>
      <c r="AP73" s="139" t="n">
        <v>0.0002942102556255932</v>
      </c>
      <c r="AQ73" s="139" t="n">
        <v>0.1326869083123579</v>
      </c>
      <c r="AR73" s="139" t="n">
        <v>1.052425746550512e-08</v>
      </c>
    </row>
    <row r="74">
      <c r="C74" s="126" t="inlineStr">
        <is>
          <t>Industrials</t>
        </is>
      </c>
      <c r="D74" s="126" t="inlineStr">
        <is>
          <t>ex_seams</t>
        </is>
      </c>
      <c r="E74" s="112" t="n">
        <v>39904</v>
      </c>
      <c r="F74" s="112" t="n">
        <v>46204</v>
      </c>
      <c r="G74" s="138" t="n">
        <v>193</v>
      </c>
      <c r="H74" s="139" t="n">
        <v>0.1236472336962985</v>
      </c>
      <c r="I74" s="139" t="n">
        <v>0.1002153415491407</v>
      </c>
      <c r="J74" s="138" t="n">
        <v>0</v>
      </c>
      <c r="K74" s="132" t="n">
        <v>3.051384800091316</v>
      </c>
      <c r="L74" s="139" t="n">
        <v>0.2629808095866151</v>
      </c>
      <c r="M74" s="132" t="n">
        <v>1.102622763100804</v>
      </c>
      <c r="N74" s="139" t="n">
        <v>0.2701910207516316</v>
      </c>
      <c r="O74" s="139" t="n">
        <v>0.05640063584508637</v>
      </c>
      <c r="P74" s="132" t="n">
        <v>-0.01394666046303505</v>
      </c>
      <c r="Q74" s="139" t="n">
        <v>-0.01029791716573171</v>
      </c>
      <c r="R74" s="132" t="n">
        <v>-0.07092040616038552</v>
      </c>
      <c r="S74" s="139" t="n">
        <v>0.9434611024998742</v>
      </c>
      <c r="T74" s="139" t="n">
        <v>6.092655143297154e-05</v>
      </c>
      <c r="U74" s="132" t="n">
        <v>0.1821534646305589</v>
      </c>
      <c r="V74" s="139" t="n">
        <v>0.1320405277282052</v>
      </c>
      <c r="W74" s="132" t="n">
        <v>1.14738428917589</v>
      </c>
      <c r="X74" s="139" t="n">
        <v>0.2512228314781524</v>
      </c>
      <c r="Y74" s="139" t="n">
        <v>0.009378078597709338</v>
      </c>
      <c r="Z74" s="132" t="n">
        <v>0.4206960229763039</v>
      </c>
      <c r="AA74" s="139" t="n">
        <v>0.04343463273271474</v>
      </c>
      <c r="AB74" s="132" t="n">
        <v>0.2475435772270323</v>
      </c>
      <c r="AC74" s="139" t="n">
        <v>0.804487570867769</v>
      </c>
      <c r="AD74" s="139" t="n">
        <v>0.001401775984245068</v>
      </c>
      <c r="AE74" s="132" t="n">
        <v>2.225693722747798</v>
      </c>
      <c r="AF74" s="139" t="n">
        <v>0.2359247110967553</v>
      </c>
      <c r="AG74" s="132" t="n">
        <v>1.854514339896769</v>
      </c>
      <c r="AH74" s="139" t="n">
        <v>0.06366561052873698</v>
      </c>
      <c r="AI74" s="139" t="n">
        <v>0.03735574935695973</v>
      </c>
      <c r="AJ74" s="132" t="n">
        <v>6.257300955716724</v>
      </c>
      <c r="AK74" s="132" t="n">
        <v>-3.205916155625408</v>
      </c>
      <c r="AL74" s="139" t="n">
        <v>0.19276156182279</v>
      </c>
      <c r="AM74" s="139" t="n">
        <v>0.3715126535334934</v>
      </c>
      <c r="AN74" s="139" t="n">
        <v>0.9434611024998744</v>
      </c>
      <c r="AO74" s="139" t="n">
        <v>0.3947787351799538</v>
      </c>
      <c r="AP74" s="139" t="n">
        <v>0.9328281158347742</v>
      </c>
      <c r="AQ74" s="139" t="n">
        <v>0.3501608579080534</v>
      </c>
      <c r="AR74" s="139" t="n">
        <v>0.2502727838623744</v>
      </c>
    </row>
    <row r="75">
      <c r="C75" s="126" t="inlineStr">
        <is>
          <t>Industrials</t>
        </is>
      </c>
      <c r="D75" s="126" t="inlineStr">
        <is>
          <t>audit_clean</t>
        </is>
      </c>
      <c r="E75" s="112" t="n">
        <v>39904</v>
      </c>
      <c r="F75" s="112" t="n">
        <v>46204</v>
      </c>
      <c r="G75" s="138" t="n">
        <v>151</v>
      </c>
      <c r="H75" s="139" t="n">
        <v>0.2634823749622862</v>
      </c>
      <c r="I75" s="139" t="n">
        <v>0.2380852154782271</v>
      </c>
      <c r="J75" s="138" t="n">
        <v>0</v>
      </c>
      <c r="K75" s="132" t="n">
        <v>-4.635895364341248</v>
      </c>
      <c r="L75" s="139" t="n">
        <v>-0.3691911091483479</v>
      </c>
      <c r="M75" s="132" t="n">
        <v>-3.252955782822438</v>
      </c>
      <c r="N75" s="139" t="n">
        <v>0.001142112680326823</v>
      </c>
      <c r="O75" s="139" t="n">
        <v>0.1128630415710977</v>
      </c>
      <c r="P75" s="132" t="n">
        <v>0.03639723533394079</v>
      </c>
      <c r="Q75" s="139" t="n">
        <v>0.03316612086102988</v>
      </c>
      <c r="R75" s="132" t="n">
        <v>0.2506588483628082</v>
      </c>
      <c r="S75" s="139" t="n">
        <v>0.8020778793186312</v>
      </c>
      <c r="T75" s="139" t="n">
        <v>0.0006363783939165035</v>
      </c>
      <c r="U75" s="132" t="n">
        <v>0.217806383690812</v>
      </c>
      <c r="V75" s="139" t="n">
        <v>0.1967728692447439</v>
      </c>
      <c r="W75" s="132" t="n">
        <v>1.537406455926879</v>
      </c>
      <c r="X75" s="139" t="n">
        <v>0.1241938064236914</v>
      </c>
      <c r="Y75" s="139" t="n">
        <v>0.02010501333425396</v>
      </c>
      <c r="Z75" s="132" t="n">
        <v>-2.961800491641984</v>
      </c>
      <c r="AA75" s="139" t="n">
        <v>-0.3678712260804634</v>
      </c>
      <c r="AB75" s="132" t="n">
        <v>-4.195308154051967</v>
      </c>
      <c r="AC75" s="139" t="n">
        <v>2.72500851945523e-05</v>
      </c>
      <c r="AD75" s="139" t="n">
        <v>0.1062951584237659</v>
      </c>
      <c r="AE75" s="132" t="n">
        <v>1.969647909049908</v>
      </c>
      <c r="AF75" s="139" t="n">
        <v>0.2263738478200608</v>
      </c>
      <c r="AG75" s="132" t="n">
        <v>2.105706173172055</v>
      </c>
      <c r="AH75" s="139" t="n">
        <v>0.0352298832780269</v>
      </c>
      <c r="AI75" s="139" t="n">
        <v>0.03967111162066783</v>
      </c>
      <c r="AJ75" s="132" t="n">
        <v>4.442488062949742</v>
      </c>
      <c r="AK75" s="132" t="n">
        <v>-9.078383427290985</v>
      </c>
      <c r="AL75" s="139" t="n">
        <v>4.002984610451676e-09</v>
      </c>
      <c r="AM75" s="139" t="n">
        <v>0.01256323948359506</v>
      </c>
      <c r="AN75" s="139" t="n">
        <v>0.9581476092413563</v>
      </c>
      <c r="AO75" s="139" t="n">
        <v>0.273226374132121</v>
      </c>
      <c r="AP75" s="139" t="n">
        <v>0.0002997509371400753</v>
      </c>
      <c r="AQ75" s="139" t="n">
        <v>0.1937643580291479</v>
      </c>
      <c r="AR75" s="139" t="n">
        <v>4.403283071496844e-08</v>
      </c>
    </row>
    <row r="76">
      <c r="C76" s="126" t="inlineStr">
        <is>
          <t>Industrials</t>
        </is>
      </c>
      <c r="D76" s="126" t="inlineStr">
        <is>
          <t>since_2020</t>
        </is>
      </c>
      <c r="E76" s="112" t="n">
        <v>43831</v>
      </c>
      <c r="F76" s="112" t="n">
        <v>46204</v>
      </c>
      <c r="G76" s="138" t="n">
        <v>79</v>
      </c>
      <c r="H76" s="139" t="n">
        <v>0.5573590223696536</v>
      </c>
      <c r="I76" s="139" t="n">
        <v>0.5270411471894929</v>
      </c>
      <c r="J76" s="138" t="n">
        <v>0</v>
      </c>
      <c r="K76" s="132" t="n">
        <v>8.157012182587511</v>
      </c>
      <c r="L76" s="139" t="n">
        <v>0.7643935543128515</v>
      </c>
      <c r="M76" s="132" t="n">
        <v>5.335405914737165</v>
      </c>
      <c r="N76" s="139" t="n">
        <v>9.53310508311489e-08</v>
      </c>
      <c r="O76" s="139" t="n">
        <v>0.4283532985340565</v>
      </c>
      <c r="P76" s="132" t="n">
        <v>-0.310172854432694</v>
      </c>
      <c r="Q76" s="139" t="n">
        <v>-0.2331719707801362</v>
      </c>
      <c r="R76" s="132" t="n">
        <v>-1.012633047433473</v>
      </c>
      <c r="S76" s="139" t="n">
        <v>0.311235468606204</v>
      </c>
      <c r="T76" s="139" t="n">
        <v>0.02622440134990156</v>
      </c>
      <c r="U76" s="132" t="n">
        <v>0.1226866724521543</v>
      </c>
      <c r="V76" s="139" t="n">
        <v>0.07604005022926363</v>
      </c>
      <c r="W76" s="132" t="n">
        <v>0.5649863088192267</v>
      </c>
      <c r="X76" s="139" t="n">
        <v>0.5720830766270415</v>
      </c>
      <c r="Y76" s="139" t="n">
        <v>0.002892621280678354</v>
      </c>
      <c r="Z76" s="132" t="n">
        <v>-0.8346532918769751</v>
      </c>
      <c r="AA76" s="139" t="n">
        <v>-0.09812599508087683</v>
      </c>
      <c r="AB76" s="132" t="n">
        <v>-0.5988785665284144</v>
      </c>
      <c r="AC76" s="139" t="n">
        <v>0.5492538652868593</v>
      </c>
      <c r="AD76" s="139" t="n">
        <v>0.006946436064617423</v>
      </c>
      <c r="AE76" s="132" t="n">
        <v>4.417549232030263</v>
      </c>
      <c r="AF76" s="139" t="n">
        <v>0.4669651850392013</v>
      </c>
      <c r="AG76" s="132" t="n">
        <v>2.650185449332162</v>
      </c>
      <c r="AH76" s="139" t="n">
        <v>0.008044759935771362</v>
      </c>
      <c r="AI76" s="139" t="n">
        <v>0.1316254973533535</v>
      </c>
      <c r="AJ76" s="132" t="n">
        <v>6.517266411873479</v>
      </c>
      <c r="AK76" s="132" t="n">
        <v>1.63974577071404</v>
      </c>
      <c r="AL76" s="139" t="n">
        <v>0.36070410706518</v>
      </c>
      <c r="AM76" s="139" t="n">
        <v>1.048641559142638e-06</v>
      </c>
      <c r="AN76" s="139" t="n">
        <v>0.5513720907474443</v>
      </c>
      <c r="AO76" s="139" t="n">
        <v>0.831904993950753</v>
      </c>
      <c r="AP76" s="139" t="n">
        <v>0.5842754380261526</v>
      </c>
      <c r="AQ76" s="139" t="n">
        <v>0.0439300975918863</v>
      </c>
      <c r="AR76" s="139" t="n">
        <v>0.4959681472146225</v>
      </c>
    </row>
    <row r="77">
      <c r="C77" s="126" t="inlineStr">
        <is>
          <t>Industrials</t>
        </is>
      </c>
      <c r="D77" s="126" t="inlineStr">
        <is>
          <t>since_2022</t>
        </is>
      </c>
      <c r="E77" s="112" t="n">
        <v>44562</v>
      </c>
      <c r="F77" s="112" t="n">
        <v>46204</v>
      </c>
      <c r="G77" s="138" t="n">
        <v>55</v>
      </c>
      <c r="H77" s="139" t="n">
        <v>0.3631199129263686</v>
      </c>
      <c r="I77" s="139" t="n">
        <v>0.2981321489392633</v>
      </c>
      <c r="J77" s="138" t="n">
        <v>0</v>
      </c>
      <c r="K77" s="132" t="n">
        <v>0.3970745887790899</v>
      </c>
      <c r="L77" s="139" t="n">
        <v>0.02016659659520811</v>
      </c>
      <c r="M77" s="132" t="n">
        <v>0.1298159307828317</v>
      </c>
      <c r="N77" s="139" t="n">
        <v>0.8967120586299351</v>
      </c>
      <c r="O77" s="139" t="n">
        <v>0.0003944092026788582</v>
      </c>
      <c r="P77" s="132" t="n">
        <v>0.08078749944592678</v>
      </c>
      <c r="Q77" s="139" t="n">
        <v>0.1086326997443225</v>
      </c>
      <c r="R77" s="132" t="n">
        <v>0.6147058774887821</v>
      </c>
      <c r="S77" s="139" t="n">
        <v>0.5387489776078633</v>
      </c>
      <c r="T77" s="139" t="n">
        <v>0.006284720522767295</v>
      </c>
      <c r="U77" s="132" t="n">
        <v>0.4822034536563852</v>
      </c>
      <c r="V77" s="139" t="n">
        <v>0.4528814360043311</v>
      </c>
      <c r="W77" s="132" t="n">
        <v>2.157239202526325</v>
      </c>
      <c r="X77" s="139" t="n">
        <v>0.03098703139639314</v>
      </c>
      <c r="Y77" s="139" t="n">
        <v>0.0985559615359618</v>
      </c>
      <c r="Z77" s="132" t="n">
        <v>-2.112703076565708</v>
      </c>
      <c r="AA77" s="139" t="n">
        <v>-0.4371908822395428</v>
      </c>
      <c r="AB77" s="132" t="n">
        <v>-2.93073827365245</v>
      </c>
      <c r="AC77" s="139" t="n">
        <v>0.003381575513526691</v>
      </c>
      <c r="AD77" s="139" t="n">
        <v>0.1714962934779192</v>
      </c>
      <c r="AE77" s="132" t="n">
        <v>0.8424713791797069</v>
      </c>
      <c r="AF77" s="139" t="n">
        <v>0.1353453391898454</v>
      </c>
      <c r="AG77" s="132" t="n">
        <v>0.859431773352799</v>
      </c>
      <c r="AH77" s="139" t="n">
        <v>0.3901023462973514</v>
      </c>
      <c r="AI77" s="139" t="n">
        <v>0.01113292345549355</v>
      </c>
      <c r="AJ77" s="132" t="n">
        <v>0.2982402843671333</v>
      </c>
      <c r="AK77" s="132" t="n">
        <v>0.09883430441195523</v>
      </c>
      <c r="AL77" s="139" t="n">
        <v>0.9772311542052887</v>
      </c>
      <c r="AM77" s="139" t="n">
        <v>0.9072887452862399</v>
      </c>
      <c r="AN77" s="139" t="n">
        <v>0.5622437023100817</v>
      </c>
      <c r="AO77" s="139" t="n">
        <v>0.08521433634008113</v>
      </c>
      <c r="AP77" s="139" t="n">
        <v>0.01308299492757555</v>
      </c>
      <c r="AQ77" s="139" t="n">
        <v>0.7151876348784776</v>
      </c>
      <c r="AR77" s="139" t="n">
        <v>0.9772311542052887</v>
      </c>
    </row>
    <row r="78">
      <c r="C78" s="126" t="inlineStr">
        <is>
          <t>Industrials</t>
        </is>
      </c>
      <c r="D78" s="126" t="inlineStr">
        <is>
          <t>since_2022_ex_seams</t>
        </is>
      </c>
      <c r="E78" s="112" t="n">
        <v>44562</v>
      </c>
      <c r="F78" s="112" t="n">
        <v>46204</v>
      </c>
      <c r="G78" s="138" t="n">
        <v>52</v>
      </c>
      <c r="H78" s="139" t="n">
        <v>0.3584436312707256</v>
      </c>
      <c r="I78" s="139" t="n">
        <v>0.2887092433653697</v>
      </c>
      <c r="J78" s="138" t="n">
        <v>0</v>
      </c>
      <c r="K78" s="132" t="n">
        <v>0.5783700471940698</v>
      </c>
      <c r="L78" s="139" t="n">
        <v>0.02938782121834538</v>
      </c>
      <c r="M78" s="132" t="n">
        <v>0.1878052927027808</v>
      </c>
      <c r="N78" s="139" t="n">
        <v>0.8510292866205149</v>
      </c>
      <c r="O78" s="139" t="n">
        <v>0.0008412082602085036</v>
      </c>
      <c r="P78" s="132" t="n">
        <v>0.06923799384972074</v>
      </c>
      <c r="Q78" s="139" t="n">
        <v>0.09137887117651058</v>
      </c>
      <c r="R78" s="132" t="n">
        <v>0.4859605050181797</v>
      </c>
      <c r="S78" s="139" t="n">
        <v>0.6269951684438939</v>
      </c>
      <c r="T78" s="139" t="n">
        <v>0.00424002310546312</v>
      </c>
      <c r="U78" s="132" t="n">
        <v>0.4697196954955111</v>
      </c>
      <c r="V78" s="139" t="n">
        <v>0.4437411470576275</v>
      </c>
      <c r="W78" s="132" t="n">
        <v>2.003040226086183</v>
      </c>
      <c r="X78" s="139" t="n">
        <v>0.04517297096458961</v>
      </c>
      <c r="Y78" s="139" t="n">
        <v>0.08930635582511559</v>
      </c>
      <c r="Z78" s="132" t="n">
        <v>-2.086904095692527</v>
      </c>
      <c r="AA78" s="139" t="n">
        <v>-0.43260540677738</v>
      </c>
      <c r="AB78" s="132" t="n">
        <v>-3.180276305071438</v>
      </c>
      <c r="AC78" s="139" t="n">
        <v>0.001471346874593493</v>
      </c>
      <c r="AD78" s="139" t="n">
        <v>0.1678377541287854</v>
      </c>
      <c r="AE78" s="132" t="n">
        <v>0.8426371041324903</v>
      </c>
      <c r="AF78" s="139" t="n">
        <v>0.1351692054418462</v>
      </c>
      <c r="AG78" s="132" t="n">
        <v>0.846028911838124</v>
      </c>
      <c r="AH78" s="139" t="n">
        <v>0.3975366157449711</v>
      </c>
      <c r="AI78" s="139" t="n">
        <v>0.01114340942825942</v>
      </c>
      <c r="AJ78" s="132" t="n">
        <v>-0.2537486584143023</v>
      </c>
      <c r="AK78" s="132" t="n">
        <v>0.8321187056083673</v>
      </c>
      <c r="AL78" s="139" t="n">
        <v>0.8054246812294614</v>
      </c>
      <c r="AM78" s="139" t="n">
        <v>0.9361322152825664</v>
      </c>
      <c r="AN78" s="139" t="n">
        <v>0.7663274280980925</v>
      </c>
      <c r="AO78" s="139" t="n">
        <v>0.1229890655037792</v>
      </c>
      <c r="AP78" s="139" t="n">
        <v>0.007702461769056201</v>
      </c>
      <c r="AQ78" s="139" t="n">
        <v>0.6247003961706689</v>
      </c>
      <c r="AR78" s="139" t="n">
        <v>0.9127750527660768</v>
      </c>
    </row>
    <row r="79">
      <c r="C79" s="126" t="inlineStr">
        <is>
          <t>Information Technology</t>
        </is>
      </c>
      <c r="D79" s="126" t="inlineStr">
        <is>
          <t>full</t>
        </is>
      </c>
      <c r="E79" s="112" t="n">
        <v>43922</v>
      </c>
      <c r="F79" s="112" t="n">
        <v>46204</v>
      </c>
      <c r="G79" s="138" t="n">
        <v>76</v>
      </c>
      <c r="H79" s="139" t="n">
        <v>0.02477362147427187</v>
      </c>
      <c r="I79" s="139" t="n">
        <v>-0.04488540556328013</v>
      </c>
      <c r="J79" s="138" t="n">
        <v>0</v>
      </c>
      <c r="K79" s="132" t="n">
        <v>-0.9401232980465728</v>
      </c>
      <c r="L79" s="139" t="n">
        <v>-0.1064521667596069</v>
      </c>
      <c r="M79" s="132" t="n">
        <v>-1.200706120801621</v>
      </c>
      <c r="N79" s="139" t="n">
        <v>0.2298652189946999</v>
      </c>
      <c r="O79" s="139" t="n">
        <v>0.008701987762344099</v>
      </c>
      <c r="P79" s="132" t="n">
        <v>0.002359426589998548</v>
      </c>
      <c r="Q79" s="139" t="n">
        <v>0.002019314119638571</v>
      </c>
      <c r="R79" s="132" t="n">
        <v>0.01670560048955807</v>
      </c>
      <c r="S79" s="139" t="n">
        <v>0.9866714792407836</v>
      </c>
      <c r="T79" s="139" t="n">
        <v>2.305321174178587e-06</v>
      </c>
      <c r="U79" s="132" t="n">
        <v>-0.2184231542147007</v>
      </c>
      <c r="V79" s="139" t="n">
        <v>-0.1542681062139999</v>
      </c>
      <c r="W79" s="132" t="n">
        <v>-0.7428795984818786</v>
      </c>
      <c r="X79" s="139" t="n">
        <v>0.4575545784175623</v>
      </c>
      <c r="Y79" s="139" t="n">
        <v>0.0132603394584937</v>
      </c>
      <c r="Z79" s="132" t="n">
        <v>-0.6213201570984397</v>
      </c>
      <c r="AA79" s="139" t="n">
        <v>-0.0895375748472208</v>
      </c>
      <c r="AB79" s="132" t="n">
        <v>-0.5471503577123578</v>
      </c>
      <c r="AC79" s="139" t="n">
        <v>0.5842754380261526</v>
      </c>
      <c r="AD79" s="139" t="n">
        <v>0.005231581610514846</v>
      </c>
      <c r="AE79" s="132" t="n">
        <v>0.4127522127106782</v>
      </c>
      <c r="AF79" s="139" t="n">
        <v>0.05360184728739115</v>
      </c>
      <c r="AG79" s="132" t="n">
        <v>0.5390141123378437</v>
      </c>
      <c r="AH79" s="139" t="n">
        <v>0.5898771169632702</v>
      </c>
      <c r="AI79" s="139" t="n">
        <v>0.001637248985675521</v>
      </c>
      <c r="AJ79" s="132" t="n">
        <v>6.763452299747192</v>
      </c>
      <c r="AK79" s="132" t="n">
        <v>-7.703575597793769</v>
      </c>
      <c r="AL79" s="139" t="n">
        <v>4.50328663248456e-12</v>
      </c>
      <c r="AM79" s="139" t="n">
        <v>0.361216772705957</v>
      </c>
      <c r="AN79" s="139" t="n">
        <v>0.9866714792407835</v>
      </c>
      <c r="AO79" s="139" t="n">
        <v>0.5033100362593185</v>
      </c>
      <c r="AP79" s="139" t="n">
        <v>0.8491138133525844</v>
      </c>
      <c r="AQ79" s="139" t="n">
        <v>0.7209609207328858</v>
      </c>
      <c r="AR79" s="139" t="n">
        <v>4.953615295733016e-11</v>
      </c>
    </row>
    <row r="80">
      <c r="C80" s="126" t="inlineStr">
        <is>
          <t>Information Technology</t>
        </is>
      </c>
      <c r="D80" s="126" t="inlineStr">
        <is>
          <t>ex_2013_14</t>
        </is>
      </c>
      <c r="E80" s="112" t="n">
        <v>43922</v>
      </c>
      <c r="F80" s="112" t="n">
        <v>46204</v>
      </c>
      <c r="G80" s="138" t="n">
        <v>76</v>
      </c>
      <c r="H80" s="139" t="n">
        <v>0.02477362147427187</v>
      </c>
      <c r="I80" s="139" t="n">
        <v>-0.04488540556328013</v>
      </c>
      <c r="J80" s="138" t="n">
        <v>0</v>
      </c>
      <c r="K80" s="132" t="n">
        <v>-0.9401232980465728</v>
      </c>
      <c r="L80" s="139" t="n">
        <v>-0.1064521667596069</v>
      </c>
      <c r="M80" s="132" t="n">
        <v>-1.200706120801621</v>
      </c>
      <c r="N80" s="139" t="n">
        <v>0.2298652189946999</v>
      </c>
      <c r="O80" s="139" t="n">
        <v>0.008701987762344099</v>
      </c>
      <c r="P80" s="132" t="n">
        <v>0.002359426589998548</v>
      </c>
      <c r="Q80" s="139" t="n">
        <v>0.002019314119638571</v>
      </c>
      <c r="R80" s="132" t="n">
        <v>0.01670560048955807</v>
      </c>
      <c r="S80" s="139" t="n">
        <v>0.9866714792407836</v>
      </c>
      <c r="T80" s="139" t="n">
        <v>2.305321174178587e-06</v>
      </c>
      <c r="U80" s="132" t="n">
        <v>-0.2184231542147007</v>
      </c>
      <c r="V80" s="139" t="n">
        <v>-0.1542681062139999</v>
      </c>
      <c r="W80" s="132" t="n">
        <v>-0.7428795984818786</v>
      </c>
      <c r="X80" s="139" t="n">
        <v>0.4575545784175623</v>
      </c>
      <c r="Y80" s="139" t="n">
        <v>0.0132603394584937</v>
      </c>
      <c r="Z80" s="132" t="n">
        <v>-0.6213201570984397</v>
      </c>
      <c r="AA80" s="139" t="n">
        <v>-0.0895375748472208</v>
      </c>
      <c r="AB80" s="132" t="n">
        <v>-0.5471503577123578</v>
      </c>
      <c r="AC80" s="139" t="n">
        <v>0.5842754380261526</v>
      </c>
      <c r="AD80" s="139" t="n">
        <v>0.005231581610514846</v>
      </c>
      <c r="AE80" s="132" t="n">
        <v>0.4127522127106782</v>
      </c>
      <c r="AF80" s="139" t="n">
        <v>0.05360184728739115</v>
      </c>
      <c r="AG80" s="132" t="n">
        <v>0.5390141123378437</v>
      </c>
      <c r="AH80" s="139" t="n">
        <v>0.5898771169632702</v>
      </c>
      <c r="AI80" s="139" t="n">
        <v>0.001637248985675521</v>
      </c>
      <c r="AJ80" s="132" t="n">
        <v>6.763452299747192</v>
      </c>
      <c r="AK80" s="132" t="n">
        <v>-7.703575597793769</v>
      </c>
      <c r="AL80" s="139" t="n">
        <v>4.50328663248456e-12</v>
      </c>
      <c r="AM80" s="139" t="n">
        <v>0.361216772705957</v>
      </c>
      <c r="AN80" s="139" t="n">
        <v>0.9866714792407835</v>
      </c>
      <c r="AO80" s="139" t="n">
        <v>0.5642787060834379</v>
      </c>
      <c r="AP80" s="139" t="n">
        <v>0.9181471168982398</v>
      </c>
      <c r="AQ80" s="139" t="n">
        <v>0.7209609207328858</v>
      </c>
      <c r="AR80" s="139" t="n">
        <v>4.953615295733016e-11</v>
      </c>
    </row>
    <row r="81">
      <c r="C81" s="126" t="inlineStr">
        <is>
          <t>Information Technology</t>
        </is>
      </c>
      <c r="D81" s="126" t="inlineStr">
        <is>
          <t>ex_2020_21</t>
        </is>
      </c>
      <c r="E81" s="112" t="n">
        <v>44562</v>
      </c>
      <c r="F81" s="112" t="n">
        <v>46204</v>
      </c>
      <c r="G81" s="138" t="n">
        <v>55</v>
      </c>
      <c r="H81" s="139" t="n">
        <v>0.3456807957195902</v>
      </c>
      <c r="I81" s="139" t="n">
        <v>0.2789135299766913</v>
      </c>
      <c r="J81" s="138" t="n">
        <v>0</v>
      </c>
      <c r="K81" s="132" t="n">
        <v>-4.367063322191754</v>
      </c>
      <c r="L81" s="139" t="n">
        <v>-0.1986809320728864</v>
      </c>
      <c r="M81" s="132" t="n">
        <v>-1.006035283837014</v>
      </c>
      <c r="N81" s="139" t="n">
        <v>0.3143985975032222</v>
      </c>
      <c r="O81" s="139" t="n">
        <v>0.0382819626611165</v>
      </c>
      <c r="P81" s="132" t="n">
        <v>-0.09032546667007058</v>
      </c>
      <c r="Q81" s="139" t="n">
        <v>-0.1088009792693052</v>
      </c>
      <c r="R81" s="132" t="n">
        <v>-0.5836371190196332</v>
      </c>
      <c r="S81" s="139" t="n">
        <v>0.5594644812542404</v>
      </c>
      <c r="T81" s="139" t="n">
        <v>0.006304206532529721</v>
      </c>
      <c r="U81" s="132" t="n">
        <v>-0.6926124440460071</v>
      </c>
      <c r="V81" s="139" t="n">
        <v>-0.5827075912966446</v>
      </c>
      <c r="W81" s="132" t="n">
        <v>-3.952800776283671</v>
      </c>
      <c r="X81" s="139" t="n">
        <v>7.724174495105096e-05</v>
      </c>
      <c r="Y81" s="139" t="n">
        <v>0.1631605698273527</v>
      </c>
      <c r="Z81" s="132" t="n">
        <v>0.4307738314235312</v>
      </c>
      <c r="AA81" s="139" t="n">
        <v>0.07985242832815378</v>
      </c>
      <c r="AB81" s="132" t="n">
        <v>0.4495024010151331</v>
      </c>
      <c r="AC81" s="139" t="n">
        <v>0.6530692764357904</v>
      </c>
      <c r="AD81" s="139" t="n">
        <v>0.005721222019023364</v>
      </c>
      <c r="AE81" s="132" t="n">
        <v>2.90573647194528</v>
      </c>
      <c r="AF81" s="139" t="n">
        <v>0.4181677702103787</v>
      </c>
      <c r="AG81" s="132" t="n">
        <v>2.863421415923486</v>
      </c>
      <c r="AH81" s="139" t="n">
        <v>0.004190927572327974</v>
      </c>
      <c r="AI81" s="139" t="n">
        <v>0.1062731925802172</v>
      </c>
      <c r="AJ81" s="132" t="n">
        <v>0.2982402843671333</v>
      </c>
      <c r="AK81" s="132" t="n">
        <v>-4.665303606558886</v>
      </c>
      <c r="AL81" s="139" t="n">
        <v>0.3342465328156379</v>
      </c>
      <c r="AM81" s="139" t="n">
        <v>0.7043878603541852</v>
      </c>
      <c r="AN81" s="139" t="n">
        <v>0.8635982664161705</v>
      </c>
      <c r="AO81" s="139" t="n">
        <v>0.0008496591944615606</v>
      </c>
      <c r="AP81" s="139" t="n">
        <v>0.6530692764357904</v>
      </c>
      <c r="AQ81" s="139" t="n">
        <v>0.04610020329560771</v>
      </c>
      <c r="AR81" s="139" t="n">
        <v>0.4085235401080018</v>
      </c>
    </row>
    <row r="82">
      <c r="C82" s="126" t="inlineStr">
        <is>
          <t>Information Technology</t>
        </is>
      </c>
      <c r="D82" s="126" t="inlineStr">
        <is>
          <t>clean</t>
        </is>
      </c>
      <c r="E82" s="112" t="n">
        <v>44562</v>
      </c>
      <c r="F82" s="112" t="n">
        <v>46204</v>
      </c>
      <c r="G82" s="138" t="n">
        <v>55</v>
      </c>
      <c r="H82" s="139" t="n">
        <v>0.3456807957195902</v>
      </c>
      <c r="I82" s="139" t="n">
        <v>0.2789135299766913</v>
      </c>
      <c r="J82" s="138" t="n">
        <v>0</v>
      </c>
      <c r="K82" s="132" t="n">
        <v>-4.367063322191754</v>
      </c>
      <c r="L82" s="139" t="n">
        <v>-0.1986809320728864</v>
      </c>
      <c r="M82" s="132" t="n">
        <v>-1.006035283837014</v>
      </c>
      <c r="N82" s="139" t="n">
        <v>0.3143985975032222</v>
      </c>
      <c r="O82" s="139" t="n">
        <v>0.0382819626611165</v>
      </c>
      <c r="P82" s="132" t="n">
        <v>-0.09032546667007058</v>
      </c>
      <c r="Q82" s="139" t="n">
        <v>-0.1088009792693052</v>
      </c>
      <c r="R82" s="132" t="n">
        <v>-0.5836371190196332</v>
      </c>
      <c r="S82" s="139" t="n">
        <v>0.5594644812542404</v>
      </c>
      <c r="T82" s="139" t="n">
        <v>0.006304206532529721</v>
      </c>
      <c r="U82" s="132" t="n">
        <v>-0.6926124440460071</v>
      </c>
      <c r="V82" s="139" t="n">
        <v>-0.5827075912966446</v>
      </c>
      <c r="W82" s="132" t="n">
        <v>-3.952800776283671</v>
      </c>
      <c r="X82" s="139" t="n">
        <v>7.724174495105096e-05</v>
      </c>
      <c r="Y82" s="139" t="n">
        <v>0.1631605698273527</v>
      </c>
      <c r="Z82" s="132" t="n">
        <v>0.4307738314235312</v>
      </c>
      <c r="AA82" s="139" t="n">
        <v>0.07985242832815378</v>
      </c>
      <c r="AB82" s="132" t="n">
        <v>0.4495024010151331</v>
      </c>
      <c r="AC82" s="139" t="n">
        <v>0.6530692764357904</v>
      </c>
      <c r="AD82" s="139" t="n">
        <v>0.005721222019023364</v>
      </c>
      <c r="AE82" s="132" t="n">
        <v>2.90573647194528</v>
      </c>
      <c r="AF82" s="139" t="n">
        <v>0.4181677702103787</v>
      </c>
      <c r="AG82" s="132" t="n">
        <v>2.863421415923486</v>
      </c>
      <c r="AH82" s="139" t="n">
        <v>0.004190927572327974</v>
      </c>
      <c r="AI82" s="139" t="n">
        <v>0.1062731925802172</v>
      </c>
      <c r="AJ82" s="132" t="n">
        <v>0.2982402843671333</v>
      </c>
      <c r="AK82" s="132" t="n">
        <v>-4.665303606558886</v>
      </c>
      <c r="AL82" s="139" t="n">
        <v>0.3342465328156379</v>
      </c>
      <c r="AM82" s="139" t="n">
        <v>0.6916769145070888</v>
      </c>
      <c r="AN82" s="139" t="n">
        <v>0.7181676281313339</v>
      </c>
      <c r="AO82" s="139" t="n">
        <v>0.0008496591944615606</v>
      </c>
      <c r="AP82" s="139" t="n">
        <v>0.7183762040793694</v>
      </c>
      <c r="AQ82" s="139" t="n">
        <v>0.04610020329560771</v>
      </c>
      <c r="AR82" s="139" t="n">
        <v>0.4085235401080018</v>
      </c>
    </row>
    <row r="83">
      <c r="C83" s="126" t="inlineStr">
        <is>
          <t>Information Technology</t>
        </is>
      </c>
      <c r="D83" s="126" t="inlineStr">
        <is>
          <t>ex_seams</t>
        </is>
      </c>
      <c r="E83" s="112" t="n">
        <v>43922</v>
      </c>
      <c r="F83" s="112" t="n">
        <v>46204</v>
      </c>
      <c r="G83" s="138" t="n">
        <v>73</v>
      </c>
      <c r="H83" s="139" t="n">
        <v>0.02200344658447029</v>
      </c>
      <c r="I83" s="139" t="n">
        <v>-0.05098137083459897</v>
      </c>
      <c r="J83" s="138" t="n">
        <v>0</v>
      </c>
      <c r="K83" s="132" t="n">
        <v>-0.9775558134093074</v>
      </c>
      <c r="L83" s="139" t="n">
        <v>-0.1127469980270887</v>
      </c>
      <c r="M83" s="132" t="n">
        <v>-1.246800689574366</v>
      </c>
      <c r="N83" s="139" t="n">
        <v>0.2124705875993478</v>
      </c>
      <c r="O83" s="139" t="n">
        <v>0.009756867315977247</v>
      </c>
      <c r="P83" s="132" t="n">
        <v>0.08211726767966032</v>
      </c>
      <c r="Q83" s="139" t="n">
        <v>0.06992831443006525</v>
      </c>
      <c r="R83" s="132" t="n">
        <v>0.5231179538566495</v>
      </c>
      <c r="S83" s="139" t="n">
        <v>0.6008921722277769</v>
      </c>
      <c r="T83" s="139" t="n">
        <v>0.002667308340139063</v>
      </c>
      <c r="U83" s="132" t="n">
        <v>-0.1392333169026505</v>
      </c>
      <c r="V83" s="139" t="n">
        <v>-0.09983949809470276</v>
      </c>
      <c r="W83" s="132" t="n">
        <v>-0.4663866441433613</v>
      </c>
      <c r="X83" s="139" t="n">
        <v>0.6409387697299662</v>
      </c>
      <c r="Y83" s="139" t="n">
        <v>0.005318202327678878</v>
      </c>
      <c r="Z83" s="132" t="n">
        <v>-0.4809091865921533</v>
      </c>
      <c r="AA83" s="139" t="n">
        <v>-0.06997711884749938</v>
      </c>
      <c r="AB83" s="132" t="n">
        <v>-0.4503365465069101</v>
      </c>
      <c r="AC83" s="139" t="n">
        <v>0.65246779077532</v>
      </c>
      <c r="AD83" s="139" t="n">
        <v>0.003186547020570751</v>
      </c>
      <c r="AE83" s="132" t="n">
        <v>0.2683154867162597</v>
      </c>
      <c r="AF83" s="139" t="n">
        <v>0.03520110284388064</v>
      </c>
      <c r="AG83" s="132" t="n">
        <v>0.3423109637606465</v>
      </c>
      <c r="AH83" s="139" t="n">
        <v>0.732116885537712</v>
      </c>
      <c r="AI83" s="139" t="n">
        <v>0.0007083905684536207</v>
      </c>
      <c r="AJ83" s="132" t="n">
        <v>6.716670142107276</v>
      </c>
      <c r="AK83" s="132" t="n">
        <v>-7.694225955516585</v>
      </c>
      <c r="AL83" s="139" t="n">
        <v>6.387335105273451e-12</v>
      </c>
      <c r="AM83" s="139" t="n">
        <v>0.3338823519418322</v>
      </c>
      <c r="AN83" s="139" t="n">
        <v>0.8090555968373689</v>
      </c>
      <c r="AO83" s="139" t="n">
        <v>0.7050326467029628</v>
      </c>
      <c r="AP83" s="139" t="n">
        <v>0.9328281158347742</v>
      </c>
      <c r="AQ83" s="139" t="n">
        <v>0.8053285740914833</v>
      </c>
      <c r="AR83" s="139" t="n">
        <v>7.026068615800796e-11</v>
      </c>
    </row>
    <row r="84">
      <c r="C84" s="126" t="inlineStr">
        <is>
          <t>Information Technology</t>
        </is>
      </c>
      <c r="D84" s="126" t="inlineStr">
        <is>
          <t>audit_clean</t>
        </is>
      </c>
      <c r="E84" s="112" t="n">
        <v>44562</v>
      </c>
      <c r="F84" s="112" t="n">
        <v>46204</v>
      </c>
      <c r="G84" s="138" t="n">
        <v>52</v>
      </c>
      <c r="H84" s="139" t="n">
        <v>0.372439002184873</v>
      </c>
      <c r="I84" s="139" t="n">
        <v>0.3042258502484462</v>
      </c>
      <c r="J84" s="138" t="n">
        <v>0</v>
      </c>
      <c r="K84" s="132" t="n">
        <v>-4.45094517172395</v>
      </c>
      <c r="L84" s="139" t="n">
        <v>-0.2100296882190692</v>
      </c>
      <c r="M84" s="132" t="n">
        <v>-1.037060228727896</v>
      </c>
      <c r="N84" s="139" t="n">
        <v>0.2997077888146666</v>
      </c>
      <c r="O84" s="139" t="n">
        <v>0.04296651460674228</v>
      </c>
      <c r="P84" s="132" t="n">
        <v>0.01592040066303113</v>
      </c>
      <c r="Q84" s="139" t="n">
        <v>0.01951291504656373</v>
      </c>
      <c r="R84" s="132" t="n">
        <v>0.09964107997168724</v>
      </c>
      <c r="S84" s="139" t="n">
        <v>0.9206292789927286</v>
      </c>
      <c r="T84" s="139" t="n">
        <v>0.0001933396611595306</v>
      </c>
      <c r="U84" s="132" t="n">
        <v>-0.5672335073597211</v>
      </c>
      <c r="V84" s="139" t="n">
        <v>-0.4976450125593106</v>
      </c>
      <c r="W84" s="132" t="n">
        <v>-3.28446470809364</v>
      </c>
      <c r="X84" s="139" t="n">
        <v>0.001021762940106585</v>
      </c>
      <c r="Y84" s="139" t="n">
        <v>0.1123213401702591</v>
      </c>
      <c r="Z84" s="132" t="n">
        <v>0.5021472103237303</v>
      </c>
      <c r="AA84" s="139" t="n">
        <v>0.09666902836528429</v>
      </c>
      <c r="AB84" s="132" t="n">
        <v>0.5514794478185494</v>
      </c>
      <c r="AC84" s="139" t="n">
        <v>0.5813050516013849</v>
      </c>
      <c r="AD84" s="139" t="n">
        <v>0.00838070358296561</v>
      </c>
      <c r="AE84" s="132" t="n">
        <v>2.669385213632963</v>
      </c>
      <c r="AF84" s="139" t="n">
        <v>0.3976630876301234</v>
      </c>
      <c r="AG84" s="132" t="n">
        <v>2.727394931778316</v>
      </c>
      <c r="AH84" s="139" t="n">
        <v>0.006383658397082215</v>
      </c>
      <c r="AI84" s="139" t="n">
        <v>0.09644797777278624</v>
      </c>
      <c r="AJ84" s="132" t="n">
        <v>-0.2537486584143023</v>
      </c>
      <c r="AK84" s="132" t="n">
        <v>-4.197196513309653</v>
      </c>
      <c r="AL84" s="139" t="n">
        <v>0.3706852367097808</v>
      </c>
      <c r="AM84" s="139" t="n">
        <v>0.6593571353922666</v>
      </c>
      <c r="AN84" s="139" t="n">
        <v>0.9581476092413563</v>
      </c>
      <c r="AO84" s="139" t="n">
        <v>0.01123939234117244</v>
      </c>
      <c r="AP84" s="139" t="n">
        <v>0.7992944459519042</v>
      </c>
      <c r="AQ84" s="139" t="n">
        <v>0.07022024236790436</v>
      </c>
      <c r="AR84" s="139" t="n">
        <v>0.4530597337563988</v>
      </c>
    </row>
    <row r="85">
      <c r="C85" s="126" t="inlineStr">
        <is>
          <t>Information Technology</t>
        </is>
      </c>
      <c r="D85" s="126" t="inlineStr">
        <is>
          <t>since_2020</t>
        </is>
      </c>
      <c r="E85" s="112" t="n">
        <v>43922</v>
      </c>
      <c r="F85" s="112" t="n">
        <v>46204</v>
      </c>
      <c r="G85" s="138" t="n">
        <v>76</v>
      </c>
      <c r="H85" s="139" t="n">
        <v>0.02477362147427187</v>
      </c>
      <c r="I85" s="139" t="n">
        <v>-0.04488540556328013</v>
      </c>
      <c r="J85" s="138" t="n">
        <v>0</v>
      </c>
      <c r="K85" s="132" t="n">
        <v>-0.9401232980465728</v>
      </c>
      <c r="L85" s="139" t="n">
        <v>-0.1064521667596069</v>
      </c>
      <c r="M85" s="132" t="n">
        <v>-1.200706120801621</v>
      </c>
      <c r="N85" s="139" t="n">
        <v>0.2298652189946999</v>
      </c>
      <c r="O85" s="139" t="n">
        <v>0.008701987762344099</v>
      </c>
      <c r="P85" s="132" t="n">
        <v>0.002359426589998548</v>
      </c>
      <c r="Q85" s="139" t="n">
        <v>0.002019314119638571</v>
      </c>
      <c r="R85" s="132" t="n">
        <v>0.01670560048955807</v>
      </c>
      <c r="S85" s="139" t="n">
        <v>0.9866714792407836</v>
      </c>
      <c r="T85" s="139" t="n">
        <v>2.305321174178587e-06</v>
      </c>
      <c r="U85" s="132" t="n">
        <v>-0.2184231542147007</v>
      </c>
      <c r="V85" s="139" t="n">
        <v>-0.1542681062139999</v>
      </c>
      <c r="W85" s="132" t="n">
        <v>-0.7428795984818786</v>
      </c>
      <c r="X85" s="139" t="n">
        <v>0.4575545784175623</v>
      </c>
      <c r="Y85" s="139" t="n">
        <v>0.0132603394584937</v>
      </c>
      <c r="Z85" s="132" t="n">
        <v>-0.6213201570984397</v>
      </c>
      <c r="AA85" s="139" t="n">
        <v>-0.0895375748472208</v>
      </c>
      <c r="AB85" s="132" t="n">
        <v>-0.5471503577123578</v>
      </c>
      <c r="AC85" s="139" t="n">
        <v>0.5842754380261526</v>
      </c>
      <c r="AD85" s="139" t="n">
        <v>0.005231581610514846</v>
      </c>
      <c r="AE85" s="132" t="n">
        <v>0.4127522127106782</v>
      </c>
      <c r="AF85" s="139" t="n">
        <v>0.05360184728739115</v>
      </c>
      <c r="AG85" s="132" t="n">
        <v>0.5390141123378437</v>
      </c>
      <c r="AH85" s="139" t="n">
        <v>0.5898771169632702</v>
      </c>
      <c r="AI85" s="139" t="n">
        <v>0.001637248985675521</v>
      </c>
      <c r="AJ85" s="132" t="n">
        <v>6.763452299747192</v>
      </c>
      <c r="AK85" s="132" t="n">
        <v>-7.703575597793769</v>
      </c>
      <c r="AL85" s="139" t="n">
        <v>4.50328663248456e-12</v>
      </c>
      <c r="AM85" s="139" t="n">
        <v>0.2809463787712999</v>
      </c>
      <c r="AN85" s="139" t="n">
        <v>0.9866714792407835</v>
      </c>
      <c r="AO85" s="139" t="n">
        <v>0.831904993950753</v>
      </c>
      <c r="AP85" s="139" t="n">
        <v>0.5842754380261526</v>
      </c>
      <c r="AQ85" s="139" t="n">
        <v>0.8110810358244964</v>
      </c>
      <c r="AR85" s="139" t="n">
        <v>4.953615295733016e-11</v>
      </c>
    </row>
    <row r="86">
      <c r="C86" s="126" t="inlineStr">
        <is>
          <t>Information Technology</t>
        </is>
      </c>
      <c r="D86" s="126" t="inlineStr">
        <is>
          <t>since_2022</t>
        </is>
      </c>
      <c r="E86" s="112" t="n">
        <v>44562</v>
      </c>
      <c r="F86" s="112" t="n">
        <v>46204</v>
      </c>
      <c r="G86" s="138" t="n">
        <v>55</v>
      </c>
      <c r="H86" s="139" t="n">
        <v>0.3456807957195902</v>
      </c>
      <c r="I86" s="139" t="n">
        <v>0.2789135299766913</v>
      </c>
      <c r="J86" s="138" t="n">
        <v>0</v>
      </c>
      <c r="K86" s="132" t="n">
        <v>-4.367063322191754</v>
      </c>
      <c r="L86" s="139" t="n">
        <v>-0.1986809320728864</v>
      </c>
      <c r="M86" s="132" t="n">
        <v>-1.006035283837014</v>
      </c>
      <c r="N86" s="139" t="n">
        <v>0.3143985975032222</v>
      </c>
      <c r="O86" s="139" t="n">
        <v>0.0382819626611165</v>
      </c>
      <c r="P86" s="132" t="n">
        <v>-0.09032546667007058</v>
      </c>
      <c r="Q86" s="139" t="n">
        <v>-0.1088009792693052</v>
      </c>
      <c r="R86" s="132" t="n">
        <v>-0.5836371190196332</v>
      </c>
      <c r="S86" s="139" t="n">
        <v>0.5594644812542404</v>
      </c>
      <c r="T86" s="139" t="n">
        <v>0.006304206532529721</v>
      </c>
      <c r="U86" s="132" t="n">
        <v>-0.6926124440460071</v>
      </c>
      <c r="V86" s="139" t="n">
        <v>-0.5827075912966446</v>
      </c>
      <c r="W86" s="132" t="n">
        <v>-3.952800776283671</v>
      </c>
      <c r="X86" s="139" t="n">
        <v>7.724174495105096e-05</v>
      </c>
      <c r="Y86" s="139" t="n">
        <v>0.1631605698273527</v>
      </c>
      <c r="Z86" s="132" t="n">
        <v>0.4307738314235312</v>
      </c>
      <c r="AA86" s="139" t="n">
        <v>0.07985242832815378</v>
      </c>
      <c r="AB86" s="132" t="n">
        <v>0.4495024010151331</v>
      </c>
      <c r="AC86" s="139" t="n">
        <v>0.6530692764357904</v>
      </c>
      <c r="AD86" s="139" t="n">
        <v>0.005721222019023364</v>
      </c>
      <c r="AE86" s="132" t="n">
        <v>2.90573647194528</v>
      </c>
      <c r="AF86" s="139" t="n">
        <v>0.4181677702103787</v>
      </c>
      <c r="AG86" s="132" t="n">
        <v>2.863421415923486</v>
      </c>
      <c r="AH86" s="139" t="n">
        <v>0.004190927572327974</v>
      </c>
      <c r="AI86" s="139" t="n">
        <v>0.1062731925802172</v>
      </c>
      <c r="AJ86" s="132" t="n">
        <v>0.2982402843671333</v>
      </c>
      <c r="AK86" s="132" t="n">
        <v>-4.665303606558886</v>
      </c>
      <c r="AL86" s="139" t="n">
        <v>0.3342465328156379</v>
      </c>
      <c r="AM86" s="139" t="n">
        <v>0.7482062923372836</v>
      </c>
      <c r="AN86" s="139" t="n">
        <v>0.5622437023100817</v>
      </c>
      <c r="AO86" s="139" t="n">
        <v>0.0008496591944615606</v>
      </c>
      <c r="AP86" s="139" t="n">
        <v>0.6530692764357904</v>
      </c>
      <c r="AQ86" s="139" t="n">
        <v>0.04610020329560771</v>
      </c>
      <c r="AR86" s="139" t="n">
        <v>0.9772311542052887</v>
      </c>
    </row>
    <row r="87">
      <c r="C87" s="126" t="inlineStr">
        <is>
          <t>Information Technology</t>
        </is>
      </c>
      <c r="D87" s="126" t="inlineStr">
        <is>
          <t>since_2022_ex_seams</t>
        </is>
      </c>
      <c r="E87" s="112" t="n">
        <v>44562</v>
      </c>
      <c r="F87" s="112" t="n">
        <v>46204</v>
      </c>
      <c r="G87" s="138" t="n">
        <v>52</v>
      </c>
      <c r="H87" s="139" t="n">
        <v>0.372439002184873</v>
      </c>
      <c r="I87" s="139" t="n">
        <v>0.3042258502484462</v>
      </c>
      <c r="J87" s="138" t="n">
        <v>0</v>
      </c>
      <c r="K87" s="132" t="n">
        <v>-4.45094517172395</v>
      </c>
      <c r="L87" s="139" t="n">
        <v>-0.2100296882190692</v>
      </c>
      <c r="M87" s="132" t="n">
        <v>-1.037060228727896</v>
      </c>
      <c r="N87" s="139" t="n">
        <v>0.2997077888146666</v>
      </c>
      <c r="O87" s="139" t="n">
        <v>0.04296651460674228</v>
      </c>
      <c r="P87" s="132" t="n">
        <v>0.01592040066303113</v>
      </c>
      <c r="Q87" s="139" t="n">
        <v>0.01951291504656373</v>
      </c>
      <c r="R87" s="132" t="n">
        <v>0.09964107997168724</v>
      </c>
      <c r="S87" s="139" t="n">
        <v>0.9206292789927286</v>
      </c>
      <c r="T87" s="139" t="n">
        <v>0.0001933396611595306</v>
      </c>
      <c r="U87" s="132" t="n">
        <v>-0.5672335073597211</v>
      </c>
      <c r="V87" s="139" t="n">
        <v>-0.4976450125593106</v>
      </c>
      <c r="W87" s="132" t="n">
        <v>-3.28446470809364</v>
      </c>
      <c r="X87" s="139" t="n">
        <v>0.001021762940106585</v>
      </c>
      <c r="Y87" s="139" t="n">
        <v>0.1123213401702591</v>
      </c>
      <c r="Z87" s="132" t="n">
        <v>0.5021472103237303</v>
      </c>
      <c r="AA87" s="139" t="n">
        <v>0.09666902836528429</v>
      </c>
      <c r="AB87" s="132" t="n">
        <v>0.5514794478185494</v>
      </c>
      <c r="AC87" s="139" t="n">
        <v>0.5813050516013849</v>
      </c>
      <c r="AD87" s="139" t="n">
        <v>0.00838070358296561</v>
      </c>
      <c r="AE87" s="132" t="n">
        <v>2.669385213632963</v>
      </c>
      <c r="AF87" s="139" t="n">
        <v>0.3976630876301234</v>
      </c>
      <c r="AG87" s="132" t="n">
        <v>2.727394931778316</v>
      </c>
      <c r="AH87" s="139" t="n">
        <v>0.006383658397082215</v>
      </c>
      <c r="AI87" s="139" t="n">
        <v>0.09644797777278624</v>
      </c>
      <c r="AJ87" s="132" t="n">
        <v>-0.2537486584143023</v>
      </c>
      <c r="AK87" s="132" t="n">
        <v>-4.197196513309653</v>
      </c>
      <c r="AL87" s="139" t="n">
        <v>0.3706852367097808</v>
      </c>
      <c r="AM87" s="139" t="n">
        <v>0.6988173851547369</v>
      </c>
      <c r="AN87" s="139" t="n">
        <v>0.9206292789927286</v>
      </c>
      <c r="AO87" s="139" t="n">
        <v>0.01123939234117244</v>
      </c>
      <c r="AP87" s="139" t="n">
        <v>0.5813050516013849</v>
      </c>
      <c r="AQ87" s="139" t="n">
        <v>0.07022024236790436</v>
      </c>
      <c r="AR87" s="139" t="n">
        <v>0.9127750527660768</v>
      </c>
    </row>
    <row r="88">
      <c r="C88" s="126" t="inlineStr">
        <is>
          <t>Materials</t>
        </is>
      </c>
      <c r="D88" s="126" t="inlineStr">
        <is>
          <t>full</t>
        </is>
      </c>
      <c r="E88" s="112" t="n">
        <v>39904</v>
      </c>
      <c r="F88" s="112" t="n">
        <v>46204</v>
      </c>
      <c r="G88" s="138" t="n">
        <v>206</v>
      </c>
      <c r="H88" s="139" t="n">
        <v>0.03870239228721395</v>
      </c>
      <c r="I88" s="139" t="n">
        <v>0.01466995209439437</v>
      </c>
      <c r="J88" s="138" t="n">
        <v>2</v>
      </c>
      <c r="K88" s="132" t="n">
        <v>6.488450445350453</v>
      </c>
      <c r="L88" s="139" t="n">
        <v>0.1580462748130664</v>
      </c>
      <c r="M88" s="132" t="n">
        <v>2.026045978166753</v>
      </c>
      <c r="N88" s="139" t="n">
        <v>0.04276007321743425</v>
      </c>
      <c r="O88" s="139" t="n">
        <v>0.02012181615099617</v>
      </c>
      <c r="P88" s="132" t="n">
        <v>0.4311315841995957</v>
      </c>
      <c r="Q88" s="139" t="n">
        <v>0.09270640290855053</v>
      </c>
      <c r="R88" s="132" t="n">
        <v>0.9134394368719376</v>
      </c>
      <c r="S88" s="139" t="n">
        <v>0.3610114722579416</v>
      </c>
      <c r="T88" s="139" t="n">
        <v>0.004718049892123433</v>
      </c>
      <c r="U88" s="132" t="n">
        <v>0.1557942783483544</v>
      </c>
      <c r="V88" s="139" t="n">
        <v>0.03224690841497068</v>
      </c>
      <c r="W88" s="132" t="n">
        <v>0.3493328073570419</v>
      </c>
      <c r="X88" s="139" t="n">
        <v>0.7268394712766277</v>
      </c>
      <c r="Y88" s="139" t="n">
        <v>0.0005401654411117951</v>
      </c>
      <c r="Z88" s="132" t="n">
        <v>-1.002919599969534</v>
      </c>
      <c r="AA88" s="139" t="n">
        <v>-0.03008712004770792</v>
      </c>
      <c r="AB88" s="132" t="n">
        <v>-0.2904671171455328</v>
      </c>
      <c r="AC88" s="139" t="n">
        <v>0.7714589035899839</v>
      </c>
      <c r="AD88" s="139" t="n">
        <v>0.0006655204477754584</v>
      </c>
      <c r="AE88" s="132" t="n">
        <v>-0.6906596772395749</v>
      </c>
      <c r="AF88" s="139" t="n">
        <v>-0.02098271172319861</v>
      </c>
      <c r="AG88" s="132" t="n">
        <v>-0.2054234179394524</v>
      </c>
      <c r="AH88" s="139" t="n">
        <v>0.8372413255272277</v>
      </c>
      <c r="AI88" s="139" t="n">
        <v>0.0002890548316766273</v>
      </c>
      <c r="AJ88" s="132" t="n">
        <v>5.920897353880115</v>
      </c>
      <c r="AK88" s="132" t="n">
        <v>0.5675530914703379</v>
      </c>
      <c r="AL88" s="139" t="n">
        <v>0.8459795648767896</v>
      </c>
      <c r="AM88" s="139" t="n">
        <v>0.1175902013479442</v>
      </c>
      <c r="AN88" s="139" t="n">
        <v>0.9866714792407835</v>
      </c>
      <c r="AO88" s="139" t="n">
        <v>0.7268394712766277</v>
      </c>
      <c r="AP88" s="139" t="n">
        <v>0.9352252143355138</v>
      </c>
      <c r="AQ88" s="139" t="n">
        <v>0.8372413255272277</v>
      </c>
      <c r="AR88" s="139" t="n">
        <v>0.8459795648767897</v>
      </c>
    </row>
    <row r="89">
      <c r="C89" s="126" t="inlineStr">
        <is>
          <t>Materials</t>
        </is>
      </c>
      <c r="D89" s="126" t="inlineStr">
        <is>
          <t>ex_2013_14</t>
        </is>
      </c>
      <c r="E89" s="112" t="n">
        <v>39904</v>
      </c>
      <c r="F89" s="112" t="n">
        <v>46204</v>
      </c>
      <c r="G89" s="138" t="n">
        <v>182</v>
      </c>
      <c r="H89" s="139" t="n">
        <v>0.03176626414842953</v>
      </c>
      <c r="I89" s="139" t="n">
        <v>0.004259623925373601</v>
      </c>
      <c r="J89" s="138" t="n">
        <v>2</v>
      </c>
      <c r="K89" s="132" t="n">
        <v>6.773677135301451</v>
      </c>
      <c r="L89" s="139" t="n">
        <v>0.1658995605468302</v>
      </c>
      <c r="M89" s="132" t="n">
        <v>2.111000269750343</v>
      </c>
      <c r="N89" s="139" t="n">
        <v>0.03477228867633153</v>
      </c>
      <c r="O89" s="139" t="n">
        <v>0.02208792198871268</v>
      </c>
      <c r="P89" s="132" t="n">
        <v>0.2090900084654903</v>
      </c>
      <c r="Q89" s="139" t="n">
        <v>0.04370863971234604</v>
      </c>
      <c r="R89" s="132" t="n">
        <v>0.4118857586597146</v>
      </c>
      <c r="S89" s="139" t="n">
        <v>0.6804231595997976</v>
      </c>
      <c r="T89" s="139" t="n">
        <v>0.00101323420701982</v>
      </c>
      <c r="U89" s="132" t="n">
        <v>0.1154085785628549</v>
      </c>
      <c r="V89" s="139" t="n">
        <v>0.02319921370211814</v>
      </c>
      <c r="W89" s="132" t="n">
        <v>0.2387452410269275</v>
      </c>
      <c r="X89" s="139" t="n">
        <v>0.8113031336808183</v>
      </c>
      <c r="Y89" s="139" t="n">
        <v>0.0002778432353210958</v>
      </c>
      <c r="Z89" s="132" t="n">
        <v>-1.137487553137462</v>
      </c>
      <c r="AA89" s="139" t="n">
        <v>-0.03442061063784211</v>
      </c>
      <c r="AB89" s="132" t="n">
        <v>-0.304461804115701</v>
      </c>
      <c r="AC89" s="139" t="n">
        <v>0.7607760882033401</v>
      </c>
      <c r="AD89" s="139" t="n">
        <v>0.0008379089919596794</v>
      </c>
      <c r="AE89" s="132" t="n">
        <v>0.1508794503455949</v>
      </c>
      <c r="AF89" s="139" t="n">
        <v>0.004485787454967916</v>
      </c>
      <c r="AG89" s="132" t="n">
        <v>0.03971198550596631</v>
      </c>
      <c r="AH89" s="139" t="n">
        <v>0.9683227461635779</v>
      </c>
      <c r="AI89" s="139" t="n">
        <v>1.252805855722627e-05</v>
      </c>
      <c r="AJ89" s="132" t="n">
        <v>6.130093699219806</v>
      </c>
      <c r="AK89" s="132" t="n">
        <v>0.6435834360816429</v>
      </c>
      <c r="AL89" s="139" t="n">
        <v>0.8238547770490532</v>
      </c>
      <c r="AM89" s="139" t="n">
        <v>0.09562379385991171</v>
      </c>
      <c r="AN89" s="139" t="n">
        <v>0.9662546132430333</v>
      </c>
      <c r="AO89" s="139" t="n">
        <v>0.8113031336808182</v>
      </c>
      <c r="AP89" s="139" t="n">
        <v>0.9386131198694879</v>
      </c>
      <c r="AQ89" s="139" t="n">
        <v>0.9683227461635778</v>
      </c>
      <c r="AR89" s="139" t="n">
        <v>0.8238547770490533</v>
      </c>
    </row>
    <row r="90">
      <c r="C90" s="126" t="inlineStr">
        <is>
          <t>Materials</t>
        </is>
      </c>
      <c r="D90" s="126" t="inlineStr">
        <is>
          <t>ex_2020_21</t>
        </is>
      </c>
      <c r="E90" s="112" t="n">
        <v>39904</v>
      </c>
      <c r="F90" s="112" t="n">
        <v>46204</v>
      </c>
      <c r="G90" s="138" t="n">
        <v>182</v>
      </c>
      <c r="H90" s="139" t="n">
        <v>0.02354474832469944</v>
      </c>
      <c r="I90" s="139" t="n">
        <v>-0.004195457688803472</v>
      </c>
      <c r="J90" s="138" t="n">
        <v>2</v>
      </c>
      <c r="K90" s="132" t="n">
        <v>5.74781916958805</v>
      </c>
      <c r="L90" s="139" t="n">
        <v>0.09438499918895325</v>
      </c>
      <c r="M90" s="132" t="n">
        <v>0.8706837821985403</v>
      </c>
      <c r="N90" s="139" t="n">
        <v>0.3839268360082519</v>
      </c>
      <c r="O90" s="139" t="n">
        <v>0.007402505054434072</v>
      </c>
      <c r="P90" s="132" t="n">
        <v>0.2815825439788961</v>
      </c>
      <c r="Q90" s="139" t="n">
        <v>0.05477001229864034</v>
      </c>
      <c r="R90" s="132" t="n">
        <v>0.5143464106768635</v>
      </c>
      <c r="S90" s="139" t="n">
        <v>0.6070098190585784</v>
      </c>
      <c r="T90" s="139" t="n">
        <v>0.001802906034591323</v>
      </c>
      <c r="U90" s="132" t="n">
        <v>-0.1137904137618637</v>
      </c>
      <c r="V90" s="139" t="n">
        <v>-0.02157069224651272</v>
      </c>
      <c r="W90" s="132" t="n">
        <v>-0.2234351325203478</v>
      </c>
      <c r="X90" s="139" t="n">
        <v>0.8231968635801983</v>
      </c>
      <c r="Y90" s="139" t="n">
        <v>0.0002471856465426914</v>
      </c>
      <c r="Z90" s="132" t="n">
        <v>-2.282771969561165</v>
      </c>
      <c r="AA90" s="139" t="n">
        <v>-0.05989321398443315</v>
      </c>
      <c r="AB90" s="132" t="n">
        <v>-0.5160098255711703</v>
      </c>
      <c r="AC90" s="139" t="n">
        <v>0.6058475467560354</v>
      </c>
      <c r="AD90" s="139" t="n">
        <v>0.002802391051142661</v>
      </c>
      <c r="AE90" s="132" t="n">
        <v>1.22088776272037</v>
      </c>
      <c r="AF90" s="139" t="n">
        <v>0.03121702252585876</v>
      </c>
      <c r="AG90" s="132" t="n">
        <v>0.3031529993202092</v>
      </c>
      <c r="AH90" s="139" t="n">
        <v>0.7617732656590264</v>
      </c>
      <c r="AI90" s="139" t="n">
        <v>0.000738474045561488</v>
      </c>
      <c r="AJ90" s="132" t="n">
        <v>3.791704378467185</v>
      </c>
      <c r="AK90" s="132" t="n">
        <v>1.956114791120862</v>
      </c>
      <c r="AL90" s="139" t="n">
        <v>0.7545787337780694</v>
      </c>
      <c r="AM90" s="139" t="n">
        <v>0.7043878603541852</v>
      </c>
      <c r="AN90" s="139" t="n">
        <v>0.8635982664161705</v>
      </c>
      <c r="AO90" s="139" t="n">
        <v>0.8373060161960555</v>
      </c>
      <c r="AP90" s="139" t="n">
        <v>0.6530692764357904</v>
      </c>
      <c r="AQ90" s="139" t="n">
        <v>0.852412503472647</v>
      </c>
      <c r="AR90" s="139" t="n">
        <v>0.7545787337780694</v>
      </c>
    </row>
    <row r="91">
      <c r="C91" s="126" t="inlineStr">
        <is>
          <t>Materials</t>
        </is>
      </c>
      <c r="D91" s="126" t="inlineStr">
        <is>
          <t>clean</t>
        </is>
      </c>
      <c r="E91" s="112" t="n">
        <v>39904</v>
      </c>
      <c r="F91" s="112" t="n">
        <v>46204</v>
      </c>
      <c r="G91" s="138" t="n">
        <v>158</v>
      </c>
      <c r="H91" s="139" t="n">
        <v>0.01790142767124348</v>
      </c>
      <c r="I91" s="139" t="n">
        <v>-0.01440444641851824</v>
      </c>
      <c r="J91" s="138" t="n">
        <v>2</v>
      </c>
      <c r="K91" s="132" t="n">
        <v>5.507495172540182</v>
      </c>
      <c r="L91" s="139" t="n">
        <v>0.08895470592573507</v>
      </c>
      <c r="M91" s="132" t="n">
        <v>0.7816767661345632</v>
      </c>
      <c r="N91" s="139" t="n">
        <v>0.4344045593502064</v>
      </c>
      <c r="O91" s="139" t="n">
        <v>0.006642359212092663</v>
      </c>
      <c r="P91" s="132" t="n">
        <v>0.01381869803653624</v>
      </c>
      <c r="Q91" s="139" t="n">
        <v>0.002583510012234643</v>
      </c>
      <c r="R91" s="132" t="n">
        <v>0.02241624046009778</v>
      </c>
      <c r="S91" s="139" t="n">
        <v>0.9821159255931609</v>
      </c>
      <c r="T91" s="139" t="n">
        <v>3.925574709295887e-06</v>
      </c>
      <c r="U91" s="132" t="n">
        <v>-0.1818978196984977</v>
      </c>
      <c r="V91" s="139" t="n">
        <v>-0.03296438871743182</v>
      </c>
      <c r="W91" s="132" t="n">
        <v>-0.3223152074517514</v>
      </c>
      <c r="X91" s="139" t="n">
        <v>0.7472139134983617</v>
      </c>
      <c r="Y91" s="139" t="n">
        <v>0.0005799974481128789</v>
      </c>
      <c r="Z91" s="132" t="n">
        <v>-2.466883974880359</v>
      </c>
      <c r="AA91" s="139" t="n">
        <v>-0.06468861658147876</v>
      </c>
      <c r="AB91" s="132" t="n">
        <v>-0.5068950939499229</v>
      </c>
      <c r="AC91" s="139" t="n">
        <v>0.61222842820539</v>
      </c>
      <c r="AD91" s="139" t="n">
        <v>0.003183313620372497</v>
      </c>
      <c r="AE91" s="132" t="n">
        <v>2.363155125224222</v>
      </c>
      <c r="AF91" s="139" t="n">
        <v>0.05699298644302471</v>
      </c>
      <c r="AG91" s="132" t="n">
        <v>0.4819077375731254</v>
      </c>
      <c r="AH91" s="139" t="n">
        <v>0.6298714892337121</v>
      </c>
      <c r="AI91" s="139" t="n">
        <v>0.002411005045860115</v>
      </c>
      <c r="AJ91" s="132" t="n">
        <v>4.104556404824133</v>
      </c>
      <c r="AK91" s="132" t="n">
        <v>1.402938767716043</v>
      </c>
      <c r="AL91" s="139" t="n">
        <v>0.8331536655379603</v>
      </c>
      <c r="AM91" s="139" t="n">
        <v>0.7144310362644648</v>
      </c>
      <c r="AN91" s="139" t="n">
        <v>0.9821159255931609</v>
      </c>
      <c r="AO91" s="139" t="n">
        <v>0.8960101119446274</v>
      </c>
      <c r="AP91" s="139" t="n">
        <v>0.7183762040793694</v>
      </c>
      <c r="AQ91" s="139" t="n">
        <v>0.6981380332739178</v>
      </c>
      <c r="AR91" s="139" t="n">
        <v>0.9053824929541239</v>
      </c>
    </row>
    <row r="92">
      <c r="C92" s="126" t="inlineStr">
        <is>
          <t>Materials</t>
        </is>
      </c>
      <c r="D92" s="126" t="inlineStr">
        <is>
          <t>ex_seams</t>
        </is>
      </c>
      <c r="E92" s="112" t="n">
        <v>39904</v>
      </c>
      <c r="F92" s="112" t="n">
        <v>46204</v>
      </c>
      <c r="G92" s="138" t="n">
        <v>191</v>
      </c>
      <c r="H92" s="139" t="n">
        <v>0.04058531408975008</v>
      </c>
      <c r="I92" s="139" t="n">
        <v>0.01465518744352712</v>
      </c>
      <c r="J92" s="138" t="n">
        <v>2</v>
      </c>
      <c r="K92" s="132" t="n">
        <v>7.107232270886631</v>
      </c>
      <c r="L92" s="139" t="n">
        <v>0.1750927881959292</v>
      </c>
      <c r="M92" s="132" t="n">
        <v>2.062007421565555</v>
      </c>
      <c r="N92" s="139" t="n">
        <v>0.03920702940300891</v>
      </c>
      <c r="O92" s="139" t="n">
        <v>0.02501863596818998</v>
      </c>
      <c r="P92" s="132" t="n">
        <v>0.3979667957708943</v>
      </c>
      <c r="Q92" s="139" t="n">
        <v>0.08348825390867981</v>
      </c>
      <c r="R92" s="132" t="n">
        <v>0.7965712986428269</v>
      </c>
      <c r="S92" s="139" t="n">
        <v>0.4257000518889966</v>
      </c>
      <c r="T92" s="139" t="n">
        <v>0.004000835980804252</v>
      </c>
      <c r="U92" s="132" t="n">
        <v>0.16349892074164</v>
      </c>
      <c r="V92" s="139" t="n">
        <v>0.03353524667813547</v>
      </c>
      <c r="W92" s="132" t="n">
        <v>0.3445738162082047</v>
      </c>
      <c r="X92" s="139" t="n">
        <v>0.7304147931952694</v>
      </c>
      <c r="Y92" s="139" t="n">
        <v>0.0006070587377192682</v>
      </c>
      <c r="Z92" s="132" t="n">
        <v>0.6060436915454201</v>
      </c>
      <c r="AA92" s="139" t="n">
        <v>0.01776307351777771</v>
      </c>
      <c r="AB92" s="132" t="n">
        <v>0.1954643113966517</v>
      </c>
      <c r="AC92" s="139" t="n">
        <v>0.8450294741612803</v>
      </c>
      <c r="AD92" s="139" t="n">
        <v>0.0002350403688684555</v>
      </c>
      <c r="AE92" s="132" t="n">
        <v>0.04357868553174282</v>
      </c>
      <c r="AF92" s="139" t="n">
        <v>0.001320160649557339</v>
      </c>
      <c r="AG92" s="132" t="n">
        <v>0.013678143355521</v>
      </c>
      <c r="AH92" s="139" t="n">
        <v>0.9890867608931471</v>
      </c>
      <c r="AI92" s="139" t="n">
        <v>1.170738226696777e-06</v>
      </c>
      <c r="AJ92" s="132" t="n">
        <v>6.206079047591063</v>
      </c>
      <c r="AK92" s="132" t="n">
        <v>0.9011532232955635</v>
      </c>
      <c r="AL92" s="139" t="n">
        <v>0.777144763866054</v>
      </c>
      <c r="AM92" s="139" t="n">
        <v>0.1078193308582745</v>
      </c>
      <c r="AN92" s="139" t="n">
        <v>0.8090555968373689</v>
      </c>
      <c r="AO92" s="139" t="n">
        <v>0.7304147931952693</v>
      </c>
      <c r="AP92" s="139" t="n">
        <v>0.9328281158347742</v>
      </c>
      <c r="AQ92" s="139" t="n">
        <v>0.989086760893147</v>
      </c>
      <c r="AR92" s="139" t="n">
        <v>0.777144763866054</v>
      </c>
    </row>
    <row r="93">
      <c r="C93" s="126" t="inlineStr">
        <is>
          <t>Materials</t>
        </is>
      </c>
      <c r="D93" s="126" t="inlineStr">
        <is>
          <t>audit_clean</t>
        </is>
      </c>
      <c r="E93" s="112" t="n">
        <v>39904</v>
      </c>
      <c r="F93" s="112" t="n">
        <v>46204</v>
      </c>
      <c r="G93" s="138" t="n">
        <v>149</v>
      </c>
      <c r="H93" s="139" t="n">
        <v>0.01961089789604187</v>
      </c>
      <c r="I93" s="139" t="n">
        <v>-0.0146684413383622</v>
      </c>
      <c r="J93" s="138" t="n">
        <v>2</v>
      </c>
      <c r="K93" s="132" t="n">
        <v>6.365813131293479</v>
      </c>
      <c r="L93" s="139" t="n">
        <v>0.1054412171582193</v>
      </c>
      <c r="M93" s="132" t="n">
        <v>0.8972820831308403</v>
      </c>
      <c r="N93" s="139" t="n">
        <v>0.3695684145632905</v>
      </c>
      <c r="O93" s="139" t="n">
        <v>0.009276867412068568</v>
      </c>
      <c r="P93" s="132" t="n">
        <v>-0.03295159429626926</v>
      </c>
      <c r="Q93" s="139" t="n">
        <v>-0.006209357729572913</v>
      </c>
      <c r="R93" s="132" t="n">
        <v>-0.05247827032487443</v>
      </c>
      <c r="S93" s="139" t="n">
        <v>0.9581476092413563</v>
      </c>
      <c r="T93" s="139" t="n">
        <v>2.230025151239712e-05</v>
      </c>
      <c r="U93" s="132" t="n">
        <v>-0.1498422157353758</v>
      </c>
      <c r="V93" s="139" t="n">
        <v>-0.02780749308347126</v>
      </c>
      <c r="W93" s="132" t="n">
        <v>-0.2532415244403148</v>
      </c>
      <c r="X93" s="139" t="n">
        <v>0.8000815801722931</v>
      </c>
      <c r="Y93" s="139" t="n">
        <v>0.000406618708116091</v>
      </c>
      <c r="Z93" s="132" t="n">
        <v>-0.2181297062090111</v>
      </c>
      <c r="AA93" s="139" t="n">
        <v>-0.005577136267470206</v>
      </c>
      <c r="AB93" s="132" t="n">
        <v>-0.05539822987330185</v>
      </c>
      <c r="AC93" s="139" t="n">
        <v>0.9558212060302962</v>
      </c>
      <c r="AD93" s="139" t="n">
        <v>2.480616672451141e-05</v>
      </c>
      <c r="AE93" s="132" t="n">
        <v>3.914153221185854</v>
      </c>
      <c r="AF93" s="139" t="n">
        <v>0.09349829742909915</v>
      </c>
      <c r="AG93" s="132" t="n">
        <v>0.8557304130517939</v>
      </c>
      <c r="AH93" s="139" t="n">
        <v>0.3921469137072846</v>
      </c>
      <c r="AI93" s="139" t="n">
        <v>0.006836274831280575</v>
      </c>
      <c r="AJ93" s="132" t="n">
        <v>4.372923561877174</v>
      </c>
      <c r="AK93" s="132" t="n">
        <v>1.992889569416313</v>
      </c>
      <c r="AL93" s="139" t="n">
        <v>0.7648892435215306</v>
      </c>
      <c r="AM93" s="139" t="n">
        <v>0.6775420933660325</v>
      </c>
      <c r="AN93" s="139" t="n">
        <v>0.9581476092413563</v>
      </c>
      <c r="AO93" s="139" t="n">
        <v>0.800081580172293</v>
      </c>
      <c r="AP93" s="139" t="n">
        <v>0.9558212060302961</v>
      </c>
      <c r="AQ93" s="139" t="n">
        <v>0.4792906723089034</v>
      </c>
      <c r="AR93" s="139" t="n">
        <v>0.7648892435215306</v>
      </c>
    </row>
    <row r="94">
      <c r="C94" s="126" t="inlineStr">
        <is>
          <t>Materials</t>
        </is>
      </c>
      <c r="D94" s="126" t="inlineStr">
        <is>
          <t>since_2020</t>
        </is>
      </c>
      <c r="E94" s="112" t="n">
        <v>43831</v>
      </c>
      <c r="F94" s="112" t="n">
        <v>46204</v>
      </c>
      <c r="G94" s="138" t="n">
        <v>79</v>
      </c>
      <c r="H94" s="139" t="n">
        <v>0.4426558830993383</v>
      </c>
      <c r="I94" s="139" t="n">
        <v>0.4044816285171012</v>
      </c>
      <c r="J94" s="138" t="n">
        <v>2</v>
      </c>
      <c r="K94" s="132" t="n">
        <v>5.324628624259324</v>
      </c>
      <c r="L94" s="139" t="n">
        <v>0.3409334537510346</v>
      </c>
      <c r="M94" s="132" t="n">
        <v>2.205747270697492</v>
      </c>
      <c r="N94" s="139" t="n">
        <v>0.02740170012823095</v>
      </c>
      <c r="O94" s="139" t="n">
        <v>0.08521328721233379</v>
      </c>
      <c r="P94" s="132" t="n">
        <v>1.009966976724432</v>
      </c>
      <c r="Q94" s="139" t="n">
        <v>0.5187691247548731</v>
      </c>
      <c r="R94" s="132" t="n">
        <v>3.366238646347593</v>
      </c>
      <c r="S94" s="139" t="n">
        <v>0.0007620075276100202</v>
      </c>
      <c r="T94" s="139" t="n">
        <v>0.1298079039358179</v>
      </c>
      <c r="U94" s="132" t="n">
        <v>0.9819636096339022</v>
      </c>
      <c r="V94" s="139" t="n">
        <v>0.4158481668745211</v>
      </c>
      <c r="W94" s="132" t="n">
        <v>2.905039176523361</v>
      </c>
      <c r="X94" s="139" t="n">
        <v>0.003672071349027251</v>
      </c>
      <c r="Y94" s="139" t="n">
        <v>0.08651200345087606</v>
      </c>
      <c r="Z94" s="132" t="n">
        <v>5.284267678006786</v>
      </c>
      <c r="AA94" s="139" t="n">
        <v>0.4244799314167444</v>
      </c>
      <c r="AB94" s="132" t="n">
        <v>4.379234012378992</v>
      </c>
      <c r="AC94" s="139" t="n">
        <v>1.190971883291425e-05</v>
      </c>
      <c r="AD94" s="139" t="n">
        <v>0.1299894840456252</v>
      </c>
      <c r="AE94" s="132" t="n">
        <v>-6.174480880426768</v>
      </c>
      <c r="AF94" s="139" t="n">
        <v>-0.4459620926373734</v>
      </c>
      <c r="AG94" s="132" t="n">
        <v>-2.214100881557592</v>
      </c>
      <c r="AH94" s="139" t="n">
        <v>0.02682184001441956</v>
      </c>
      <c r="AI94" s="139" t="n">
        <v>0.1200513116350452</v>
      </c>
      <c r="AJ94" s="132" t="n">
        <v>6.517266411873479</v>
      </c>
      <c r="AK94" s="132" t="n">
        <v>-1.19263778761416</v>
      </c>
      <c r="AL94" s="139" t="n">
        <v>0.5506308363531776</v>
      </c>
      <c r="AM94" s="139" t="n">
        <v>0.05023645023509008</v>
      </c>
      <c r="AN94" s="139" t="n">
        <v>0.008382082803710222</v>
      </c>
      <c r="AO94" s="139" t="n">
        <v>0.02019639241964988</v>
      </c>
      <c r="AP94" s="139" t="n">
        <v>0.0001310069071620568</v>
      </c>
      <c r="AQ94" s="139" t="n">
        <v>0.0737600600396538</v>
      </c>
      <c r="AR94" s="139" t="n">
        <v>0.6056939199884953</v>
      </c>
    </row>
    <row r="95">
      <c r="C95" s="126" t="inlineStr">
        <is>
          <t>Materials</t>
        </is>
      </c>
      <c r="D95" s="126" t="inlineStr">
        <is>
          <t>since_2022</t>
        </is>
      </c>
      <c r="E95" s="112" t="n">
        <v>44562</v>
      </c>
      <c r="F95" s="112" t="n">
        <v>46204</v>
      </c>
      <c r="G95" s="138" t="n">
        <v>55</v>
      </c>
      <c r="H95" s="139" t="n">
        <v>0.3630670623684963</v>
      </c>
      <c r="I95" s="139" t="n">
        <v>0.2980739054673224</v>
      </c>
      <c r="J95" s="138" t="n">
        <v>2</v>
      </c>
      <c r="K95" s="132" t="n">
        <v>-3.741789589629452</v>
      </c>
      <c r="L95" s="139" t="n">
        <v>-0.09606217770508566</v>
      </c>
      <c r="M95" s="132" t="n">
        <v>-0.3635596449312344</v>
      </c>
      <c r="N95" s="139" t="n">
        <v>0.7161868660950106</v>
      </c>
      <c r="O95" s="139" t="n">
        <v>0.008949250679548659</v>
      </c>
      <c r="P95" s="132" t="n">
        <v>0.5522328739345359</v>
      </c>
      <c r="Q95" s="139" t="n">
        <v>0.3753627846964664</v>
      </c>
      <c r="R95" s="132" t="n">
        <v>1.638682399796121</v>
      </c>
      <c r="S95" s="139" t="n">
        <v>0.1012794213963097</v>
      </c>
      <c r="T95" s="139" t="n">
        <v>0.07503558085717843</v>
      </c>
      <c r="U95" s="132" t="n">
        <v>0.1911118531511251</v>
      </c>
      <c r="V95" s="139" t="n">
        <v>0.09073072378451218</v>
      </c>
      <c r="W95" s="132" t="n">
        <v>0.4434401416828016</v>
      </c>
      <c r="X95" s="139" t="n">
        <v>0.6574474063848679</v>
      </c>
      <c r="Y95" s="139" t="n">
        <v>0.003955693304781183</v>
      </c>
      <c r="Z95" s="132" t="n">
        <v>4.33366062021446</v>
      </c>
      <c r="AA95" s="139" t="n">
        <v>0.4533149877520041</v>
      </c>
      <c r="AB95" s="132" t="n">
        <v>4.126298806465544</v>
      </c>
      <c r="AC95" s="139" t="n">
        <v>3.686482227793775e-05</v>
      </c>
      <c r="AD95" s="139" t="n">
        <v>0.1843795295270437</v>
      </c>
      <c r="AE95" s="132" t="n">
        <v>-0.5825844194762652</v>
      </c>
      <c r="AF95" s="139" t="n">
        <v>-0.0473107207276748</v>
      </c>
      <c r="AG95" s="132" t="n">
        <v>-0.2213167617797512</v>
      </c>
      <c r="AH95" s="139" t="n">
        <v>0.8248457995503515</v>
      </c>
      <c r="AI95" s="139" t="n">
        <v>0.001360322062220587</v>
      </c>
      <c r="AJ95" s="132" t="n">
        <v>0.2982402843671333</v>
      </c>
      <c r="AK95" s="132" t="n">
        <v>-4.040029873996581</v>
      </c>
      <c r="AL95" s="139" t="n">
        <v>0.684970499772348</v>
      </c>
      <c r="AM95" s="139" t="n">
        <v>0.9072887452862399</v>
      </c>
      <c r="AN95" s="139" t="n">
        <v>0.2228147270718814</v>
      </c>
      <c r="AO95" s="139" t="n">
        <v>0.7231921470233547</v>
      </c>
      <c r="AP95" s="139" t="n">
        <v>0.0004055130450573152</v>
      </c>
      <c r="AQ95" s="139" t="n">
        <v>0.8248457995503515</v>
      </c>
      <c r="AR95" s="139" t="n">
        <v>0.9772311542052887</v>
      </c>
    </row>
    <row r="96">
      <c r="C96" s="126" t="inlineStr">
        <is>
          <t>Materials</t>
        </is>
      </c>
      <c r="D96" s="126" t="inlineStr">
        <is>
          <t>since_2022_ex_seams</t>
        </is>
      </c>
      <c r="E96" s="112" t="n">
        <v>44562</v>
      </c>
      <c r="F96" s="112" t="n">
        <v>46204</v>
      </c>
      <c r="G96" s="138" t="n">
        <v>52</v>
      </c>
      <c r="H96" s="139" t="n">
        <v>0.3905650711572793</v>
      </c>
      <c r="I96" s="139" t="n">
        <v>0.3243221441091575</v>
      </c>
      <c r="J96" s="138" t="n">
        <v>2</v>
      </c>
      <c r="K96" s="132" t="n">
        <v>-4.00340369371525</v>
      </c>
      <c r="L96" s="139" t="n">
        <v>-0.1021411237210714</v>
      </c>
      <c r="M96" s="132" t="n">
        <v>-0.3891277221894835</v>
      </c>
      <c r="N96" s="139" t="n">
        <v>0.6971816670807591</v>
      </c>
      <c r="O96" s="139" t="n">
        <v>0.01016178526445188</v>
      </c>
      <c r="P96" s="132" t="n">
        <v>0.6627358968819586</v>
      </c>
      <c r="Q96" s="139" t="n">
        <v>0.4391890038333995</v>
      </c>
      <c r="R96" s="132" t="n">
        <v>1.842272646316982</v>
      </c>
      <c r="S96" s="139" t="n">
        <v>0.06543527880709998</v>
      </c>
      <c r="T96" s="139" t="n">
        <v>0.09794438903685798</v>
      </c>
      <c r="U96" s="132" t="n">
        <v>0.3259524269305848</v>
      </c>
      <c r="V96" s="139" t="n">
        <v>0.1546161305430312</v>
      </c>
      <c r="W96" s="132" t="n">
        <v>0.7298998143123144</v>
      </c>
      <c r="X96" s="139" t="n">
        <v>0.4654514258256193</v>
      </c>
      <c r="Y96" s="139" t="n">
        <v>0.01084257825987689</v>
      </c>
      <c r="Z96" s="132" t="n">
        <v>4.394234868040306</v>
      </c>
      <c r="AA96" s="139" t="n">
        <v>0.4573854739918803</v>
      </c>
      <c r="AB96" s="132" t="n">
        <v>4.297539421347524</v>
      </c>
      <c r="AC96" s="139" t="n">
        <v>1.727045529165139e-05</v>
      </c>
      <c r="AD96" s="139" t="n">
        <v>0.1876162750117975</v>
      </c>
      <c r="AE96" s="132" t="n">
        <v>-0.8493810019102472</v>
      </c>
      <c r="AF96" s="139" t="n">
        <v>-0.06841469189915451</v>
      </c>
      <c r="AG96" s="132" t="n">
        <v>-0.3253811050178175</v>
      </c>
      <c r="AH96" s="139" t="n">
        <v>0.7448926541687713</v>
      </c>
      <c r="AI96" s="139" t="n">
        <v>0.002854705532400414</v>
      </c>
      <c r="AJ96" s="132" t="n">
        <v>-0.2537486584143023</v>
      </c>
      <c r="AK96" s="132" t="n">
        <v>-3.749655035300949</v>
      </c>
      <c r="AL96" s="139" t="n">
        <v>0.705025470970077</v>
      </c>
      <c r="AM96" s="139" t="n">
        <v>0.9361322152825664</v>
      </c>
      <c r="AN96" s="139" t="n">
        <v>0.2399293556260333</v>
      </c>
      <c r="AO96" s="139" t="n">
        <v>0.5688850760090902</v>
      </c>
      <c r="AP96" s="139" t="n">
        <v>0.0001899750082081653</v>
      </c>
      <c r="AQ96" s="139" t="n">
        <v>0.8827674863636481</v>
      </c>
      <c r="AR96" s="139" t="n">
        <v>0.9127750527660768</v>
      </c>
    </row>
    <row r="97">
      <c r="C97" s="126" t="inlineStr">
        <is>
          <t>Real Estate</t>
        </is>
      </c>
      <c r="D97" s="126" t="inlineStr">
        <is>
          <t>full</t>
        </is>
      </c>
      <c r="E97" s="112" t="n">
        <v>40878</v>
      </c>
      <c r="F97" s="112" t="n">
        <v>46204</v>
      </c>
      <c r="G97" s="138" t="n">
        <v>176</v>
      </c>
      <c r="H97" s="139" t="n">
        <v>0.2693597592022495</v>
      </c>
      <c r="I97" s="139" t="n">
        <v>0.2478703403552569</v>
      </c>
      <c r="J97" s="138" t="n">
        <v>4</v>
      </c>
      <c r="K97" s="132" t="n">
        <v>4.405236235237736</v>
      </c>
      <c r="L97" s="139" t="n">
        <v>0.3742807160262763</v>
      </c>
      <c r="M97" s="132" t="n">
        <v>1.853964355644699</v>
      </c>
      <c r="N97" s="139" t="n">
        <v>0.06374425965685848</v>
      </c>
      <c r="O97" s="139" t="n">
        <v>0.1037344699663028</v>
      </c>
      <c r="P97" s="132" t="n">
        <v>-0.168267699478177</v>
      </c>
      <c r="Q97" s="139" t="n">
        <v>-0.1260999200583097</v>
      </c>
      <c r="R97" s="132" t="n">
        <v>-1.011879145103004</v>
      </c>
      <c r="S97" s="139" t="n">
        <v>0.3115958418454863</v>
      </c>
      <c r="T97" s="139" t="n">
        <v>0.00896932494570557</v>
      </c>
      <c r="U97" s="132" t="n">
        <v>-0.459192058478755</v>
      </c>
      <c r="V97" s="139" t="n">
        <v>-0.3293144776751823</v>
      </c>
      <c r="W97" s="132" t="n">
        <v>-2.474067882354087</v>
      </c>
      <c r="X97" s="139" t="n">
        <v>0.01335843120628155</v>
      </c>
      <c r="Y97" s="139" t="n">
        <v>0.0579583415488244</v>
      </c>
      <c r="Z97" s="132" t="n">
        <v>-0.4269955404735345</v>
      </c>
      <c r="AA97" s="139" t="n">
        <v>-0.04804141073127495</v>
      </c>
      <c r="AB97" s="132" t="n">
        <v>-0.5456793846598719</v>
      </c>
      <c r="AC97" s="139" t="n">
        <v>0.5852863451808057</v>
      </c>
      <c r="AD97" s="139" t="n">
        <v>0.001611992468775081</v>
      </c>
      <c r="AE97" s="132" t="n">
        <v>1.365881650415943</v>
      </c>
      <c r="AF97" s="139" t="n">
        <v>0.1491823788457479</v>
      </c>
      <c r="AG97" s="132" t="n">
        <v>0.95146148927528</v>
      </c>
      <c r="AH97" s="139" t="n">
        <v>0.3413701589946989</v>
      </c>
      <c r="AI97" s="139" t="n">
        <v>0.01321402154112461</v>
      </c>
      <c r="AJ97" s="132" t="n">
        <v>6.492977113348984</v>
      </c>
      <c r="AK97" s="132" t="n">
        <v>-2.087740878111247</v>
      </c>
      <c r="AL97" s="139" t="n">
        <v>0.4532071147229453</v>
      </c>
      <c r="AM97" s="139" t="n">
        <v>0.1402373712450887</v>
      </c>
      <c r="AN97" s="139" t="n">
        <v>0.9866714792407835</v>
      </c>
      <c r="AO97" s="139" t="n">
        <v>0.1118600491992655</v>
      </c>
      <c r="AP97" s="139" t="n">
        <v>0.8491138133525844</v>
      </c>
      <c r="AQ97" s="139" t="n">
        <v>0.469383968617711</v>
      </c>
      <c r="AR97" s="139" t="n">
        <v>0.4985278261952398</v>
      </c>
    </row>
    <row r="98">
      <c r="C98" s="126" t="inlineStr">
        <is>
          <t>Real Estate</t>
        </is>
      </c>
      <c r="D98" s="126" t="inlineStr">
        <is>
          <t>ex_2013_14</t>
        </is>
      </c>
      <c r="E98" s="112" t="n">
        <v>40878</v>
      </c>
      <c r="F98" s="112" t="n">
        <v>46204</v>
      </c>
      <c r="G98" s="138" t="n">
        <v>152</v>
      </c>
      <c r="H98" s="139" t="n">
        <v>0.2763767525922227</v>
      </c>
      <c r="I98" s="139" t="n">
        <v>0.2515951345303126</v>
      </c>
      <c r="J98" s="138" t="n">
        <v>4</v>
      </c>
      <c r="K98" s="132" t="n">
        <v>4.353681161161876</v>
      </c>
      <c r="L98" s="139" t="n">
        <v>0.383942646429172</v>
      </c>
      <c r="M98" s="132" t="n">
        <v>1.791618539333897</v>
      </c>
      <c r="N98" s="139" t="n">
        <v>0.07319409132982591</v>
      </c>
      <c r="O98" s="139" t="n">
        <v>0.1068533639797588</v>
      </c>
      <c r="P98" s="132" t="n">
        <v>-0.2355731768856223</v>
      </c>
      <c r="Q98" s="139" t="n">
        <v>-0.1761817659482056</v>
      </c>
      <c r="R98" s="132" t="n">
        <v>-1.297002076557286</v>
      </c>
      <c r="S98" s="139" t="n">
        <v>0.1946304723079395</v>
      </c>
      <c r="T98" s="139" t="n">
        <v>0.01668778608195887</v>
      </c>
      <c r="U98" s="132" t="n">
        <v>-0.4802213433654834</v>
      </c>
      <c r="V98" s="139" t="n">
        <v>-0.3426772643280146</v>
      </c>
      <c r="W98" s="132" t="n">
        <v>-2.415611636950065</v>
      </c>
      <c r="X98" s="139" t="n">
        <v>0.01570880619105774</v>
      </c>
      <c r="Y98" s="139" t="n">
        <v>0.06168893025263511</v>
      </c>
      <c r="Z98" s="132" t="n">
        <v>-0.7864226247654174</v>
      </c>
      <c r="AA98" s="139" t="n">
        <v>-0.0921026964595946</v>
      </c>
      <c r="AB98" s="132" t="n">
        <v>-0.9952393895552417</v>
      </c>
      <c r="AC98" s="139" t="n">
        <v>0.3196198484412986</v>
      </c>
      <c r="AD98" s="139" t="n">
        <v>0.005639853209954859</v>
      </c>
      <c r="AE98" s="132" t="n">
        <v>2.162643226599779</v>
      </c>
      <c r="AF98" s="139" t="n">
        <v>0.2376868064430385</v>
      </c>
      <c r="AG98" s="132" t="n">
        <v>1.462346534601193</v>
      </c>
      <c r="AH98" s="139" t="n">
        <v>0.1436462726368739</v>
      </c>
      <c r="AI98" s="139" t="n">
        <v>0.03135903047699573</v>
      </c>
      <c r="AJ98" s="132" t="n">
        <v>6.756316075983591</v>
      </c>
      <c r="AK98" s="132" t="n">
        <v>-2.402634914821714</v>
      </c>
      <c r="AL98" s="139" t="n">
        <v>0.3987384703222951</v>
      </c>
      <c r="AM98" s="139" t="n">
        <v>0.161027000925617</v>
      </c>
      <c r="AN98" s="139" t="n">
        <v>0.7136450651291115</v>
      </c>
      <c r="AO98" s="139" t="n">
        <v>0.1727968681016352</v>
      </c>
      <c r="AP98" s="139" t="n">
        <v>0.5859697221423809</v>
      </c>
      <c r="AQ98" s="139" t="n">
        <v>0.3888261902065162</v>
      </c>
      <c r="AR98" s="139" t="n">
        <v>0.4386123173545247</v>
      </c>
    </row>
    <row r="99">
      <c r="C99" s="126" t="inlineStr">
        <is>
          <t>Real Estate</t>
        </is>
      </c>
      <c r="D99" s="126" t="inlineStr">
        <is>
          <t>ex_2020_21</t>
        </is>
      </c>
      <c r="E99" s="112" t="n">
        <v>40878</v>
      </c>
      <c r="F99" s="112" t="n">
        <v>46204</v>
      </c>
      <c r="G99" s="138" t="n">
        <v>152</v>
      </c>
      <c r="H99" s="139" t="n">
        <v>0.1450723527065739</v>
      </c>
      <c r="I99" s="139" t="n">
        <v>0.1157940086211826</v>
      </c>
      <c r="J99" s="138" t="n">
        <v>4</v>
      </c>
      <c r="K99" s="132" t="n">
        <v>0.07990945111703254</v>
      </c>
      <c r="L99" s="139" t="n">
        <v>0.005402082685996734</v>
      </c>
      <c r="M99" s="132" t="n">
        <v>0.03662949937198345</v>
      </c>
      <c r="N99" s="139" t="n">
        <v>0.9707804222102974</v>
      </c>
      <c r="O99" s="139" t="n">
        <v>2.164990478825679e-05</v>
      </c>
      <c r="P99" s="132" t="n">
        <v>-0.05595240381113298</v>
      </c>
      <c r="Q99" s="139" t="n">
        <v>-0.05025232120662021</v>
      </c>
      <c r="R99" s="132" t="n">
        <v>-0.3764526645818889</v>
      </c>
      <c r="S99" s="139" t="n">
        <v>0.7065803997950486</v>
      </c>
      <c r="T99" s="139" t="n">
        <v>0.001648259586921719</v>
      </c>
      <c r="U99" s="132" t="n">
        <v>-0.2066089296813215</v>
      </c>
      <c r="V99" s="139" t="n">
        <v>-0.1823895573270278</v>
      </c>
      <c r="W99" s="132" t="n">
        <v>-1.469225408206283</v>
      </c>
      <c r="X99" s="139" t="n">
        <v>0.1417716608833794</v>
      </c>
      <c r="Y99" s="139" t="n">
        <v>0.01819451803053651</v>
      </c>
      <c r="Z99" s="132" t="n">
        <v>-0.8344174298293363</v>
      </c>
      <c r="AA99" s="139" t="n">
        <v>-0.111486580714704</v>
      </c>
      <c r="AB99" s="132" t="n">
        <v>-1.014390810194868</v>
      </c>
      <c r="AC99" s="139" t="n">
        <v>0.3103963076281149</v>
      </c>
      <c r="AD99" s="139" t="n">
        <v>0.009641930386231845</v>
      </c>
      <c r="AE99" s="132" t="n">
        <v>-1.740169243544704</v>
      </c>
      <c r="AF99" s="139" t="n">
        <v>-0.2129692019418738</v>
      </c>
      <c r="AG99" s="132" t="n">
        <v>-2.188932871891886</v>
      </c>
      <c r="AH99" s="139" t="n">
        <v>0.02860171942933443</v>
      </c>
      <c r="AI99" s="139" t="n">
        <v>0.02955307850787448</v>
      </c>
      <c r="AJ99" s="132" t="n">
        <v>4.326328511404108</v>
      </c>
      <c r="AK99" s="132" t="n">
        <v>-4.246419060287077</v>
      </c>
      <c r="AL99" s="139" t="n">
        <v>0.1564433701877026</v>
      </c>
      <c r="AM99" s="139" t="n">
        <v>0.9707804222102975</v>
      </c>
      <c r="AN99" s="139" t="n">
        <v>0.8635982664161705</v>
      </c>
      <c r="AO99" s="139" t="n">
        <v>0.3898720674292935</v>
      </c>
      <c r="AP99" s="139" t="n">
        <v>0.6530692764357904</v>
      </c>
      <c r="AQ99" s="139" t="n">
        <v>0.1573094568613393</v>
      </c>
      <c r="AR99" s="139" t="n">
        <v>0.2458395817235327</v>
      </c>
    </row>
    <row r="100">
      <c r="C100" s="126" t="inlineStr">
        <is>
          <t>Real Estate</t>
        </is>
      </c>
      <c r="D100" s="126" t="inlineStr">
        <is>
          <t>clean</t>
        </is>
      </c>
      <c r="E100" s="112" t="n">
        <v>40878</v>
      </c>
      <c r="F100" s="112" t="n">
        <v>46204</v>
      </c>
      <c r="G100" s="138" t="n">
        <v>128</v>
      </c>
      <c r="H100" s="139" t="n">
        <v>0.1093026223918626</v>
      </c>
      <c r="I100" s="139" t="n">
        <v>0.07279863150628318</v>
      </c>
      <c r="J100" s="138" t="n">
        <v>4</v>
      </c>
      <c r="K100" s="132" t="n">
        <v>-0.7883634495654727</v>
      </c>
      <c r="L100" s="139" t="n">
        <v>-0.05707019106955125</v>
      </c>
      <c r="M100" s="132" t="n">
        <v>-0.3785881754476095</v>
      </c>
      <c r="N100" s="139" t="n">
        <v>0.704993704297584</v>
      </c>
      <c r="O100" s="139" t="n">
        <v>0.002467647420898667</v>
      </c>
      <c r="P100" s="132" t="n">
        <v>-0.08079214746109101</v>
      </c>
      <c r="Q100" s="139" t="n">
        <v>-0.07619021280855892</v>
      </c>
      <c r="R100" s="132" t="n">
        <v>-0.5112726380788163</v>
      </c>
      <c r="S100" s="139" t="n">
        <v>0.6091601617472799</v>
      </c>
      <c r="T100" s="139" t="n">
        <v>0.00370970171858509</v>
      </c>
      <c r="U100" s="132" t="n">
        <v>-0.2105788649303061</v>
      </c>
      <c r="V100" s="139" t="n">
        <v>-0.1939007739387055</v>
      </c>
      <c r="W100" s="132" t="n">
        <v>-1.479030324398277</v>
      </c>
      <c r="X100" s="139" t="n">
        <v>0.1391322103208945</v>
      </c>
      <c r="Y100" s="139" t="n">
        <v>0.02030470939873108</v>
      </c>
      <c r="Z100" s="132" t="n">
        <v>-1.148284588329834</v>
      </c>
      <c r="AA100" s="139" t="n">
        <v>-0.1688070716451701</v>
      </c>
      <c r="AB100" s="132" t="n">
        <v>-1.308383399251075</v>
      </c>
      <c r="AC100" s="139" t="n">
        <v>0.1907433004042209</v>
      </c>
      <c r="AD100" s="139" t="n">
        <v>0.02157842384854058</v>
      </c>
      <c r="AE100" s="132" t="n">
        <v>-0.9720080163538053</v>
      </c>
      <c r="AF100" s="139" t="n">
        <v>-0.1216791221611637</v>
      </c>
      <c r="AG100" s="132" t="n">
        <v>-1.395267519331786</v>
      </c>
      <c r="AH100" s="139" t="n">
        <v>0.1629351829030339</v>
      </c>
      <c r="AI100" s="139" t="n">
        <v>0.009607898629387823</v>
      </c>
      <c r="AJ100" s="132" t="n">
        <v>4.86306037311907</v>
      </c>
      <c r="AK100" s="132" t="n">
        <v>-5.651423822684542</v>
      </c>
      <c r="AL100" s="139" t="n">
        <v>0.04683211689145095</v>
      </c>
      <c r="AM100" s="139" t="n">
        <v>0.7754930747273424</v>
      </c>
      <c r="AN100" s="139" t="n">
        <v>0.7181676281313339</v>
      </c>
      <c r="AO100" s="139" t="n">
        <v>0.2737209695649228</v>
      </c>
      <c r="AP100" s="139" t="n">
        <v>0.4368900697653436</v>
      </c>
      <c r="AQ100" s="139" t="n">
        <v>0.3553610092681516</v>
      </c>
      <c r="AR100" s="139" t="n">
        <v>0.1287883214514901</v>
      </c>
    </row>
    <row r="101">
      <c r="C101" s="126" t="inlineStr">
        <is>
          <t>Real Estate</t>
        </is>
      </c>
      <c r="D101" s="126" t="inlineStr">
        <is>
          <t>ex_seams</t>
        </is>
      </c>
      <c r="E101" s="112" t="n">
        <v>40878</v>
      </c>
      <c r="F101" s="112" t="n">
        <v>46204</v>
      </c>
      <c r="G101" s="138" t="n">
        <v>164</v>
      </c>
      <c r="H101" s="139" t="n">
        <v>0.2394326859698194</v>
      </c>
      <c r="I101" s="139" t="n">
        <v>0.2153641000827883</v>
      </c>
      <c r="J101" s="138" t="n">
        <v>4</v>
      </c>
      <c r="K101" s="132" t="n">
        <v>4.14338690608311</v>
      </c>
      <c r="L101" s="139" t="n">
        <v>0.3581756786209167</v>
      </c>
      <c r="M101" s="132" t="n">
        <v>1.731209872011633</v>
      </c>
      <c r="N101" s="139" t="n">
        <v>0.08341433926243669</v>
      </c>
      <c r="O101" s="139" t="n">
        <v>0.09728903183874327</v>
      </c>
      <c r="P101" s="132" t="n">
        <v>-0.1246992309337438</v>
      </c>
      <c r="Q101" s="139" t="n">
        <v>-0.0922675438409431</v>
      </c>
      <c r="R101" s="132" t="n">
        <v>-0.7579417223795164</v>
      </c>
      <c r="S101" s="139" t="n">
        <v>0.4484858715687849</v>
      </c>
      <c r="T101" s="139" t="n">
        <v>0.005053607468084698</v>
      </c>
      <c r="U101" s="132" t="n">
        <v>-0.4178805388264379</v>
      </c>
      <c r="V101" s="139" t="n">
        <v>-0.2971757892917328</v>
      </c>
      <c r="W101" s="132" t="n">
        <v>-2.267566743554909</v>
      </c>
      <c r="X101" s="139" t="n">
        <v>0.02335562658334034</v>
      </c>
      <c r="Y101" s="139" t="n">
        <v>0.04905705099088886</v>
      </c>
      <c r="Z101" s="132" t="n">
        <v>-0.3174101400122546</v>
      </c>
      <c r="AA101" s="139" t="n">
        <v>-0.03528886778608489</v>
      </c>
      <c r="AB101" s="132" t="n">
        <v>-0.3635255800894135</v>
      </c>
      <c r="AC101" s="139" t="n">
        <v>0.7162123078787745</v>
      </c>
      <c r="AD101" s="139" t="n">
        <v>0.0008690131764773623</v>
      </c>
      <c r="AE101" s="132" t="n">
        <v>1.387866013984094</v>
      </c>
      <c r="AF101" s="139" t="n">
        <v>0.1521195540657621</v>
      </c>
      <c r="AG101" s="132" t="n">
        <v>0.9356507836289192</v>
      </c>
      <c r="AH101" s="139" t="n">
        <v>0.3494530183981541</v>
      </c>
      <c r="AI101" s="139" t="n">
        <v>0.0138250360484159</v>
      </c>
      <c r="AJ101" s="132" t="n">
        <v>6.803507385488639</v>
      </c>
      <c r="AK101" s="132" t="n">
        <v>-2.660120479405526</v>
      </c>
      <c r="AL101" s="139" t="n">
        <v>0.3467847528159838</v>
      </c>
      <c r="AM101" s="139" t="n">
        <v>0.1711644159818525</v>
      </c>
      <c r="AN101" s="139" t="n">
        <v>0.8090555968373689</v>
      </c>
      <c r="AO101" s="139" t="n">
        <v>0.1284559462083719</v>
      </c>
      <c r="AP101" s="139" t="n">
        <v>0.9328281158347742</v>
      </c>
      <c r="AQ101" s="139" t="n">
        <v>0.5491404574828136</v>
      </c>
      <c r="AR101" s="139" t="n">
        <v>0.3814632280975822</v>
      </c>
    </row>
    <row r="102">
      <c r="C102" s="126" t="inlineStr">
        <is>
          <t>Real Estate</t>
        </is>
      </c>
      <c r="D102" s="126" t="inlineStr">
        <is>
          <t>audit_clean</t>
        </is>
      </c>
      <c r="E102" s="112" t="n">
        <v>40878</v>
      </c>
      <c r="F102" s="112" t="n">
        <v>46204</v>
      </c>
      <c r="G102" s="138" t="n">
        <v>122</v>
      </c>
      <c r="H102" s="139" t="n">
        <v>0.08754503184010332</v>
      </c>
      <c r="I102" s="139" t="n">
        <v>0.04821507631596977</v>
      </c>
      <c r="J102" s="138" t="n">
        <v>4</v>
      </c>
      <c r="K102" s="132" t="n">
        <v>-0.8111969643381373</v>
      </c>
      <c r="L102" s="139" t="n">
        <v>-0.06010981772237711</v>
      </c>
      <c r="M102" s="132" t="n">
        <v>-0.4078046752845844</v>
      </c>
      <c r="N102" s="139" t="n">
        <v>0.6834170809164417</v>
      </c>
      <c r="O102" s="139" t="n">
        <v>0.002728091683416367</v>
      </c>
      <c r="P102" s="132" t="n">
        <v>-0.03346770128346116</v>
      </c>
      <c r="Q102" s="139" t="n">
        <v>-0.03209251661432697</v>
      </c>
      <c r="R102" s="132" t="n">
        <v>-0.2256515265255657</v>
      </c>
      <c r="S102" s="139" t="n">
        <v>0.8214724618748461</v>
      </c>
      <c r="T102" s="139" t="n">
        <v>0.000638769749288115</v>
      </c>
      <c r="U102" s="132" t="n">
        <v>-0.1685058557803356</v>
      </c>
      <c r="V102" s="139" t="n">
        <v>-0.1571550523339834</v>
      </c>
      <c r="W102" s="132" t="n">
        <v>-1.2607197252772</v>
      </c>
      <c r="X102" s="139" t="n">
        <v>0.207409844584185</v>
      </c>
      <c r="Y102" s="139" t="n">
        <v>0.01316206314982571</v>
      </c>
      <c r="Z102" s="132" t="n">
        <v>-1.070226892308885</v>
      </c>
      <c r="AA102" s="139" t="n">
        <v>-0.1540151911160396</v>
      </c>
      <c r="AB102" s="132" t="n">
        <v>-1.249495457068706</v>
      </c>
      <c r="AC102" s="139" t="n">
        <v>0.2114839140677423</v>
      </c>
      <c r="AD102" s="139" t="n">
        <v>0.01869286733132514</v>
      </c>
      <c r="AE102" s="132" t="n">
        <v>-1.028392050216828</v>
      </c>
      <c r="AF102" s="139" t="n">
        <v>-0.1271675305597419</v>
      </c>
      <c r="AG102" s="132" t="n">
        <v>-1.457406451396698</v>
      </c>
      <c r="AH102" s="139" t="n">
        <v>0.145004217306544</v>
      </c>
      <c r="AI102" s="139" t="n">
        <v>0.01093956110481642</v>
      </c>
      <c r="AJ102" s="132" t="n">
        <v>5.244664568598911</v>
      </c>
      <c r="AK102" s="132" t="n">
        <v>-6.055861532937044</v>
      </c>
      <c r="AL102" s="139" t="n">
        <v>0.04360839350625678</v>
      </c>
      <c r="AM102" s="139" t="n">
        <v>0.6992771055179756</v>
      </c>
      <c r="AN102" s="139" t="n">
        <v>0.9581476092413563</v>
      </c>
      <c r="AO102" s="139" t="n">
        <v>0.3802513817376725</v>
      </c>
      <c r="AP102" s="139" t="n">
        <v>0.4817579856958805</v>
      </c>
      <c r="AQ102" s="139" t="n">
        <v>0.398761597592996</v>
      </c>
      <c r="AR102" s="139" t="n">
        <v>0.1199230821422061</v>
      </c>
    </row>
    <row r="103">
      <c r="C103" s="126" t="inlineStr">
        <is>
          <t>Real Estate</t>
        </is>
      </c>
      <c r="D103" s="126" t="inlineStr">
        <is>
          <t>since_2020</t>
        </is>
      </c>
      <c r="E103" s="112" t="n">
        <v>43831</v>
      </c>
      <c r="F103" s="112" t="n">
        <v>46204</v>
      </c>
      <c r="G103" s="138" t="n">
        <v>79</v>
      </c>
      <c r="H103" s="139" t="n">
        <v>0.5154302170795315</v>
      </c>
      <c r="I103" s="139" t="n">
        <v>0.4822405059205953</v>
      </c>
      <c r="J103" s="138" t="n">
        <v>4</v>
      </c>
      <c r="K103" s="132" t="n">
        <v>6.041064732797061</v>
      </c>
      <c r="L103" s="139" t="n">
        <v>0.5006139233069784</v>
      </c>
      <c r="M103" s="132" t="n">
        <v>3.471827161175657</v>
      </c>
      <c r="N103" s="139" t="n">
        <v>0.0005169290335769183</v>
      </c>
      <c r="O103" s="139" t="n">
        <v>0.1837274009812491</v>
      </c>
      <c r="P103" s="132" t="n">
        <v>-0.5856645492767223</v>
      </c>
      <c r="Q103" s="139" t="n">
        <v>-0.3893364124977561</v>
      </c>
      <c r="R103" s="132" t="n">
        <v>-2.919428375244165</v>
      </c>
      <c r="S103" s="139" t="n">
        <v>0.003506739688834193</v>
      </c>
      <c r="T103" s="139" t="n">
        <v>0.07311440359007226</v>
      </c>
      <c r="U103" s="132" t="n">
        <v>-0.9861581756280433</v>
      </c>
      <c r="V103" s="139" t="n">
        <v>-0.5404992760259499</v>
      </c>
      <c r="W103" s="132" t="n">
        <v>-4.152877537953413</v>
      </c>
      <c r="X103" s="139" t="n">
        <v>3.283204602455569e-05</v>
      </c>
      <c r="Y103" s="139" t="n">
        <v>0.1461493943403761</v>
      </c>
      <c r="Z103" s="132" t="n">
        <v>-1.670634918177215</v>
      </c>
      <c r="AA103" s="139" t="n">
        <v>-0.1736852936424874</v>
      </c>
      <c r="AB103" s="132" t="n">
        <v>-1.61651310387778</v>
      </c>
      <c r="AC103" s="139" t="n">
        <v>0.1059834225700103</v>
      </c>
      <c r="AD103" s="139" t="n">
        <v>0.02176306150755791</v>
      </c>
      <c r="AE103" s="132" t="n">
        <v>4.412821927238943</v>
      </c>
      <c r="AF103" s="139" t="n">
        <v>0.4124991294570869</v>
      </c>
      <c r="AG103" s="132" t="n">
        <v>2.51270534294845</v>
      </c>
      <c r="AH103" s="139" t="n">
        <v>0.01198093570687808</v>
      </c>
      <c r="AI103" s="139" t="n">
        <v>0.1027110319590432</v>
      </c>
      <c r="AJ103" s="132" t="n">
        <v>6.517266411873479</v>
      </c>
      <c r="AK103" s="132" t="n">
        <v>-0.4762016790764142</v>
      </c>
      <c r="AL103" s="139" t="n">
        <v>0.8500078462872727</v>
      </c>
      <c r="AM103" s="139" t="n">
        <v>0.001421554842336525</v>
      </c>
      <c r="AN103" s="139" t="n">
        <v>0.01928706828858806</v>
      </c>
      <c r="AO103" s="139" t="n">
        <v>0.0003611525062701126</v>
      </c>
      <c r="AP103" s="139" t="n">
        <v>0.2434733509264441</v>
      </c>
      <c r="AQ103" s="139" t="n">
        <v>0.0439300975918863</v>
      </c>
      <c r="AR103" s="139" t="n">
        <v>0.8500078462872728</v>
      </c>
    </row>
    <row r="104">
      <c r="C104" s="126" t="inlineStr">
        <is>
          <t>Real Estate</t>
        </is>
      </c>
      <c r="D104" s="126" t="inlineStr">
        <is>
          <t>since_2022</t>
        </is>
      </c>
      <c r="E104" s="112" t="n">
        <v>44562</v>
      </c>
      <c r="F104" s="112" t="n">
        <v>46204</v>
      </c>
      <c r="G104" s="138" t="n">
        <v>55</v>
      </c>
      <c r="H104" s="139" t="n">
        <v>0.260623290425495</v>
      </c>
      <c r="I104" s="139" t="n">
        <v>0.1851766874076883</v>
      </c>
      <c r="J104" s="138" t="n">
        <v>4</v>
      </c>
      <c r="K104" s="132" t="n">
        <v>10.94689570448022</v>
      </c>
      <c r="L104" s="139" t="n">
        <v>0.3638969400919176</v>
      </c>
      <c r="M104" s="132" t="n">
        <v>1.371003068227218</v>
      </c>
      <c r="N104" s="139" t="n">
        <v>0.1703739995741584</v>
      </c>
      <c r="O104" s="139" t="n">
        <v>0.1284217623000404</v>
      </c>
      <c r="P104" s="132" t="n">
        <v>-0.339830991945691</v>
      </c>
      <c r="Q104" s="139" t="n">
        <v>-0.2990930332879679</v>
      </c>
      <c r="R104" s="132" t="n">
        <v>-1.739984586750751</v>
      </c>
      <c r="S104" s="139" t="n">
        <v>0.08186172443934581</v>
      </c>
      <c r="T104" s="139" t="n">
        <v>0.04764062150901094</v>
      </c>
      <c r="U104" s="132" t="n">
        <v>-0.5625370489337027</v>
      </c>
      <c r="V104" s="139" t="n">
        <v>-0.3458057737009795</v>
      </c>
      <c r="W104" s="132" t="n">
        <v>-1.857155376397508</v>
      </c>
      <c r="X104" s="139" t="n">
        <v>0.06328905158941467</v>
      </c>
      <c r="Y104" s="139" t="n">
        <v>0.05746168297825283</v>
      </c>
      <c r="Z104" s="132" t="n">
        <v>-1.410178201167189</v>
      </c>
      <c r="AA104" s="139" t="n">
        <v>-0.1910000739827352</v>
      </c>
      <c r="AB104" s="132" t="n">
        <v>-1.012293384324695</v>
      </c>
      <c r="AC104" s="139" t="n">
        <v>0.3113977971022646</v>
      </c>
      <c r="AD104" s="139" t="n">
        <v>0.03273253320001168</v>
      </c>
      <c r="AE104" s="132" t="n">
        <v>0.3877593515126396</v>
      </c>
      <c r="AF104" s="139" t="n">
        <v>0.04077343839014655</v>
      </c>
      <c r="AG104" s="132" t="n">
        <v>0.2237773975496957</v>
      </c>
      <c r="AH104" s="139" t="n">
        <v>0.8229305181334021</v>
      </c>
      <c r="AI104" s="139" t="n">
        <v>0.001010362658195429</v>
      </c>
      <c r="AJ104" s="132" t="n">
        <v>0.2982402843671333</v>
      </c>
      <c r="AK104" s="132" t="n">
        <v>10.64865542011308</v>
      </c>
      <c r="AL104" s="139" t="n">
        <v>0.2503902585858644</v>
      </c>
      <c r="AM104" s="139" t="n">
        <v>0.6390609626132595</v>
      </c>
      <c r="AN104" s="139" t="n">
        <v>0.2228147270718814</v>
      </c>
      <c r="AO104" s="139" t="n">
        <v>0.1160299279139269</v>
      </c>
      <c r="AP104" s="139" t="n">
        <v>0.4244767940786315</v>
      </c>
      <c r="AQ104" s="139" t="n">
        <v>0.8248457995503515</v>
      </c>
      <c r="AR104" s="139" t="n">
        <v>0.9772311542052887</v>
      </c>
    </row>
    <row r="105">
      <c r="C105" s="126" t="inlineStr">
        <is>
          <t>Real Estate</t>
        </is>
      </c>
      <c r="D105" s="126" t="inlineStr">
        <is>
          <t>since_2022_ex_seams</t>
        </is>
      </c>
      <c r="E105" s="112" t="n">
        <v>44562</v>
      </c>
      <c r="F105" s="112" t="n">
        <v>46204</v>
      </c>
      <c r="G105" s="138" t="n">
        <v>52</v>
      </c>
      <c r="H105" s="139" t="n">
        <v>0.2370899917925681</v>
      </c>
      <c r="I105" s="139" t="n">
        <v>0.1541649909004559</v>
      </c>
      <c r="J105" s="138" t="n">
        <v>4</v>
      </c>
      <c r="K105" s="132" t="n">
        <v>10.81625580109075</v>
      </c>
      <c r="L105" s="139" t="n">
        <v>0.3644654977396852</v>
      </c>
      <c r="M105" s="132" t="n">
        <v>1.3204064847075</v>
      </c>
      <c r="N105" s="139" t="n">
        <v>0.1866993396845316</v>
      </c>
      <c r="O105" s="139" t="n">
        <v>0.1293843040736682</v>
      </c>
      <c r="P105" s="132" t="n">
        <v>-0.2881383952926839</v>
      </c>
      <c r="Q105" s="139" t="n">
        <v>-0.2521856223107599</v>
      </c>
      <c r="R105" s="132" t="n">
        <v>-1.332317759260757</v>
      </c>
      <c r="S105" s="139" t="n">
        <v>0.1827557937998359</v>
      </c>
      <c r="T105" s="139" t="n">
        <v>0.03229366168497783</v>
      </c>
      <c r="U105" s="132" t="n">
        <v>-0.5017068487704708</v>
      </c>
      <c r="V105" s="139" t="n">
        <v>-0.3143104621933078</v>
      </c>
      <c r="W105" s="132" t="n">
        <v>-1.597217119921889</v>
      </c>
      <c r="X105" s="139" t="n">
        <v>0.1102173178322805</v>
      </c>
      <c r="Y105" s="139" t="n">
        <v>0.044806460637138</v>
      </c>
      <c r="Z105" s="132" t="n">
        <v>-1.391412062836754</v>
      </c>
      <c r="AA105" s="139" t="n">
        <v>-0.1912771500924415</v>
      </c>
      <c r="AB105" s="132" t="n">
        <v>-1.089280065227616</v>
      </c>
      <c r="AC105" s="139" t="n">
        <v>0.2760304008718415</v>
      </c>
      <c r="AD105" s="139" t="n">
        <v>0.03281194374878693</v>
      </c>
      <c r="AE105" s="132" t="n">
        <v>0.2825172380911771</v>
      </c>
      <c r="AF105" s="139" t="n">
        <v>0.03005384282567485</v>
      </c>
      <c r="AG105" s="132" t="n">
        <v>0.1662388053092278</v>
      </c>
      <c r="AH105" s="139" t="n">
        <v>0.8679690220744047</v>
      </c>
      <c r="AI105" s="139" t="n">
        <v>0.0005508870805399635</v>
      </c>
      <c r="AJ105" s="132" t="n">
        <v>-0.2537486584143023</v>
      </c>
      <c r="AK105" s="132" t="n">
        <v>11.07000445950505</v>
      </c>
      <c r="AL105" s="139" t="n">
        <v>0.2364102151173499</v>
      </c>
      <c r="AM105" s="139" t="n">
        <v>0.6845642455099491</v>
      </c>
      <c r="AN105" s="139" t="n">
        <v>0.3435773446111296</v>
      </c>
      <c r="AO105" s="139" t="n">
        <v>0.2020650826925142</v>
      </c>
      <c r="AP105" s="139" t="n">
        <v>0.3373704899544729</v>
      </c>
      <c r="AQ105" s="139" t="n">
        <v>0.8827674863636481</v>
      </c>
      <c r="AR105" s="139" t="n">
        <v>0.9127750527660768</v>
      </c>
    </row>
    <row r="106">
      <c r="C106" s="126" t="inlineStr">
        <is>
          <t>Utilities</t>
        </is>
      </c>
      <c r="D106" s="126" t="inlineStr">
        <is>
          <t>full</t>
        </is>
      </c>
      <c r="E106" s="112" t="n">
        <v>39904</v>
      </c>
      <c r="F106" s="112" t="n">
        <v>46204</v>
      </c>
      <c r="G106" s="138" t="n">
        <v>208</v>
      </c>
      <c r="H106" s="139" t="n">
        <v>0.05402762458060262</v>
      </c>
      <c r="I106" s="139" t="n">
        <v>0.03061246677319174</v>
      </c>
      <c r="J106" s="138" t="n">
        <v>0</v>
      </c>
      <c r="K106" s="132" t="n">
        <v>1.522074545250092</v>
      </c>
      <c r="L106" s="139" t="n">
        <v>0.125082986939099</v>
      </c>
      <c r="M106" s="132" t="n">
        <v>1.570611929872096</v>
      </c>
      <c r="N106" s="139" t="n">
        <v>0.1162728171907945</v>
      </c>
      <c r="O106" s="139" t="n">
        <v>0.01259750641477386</v>
      </c>
      <c r="P106" s="132" t="n">
        <v>0.3236407741181725</v>
      </c>
      <c r="Q106" s="139" t="n">
        <v>0.2360447817879315</v>
      </c>
      <c r="R106" s="132" t="n">
        <v>2.422915113977322</v>
      </c>
      <c r="S106" s="139" t="n">
        <v>0.01539652388312995</v>
      </c>
      <c r="T106" s="139" t="n">
        <v>0.03063122383258343</v>
      </c>
      <c r="U106" s="132" t="n">
        <v>0.2273547741756872</v>
      </c>
      <c r="V106" s="139" t="n">
        <v>0.1602614252570579</v>
      </c>
      <c r="W106" s="132" t="n">
        <v>2.163440881027168</v>
      </c>
      <c r="X106" s="139" t="n">
        <v>0.03050728614525422</v>
      </c>
      <c r="Y106" s="139" t="n">
        <v>0.01329110868782801</v>
      </c>
      <c r="Z106" s="132" t="n">
        <v>0.04497755577521002</v>
      </c>
      <c r="AA106" s="139" t="n">
        <v>0.004581072378282466</v>
      </c>
      <c r="AB106" s="132" t="n">
        <v>0.05067447717036665</v>
      </c>
      <c r="AC106" s="139" t="n">
        <v>0.9595849147794415</v>
      </c>
      <c r="AD106" s="139" t="n">
        <v>1.53695421779565e-05</v>
      </c>
      <c r="AE106" s="132" t="n">
        <v>-1.054933206116302</v>
      </c>
      <c r="AF106" s="139" t="n">
        <v>-0.1081651597811718</v>
      </c>
      <c r="AG106" s="132" t="n">
        <v>-1.27224922966286</v>
      </c>
      <c r="AH106" s="139" t="n">
        <v>0.2032845811715127</v>
      </c>
      <c r="AI106" s="139" t="n">
        <v>0.00767155290864896</v>
      </c>
      <c r="AJ106" s="132" t="n">
        <v>5.968952397629377</v>
      </c>
      <c r="AK106" s="132" t="n">
        <v>-4.446877852379283</v>
      </c>
      <c r="AL106" s="139" t="n">
        <v>0.001865808976068362</v>
      </c>
      <c r="AM106" s="139" t="n">
        <v>0.2131668315164566</v>
      </c>
      <c r="AN106" s="139" t="n">
        <v>0.1693617627144295</v>
      </c>
      <c r="AO106" s="139" t="n">
        <v>0.1118600491992655</v>
      </c>
      <c r="AP106" s="139" t="n">
        <v>0.9595849147794415</v>
      </c>
      <c r="AQ106" s="139" t="n">
        <v>0.4398905174742387</v>
      </c>
      <c r="AR106" s="139" t="n">
        <v>0.004104779747350395</v>
      </c>
    </row>
    <row r="107">
      <c r="C107" s="126" t="inlineStr">
        <is>
          <t>Utilities</t>
        </is>
      </c>
      <c r="D107" s="126" t="inlineStr">
        <is>
          <t>ex_2013_14</t>
        </is>
      </c>
      <c r="E107" s="112" t="n">
        <v>39904</v>
      </c>
      <c r="F107" s="112" t="n">
        <v>46204</v>
      </c>
      <c r="G107" s="138" t="n">
        <v>184</v>
      </c>
      <c r="H107" s="139" t="n">
        <v>0.04312098206495507</v>
      </c>
      <c r="I107" s="139" t="n">
        <v>0.01624235796565598</v>
      </c>
      <c r="J107" s="138" t="n">
        <v>0</v>
      </c>
      <c r="K107" s="132" t="n">
        <v>1.432992228204223</v>
      </c>
      <c r="L107" s="139" t="n">
        <v>0.1253163718595653</v>
      </c>
      <c r="M107" s="132" t="n">
        <v>1.437158282721292</v>
      </c>
      <c r="N107" s="139" t="n">
        <v>0.1506730236534013</v>
      </c>
      <c r="O107" s="139" t="n">
        <v>0.01259041151839191</v>
      </c>
      <c r="P107" s="132" t="n">
        <v>0.2759322914074264</v>
      </c>
      <c r="Q107" s="139" t="n">
        <v>0.2072152176277717</v>
      </c>
      <c r="R107" s="132" t="n">
        <v>1.937793843662977</v>
      </c>
      <c r="S107" s="139" t="n">
        <v>0.05264837916559895</v>
      </c>
      <c r="T107" s="139" t="n">
        <v>0.02278230021125416</v>
      </c>
      <c r="U107" s="132" t="n">
        <v>0.1983007291603138</v>
      </c>
      <c r="V107" s="139" t="n">
        <v>0.1438488173451682</v>
      </c>
      <c r="W107" s="132" t="n">
        <v>1.823063556862944</v>
      </c>
      <c r="X107" s="139" t="n">
        <v>0.06829376534033949</v>
      </c>
      <c r="Y107" s="139" t="n">
        <v>0.01060854232850272</v>
      </c>
      <c r="Z107" s="132" t="n">
        <v>0.1143948382402987</v>
      </c>
      <c r="AA107" s="139" t="n">
        <v>0.01243977697338153</v>
      </c>
      <c r="AB107" s="132" t="n">
        <v>0.1307518739477123</v>
      </c>
      <c r="AC107" s="139" t="n">
        <v>0.8959715950738476</v>
      </c>
      <c r="AD107" s="139" t="n">
        <v>0.0001087830813510937</v>
      </c>
      <c r="AE107" s="132" t="n">
        <v>-0.95271040219425</v>
      </c>
      <c r="AF107" s="139" t="n">
        <v>-0.101198146122442</v>
      </c>
      <c r="AG107" s="132" t="n">
        <v>-1.136552274223047</v>
      </c>
      <c r="AH107" s="139" t="n">
        <v>0.2557255010199255</v>
      </c>
      <c r="AI107" s="139" t="n">
        <v>0.006358402789407025</v>
      </c>
      <c r="AJ107" s="132" t="n">
        <v>6.179005187471408</v>
      </c>
      <c r="AK107" s="132" t="n">
        <v>-4.746012959267179</v>
      </c>
      <c r="AL107" s="139" t="n">
        <v>0.001304274830791208</v>
      </c>
      <c r="AM107" s="139" t="n">
        <v>0.2762338766979024</v>
      </c>
      <c r="AN107" s="139" t="n">
        <v>0.5791321708215884</v>
      </c>
      <c r="AO107" s="139" t="n">
        <v>0.2504104729145781</v>
      </c>
      <c r="AP107" s="139" t="n">
        <v>0.9386131198694879</v>
      </c>
      <c r="AQ107" s="139" t="n">
        <v>0.4688300852031968</v>
      </c>
      <c r="AR107" s="139" t="n">
        <v>0.002869404627740657</v>
      </c>
    </row>
    <row r="108">
      <c r="C108" s="126" t="inlineStr">
        <is>
          <t>Utilities</t>
        </is>
      </c>
      <c r="D108" s="126" t="inlineStr">
        <is>
          <t>ex_2020_21</t>
        </is>
      </c>
      <c r="E108" s="112" t="n">
        <v>39904</v>
      </c>
      <c r="F108" s="112" t="n">
        <v>46204</v>
      </c>
      <c r="G108" s="138" t="n">
        <v>184</v>
      </c>
      <c r="H108" s="139" t="n">
        <v>0.0514783927202106</v>
      </c>
      <c r="I108" s="139" t="n">
        <v>0.02483452734718283</v>
      </c>
      <c r="J108" s="138" t="n">
        <v>0</v>
      </c>
      <c r="K108" s="132" t="n">
        <v>1.027129081595052</v>
      </c>
      <c r="L108" s="139" t="n">
        <v>0.05766672872511654</v>
      </c>
      <c r="M108" s="132" t="n">
        <v>0.6063007213042378</v>
      </c>
      <c r="N108" s="139" t="n">
        <v>0.5443150797310159</v>
      </c>
      <c r="O108" s="139" t="n">
        <v>0.002749012870636447</v>
      </c>
      <c r="P108" s="132" t="n">
        <v>0.3578818003813308</v>
      </c>
      <c r="Q108" s="139" t="n">
        <v>0.2391891418573504</v>
      </c>
      <c r="R108" s="132" t="n">
        <v>2.570592848224269</v>
      </c>
      <c r="S108" s="139" t="n">
        <v>0.01015246080292753</v>
      </c>
      <c r="T108" s="139" t="n">
        <v>0.03443328699552828</v>
      </c>
      <c r="U108" s="132" t="n">
        <v>0.2784819939389092</v>
      </c>
      <c r="V108" s="139" t="n">
        <v>0.1825088861225905</v>
      </c>
      <c r="W108" s="132" t="n">
        <v>2.502163726476655</v>
      </c>
      <c r="X108" s="139" t="n">
        <v>0.01234368260149221</v>
      </c>
      <c r="Y108" s="139" t="n">
        <v>0.01755922757188277</v>
      </c>
      <c r="Z108" s="132" t="n">
        <v>-0.579386353403597</v>
      </c>
      <c r="AA108" s="139" t="n">
        <v>-0.05245374025229076</v>
      </c>
      <c r="AB108" s="132" t="n">
        <v>-0.6230952955582892</v>
      </c>
      <c r="AC108" s="139" t="n">
        <v>0.5332219010292758</v>
      </c>
      <c r="AD108" s="139" t="n">
        <v>0.002126891461670666</v>
      </c>
      <c r="AE108" s="132" t="n">
        <v>-1.413024713140369</v>
      </c>
      <c r="AF108" s="139" t="n">
        <v>-0.1235307607357339</v>
      </c>
      <c r="AG108" s="132" t="n">
        <v>-1.493949299090758</v>
      </c>
      <c r="AH108" s="139" t="n">
        <v>0.1351888715930971</v>
      </c>
      <c r="AI108" s="139" t="n">
        <v>0.01149759230240677</v>
      </c>
      <c r="AJ108" s="132" t="n">
        <v>3.849139829068014</v>
      </c>
      <c r="AK108" s="132" t="n">
        <v>-2.822010747472967</v>
      </c>
      <c r="AL108" s="139" t="n">
        <v>0.1268486393172483</v>
      </c>
      <c r="AM108" s="139" t="n">
        <v>0.7484332346301469</v>
      </c>
      <c r="AN108" s="139" t="n">
        <v>0.1116770688322029</v>
      </c>
      <c r="AO108" s="139" t="n">
        <v>0.04526016953880477</v>
      </c>
      <c r="AP108" s="139" t="n">
        <v>0.6530692764357904</v>
      </c>
      <c r="AQ108" s="139" t="n">
        <v>0.3717693968810171</v>
      </c>
      <c r="AR108" s="139" t="n">
        <v>0.2325558387482886</v>
      </c>
    </row>
    <row r="109">
      <c r="C109" s="126" t="inlineStr">
        <is>
          <t>Utilities</t>
        </is>
      </c>
      <c r="D109" s="126" t="inlineStr">
        <is>
          <t>clean</t>
        </is>
      </c>
      <c r="E109" s="112" t="n">
        <v>39904</v>
      </c>
      <c r="F109" s="112" t="n">
        <v>46204</v>
      </c>
      <c r="G109" s="138" t="n">
        <v>160</v>
      </c>
      <c r="H109" s="139" t="n">
        <v>0.03823714391354049</v>
      </c>
      <c r="I109" s="139" t="n">
        <v>0.007011077157486612</v>
      </c>
      <c r="J109" s="138" t="n">
        <v>0</v>
      </c>
      <c r="K109" s="132" t="n">
        <v>0.7573082627585546</v>
      </c>
      <c r="L109" s="139" t="n">
        <v>0.0445601114869171</v>
      </c>
      <c r="M109" s="132" t="n">
        <v>0.4457387232709187</v>
      </c>
      <c r="N109" s="139" t="n">
        <v>0.6557859894377629</v>
      </c>
      <c r="O109" s="139" t="n">
        <v>0.001654412246940407</v>
      </c>
      <c r="P109" s="132" t="n">
        <v>0.3116759565030582</v>
      </c>
      <c r="Q109" s="139" t="n">
        <v>0.2134455994639295</v>
      </c>
      <c r="R109" s="132" t="n">
        <v>2.100816524676578</v>
      </c>
      <c r="S109" s="139" t="n">
        <v>0.03565707529672824</v>
      </c>
      <c r="T109" s="139" t="n">
        <v>0.02676422721102012</v>
      </c>
      <c r="U109" s="132" t="n">
        <v>0.2514340841450835</v>
      </c>
      <c r="V109" s="139" t="n">
        <v>0.1681507805417507</v>
      </c>
      <c r="W109" s="132" t="n">
        <v>2.194023406515567</v>
      </c>
      <c r="X109" s="139" t="n">
        <v>0.02823372688649051</v>
      </c>
      <c r="Y109" s="139" t="n">
        <v>0.01488381837566044</v>
      </c>
      <c r="Z109" s="132" t="n">
        <v>-0.5244445020146143</v>
      </c>
      <c r="AA109" s="139" t="n">
        <v>-0.05057539391594525</v>
      </c>
      <c r="AB109" s="132" t="n">
        <v>-0.5865680391335277</v>
      </c>
      <c r="AC109" s="139" t="n">
        <v>0.5574938531950386</v>
      </c>
      <c r="AD109" s="139" t="n">
        <v>0.001916018482837512</v>
      </c>
      <c r="AE109" s="132" t="n">
        <v>-1.308726806134009</v>
      </c>
      <c r="AF109" s="139" t="n">
        <v>-0.1150580157348645</v>
      </c>
      <c r="AG109" s="132" t="n">
        <v>-1.299322494461566</v>
      </c>
      <c r="AH109" s="139" t="n">
        <v>0.1938332777826282</v>
      </c>
      <c r="AI109" s="139" t="n">
        <v>0.009732742947253237</v>
      </c>
      <c r="AJ109" s="132" t="n">
        <v>4.166800677918155</v>
      </c>
      <c r="AK109" s="132" t="n">
        <v>-3.409492415159602</v>
      </c>
      <c r="AL109" s="139" t="n">
        <v>0.07728784372645503</v>
      </c>
      <c r="AM109" s="139" t="n">
        <v>0.7754930747273424</v>
      </c>
      <c r="AN109" s="139" t="n">
        <v>0.2898318665343174</v>
      </c>
      <c r="AO109" s="139" t="n">
        <v>0.1035236652504652</v>
      </c>
      <c r="AP109" s="139" t="n">
        <v>0.7183762040793694</v>
      </c>
      <c r="AQ109" s="139" t="n">
        <v>0.3553610092681516</v>
      </c>
      <c r="AR109" s="139" t="n">
        <v>0.1416943801651676</v>
      </c>
    </row>
    <row r="110">
      <c r="C110" s="126" t="inlineStr">
        <is>
          <t>Utilities</t>
        </is>
      </c>
      <c r="D110" s="126" t="inlineStr">
        <is>
          <t>ex_seams</t>
        </is>
      </c>
      <c r="E110" s="112" t="n">
        <v>39904</v>
      </c>
      <c r="F110" s="112" t="n">
        <v>46204</v>
      </c>
      <c r="G110" s="138" t="n">
        <v>193</v>
      </c>
      <c r="H110" s="139" t="n">
        <v>0.06068215050362857</v>
      </c>
      <c r="I110" s="139" t="n">
        <v>0.03556669998233519</v>
      </c>
      <c r="J110" s="138" t="n">
        <v>0</v>
      </c>
      <c r="K110" s="132" t="n">
        <v>1.639457323502702</v>
      </c>
      <c r="L110" s="139" t="n">
        <v>0.1336737487652656</v>
      </c>
      <c r="M110" s="132" t="n">
        <v>1.677921581931008</v>
      </c>
      <c r="N110" s="139" t="n">
        <v>0.09336240871737411</v>
      </c>
      <c r="O110" s="139" t="n">
        <v>0.01457230120412478</v>
      </c>
      <c r="P110" s="132" t="n">
        <v>0.3502826588031068</v>
      </c>
      <c r="Q110" s="139" t="n">
        <v>0.2446902900679179</v>
      </c>
      <c r="R110" s="132" t="n">
        <v>2.48799952496616</v>
      </c>
      <c r="S110" s="139" t="n">
        <v>0.01284639046259017</v>
      </c>
      <c r="T110" s="139" t="n">
        <v>0.03439864061180997</v>
      </c>
      <c r="U110" s="132" t="n">
        <v>0.2256129754445413</v>
      </c>
      <c r="V110" s="139" t="n">
        <v>0.1547222671572953</v>
      </c>
      <c r="W110" s="132" t="n">
        <v>2.034865862057255</v>
      </c>
      <c r="X110" s="139" t="n">
        <v>0.04186437178764146</v>
      </c>
      <c r="Y110" s="139" t="n">
        <v>0.01287671271449431</v>
      </c>
      <c r="Z110" s="132" t="n">
        <v>0.1901727590323831</v>
      </c>
      <c r="AA110" s="139" t="n">
        <v>0.01857526364394481</v>
      </c>
      <c r="AB110" s="132" t="n">
        <v>0.1916382739537636</v>
      </c>
      <c r="AC110" s="139" t="n">
        <v>0.8480255598497948</v>
      </c>
      <c r="AD110" s="139" t="n">
        <v>0.0002563753587164763</v>
      </c>
      <c r="AE110" s="132" t="n">
        <v>-0.9159994222000738</v>
      </c>
      <c r="AF110" s="139" t="n">
        <v>-0.09185909507365225</v>
      </c>
      <c r="AG110" s="132" t="n">
        <v>-1.036396851488061</v>
      </c>
      <c r="AH110" s="139" t="n">
        <v>0.300017038635946</v>
      </c>
      <c r="AI110" s="139" t="n">
        <v>0.005663108918751658</v>
      </c>
      <c r="AJ110" s="132" t="n">
        <v>6.257300955716724</v>
      </c>
      <c r="AK110" s="132" t="n">
        <v>-4.617843632214021</v>
      </c>
      <c r="AL110" s="139" t="n">
        <v>0.001586420918793685</v>
      </c>
      <c r="AM110" s="139" t="n">
        <v>0.1711644159818525</v>
      </c>
      <c r="AN110" s="139" t="n">
        <v>0.1413102950884919</v>
      </c>
      <c r="AO110" s="139" t="n">
        <v>0.1535026965546854</v>
      </c>
      <c r="AP110" s="139" t="n">
        <v>0.9328281158347742</v>
      </c>
      <c r="AQ110" s="139" t="n">
        <v>0.5491404574828136</v>
      </c>
      <c r="AR110" s="139" t="n">
        <v>0.003490126021346107</v>
      </c>
    </row>
    <row r="111">
      <c r="C111" s="126" t="inlineStr">
        <is>
          <t>Utilities</t>
        </is>
      </c>
      <c r="D111" s="126" t="inlineStr">
        <is>
          <t>audit_clean</t>
        </is>
      </c>
      <c r="E111" s="112" t="n">
        <v>39904</v>
      </c>
      <c r="F111" s="112" t="n">
        <v>46204</v>
      </c>
      <c r="G111" s="138" t="n">
        <v>151</v>
      </c>
      <c r="H111" s="139" t="n">
        <v>0.03719319998431014</v>
      </c>
      <c r="I111" s="139" t="n">
        <v>0.00399296550101047</v>
      </c>
      <c r="J111" s="138" t="n">
        <v>0</v>
      </c>
      <c r="K111" s="132" t="n">
        <v>0.6771100784669598</v>
      </c>
      <c r="L111" s="139" t="n">
        <v>0.03995656024862887</v>
      </c>
      <c r="M111" s="132" t="n">
        <v>0.3862964821762435</v>
      </c>
      <c r="N111" s="139" t="n">
        <v>0.6992771055179756</v>
      </c>
      <c r="O111" s="139" t="n">
        <v>0.001321981781953196</v>
      </c>
      <c r="P111" s="132" t="n">
        <v>0.3399937180999575</v>
      </c>
      <c r="Q111" s="139" t="n">
        <v>0.2295664308994512</v>
      </c>
      <c r="R111" s="132" t="n">
        <v>2.180815693125826</v>
      </c>
      <c r="S111" s="139" t="n">
        <v>0.02919705136340567</v>
      </c>
      <c r="T111" s="139" t="n">
        <v>0.03048897559446595</v>
      </c>
      <c r="U111" s="132" t="n">
        <v>0.2665601600955154</v>
      </c>
      <c r="V111" s="139" t="n">
        <v>0.1784436350474682</v>
      </c>
      <c r="W111" s="132" t="n">
        <v>2.248361718498594</v>
      </c>
      <c r="X111" s="139" t="n">
        <v>0.02455313414144422</v>
      </c>
      <c r="Y111" s="139" t="n">
        <v>0.01653392837818557</v>
      </c>
      <c r="Z111" s="132" t="n">
        <v>-0.3646680517330113</v>
      </c>
      <c r="AA111" s="139" t="n">
        <v>-0.03356208575755279</v>
      </c>
      <c r="AB111" s="132" t="n">
        <v>-0.3755987805842945</v>
      </c>
      <c r="AC111" s="139" t="n">
        <v>0.7072151974532506</v>
      </c>
      <c r="AD111" s="139" t="n">
        <v>0.0008847482850651289</v>
      </c>
      <c r="AE111" s="132" t="n">
        <v>-1.153122159843126</v>
      </c>
      <c r="AF111" s="139" t="n">
        <v>-0.0982028696479153</v>
      </c>
      <c r="AG111" s="132" t="n">
        <v>-1.083424750014058</v>
      </c>
      <c r="AH111" s="139" t="n">
        <v>0.2786199349325673</v>
      </c>
      <c r="AI111" s="139" t="n">
        <v>0.007465694625808594</v>
      </c>
      <c r="AJ111" s="132" t="n">
        <v>4.442488062949742</v>
      </c>
      <c r="AK111" s="132" t="n">
        <v>-3.76537798448278</v>
      </c>
      <c r="AL111" s="139" t="n">
        <v>0.05621489972516969</v>
      </c>
      <c r="AM111" s="139" t="n">
        <v>0.6992771055179756</v>
      </c>
      <c r="AN111" s="139" t="n">
        <v>0.3211675649974624</v>
      </c>
      <c r="AO111" s="139" t="n">
        <v>0.09002815851862882</v>
      </c>
      <c r="AP111" s="139" t="n">
        <v>0.8643741302206396</v>
      </c>
      <c r="AQ111" s="139" t="n">
        <v>0.4597175053008847</v>
      </c>
      <c r="AR111" s="139" t="n">
        <v>0.1200179354017705</v>
      </c>
    </row>
    <row r="112">
      <c r="C112" s="126" t="inlineStr">
        <is>
          <t>Utilities</t>
        </is>
      </c>
      <c r="D112" s="126" t="inlineStr">
        <is>
          <t>since_2020</t>
        </is>
      </c>
      <c r="E112" s="112" t="n">
        <v>43831</v>
      </c>
      <c r="F112" s="112" t="n">
        <v>46204</v>
      </c>
      <c r="G112" s="138" t="n">
        <v>79</v>
      </c>
      <c r="H112" s="139" t="n">
        <v>0.104281461528688</v>
      </c>
      <c r="I112" s="139" t="n">
        <v>0.04293087670188578</v>
      </c>
      <c r="J112" s="138" t="n">
        <v>0</v>
      </c>
      <c r="K112" s="132" t="n">
        <v>2.462679870631809</v>
      </c>
      <c r="L112" s="139" t="n">
        <v>0.2898925027396682</v>
      </c>
      <c r="M112" s="132" t="n">
        <v>1.667157258247112</v>
      </c>
      <c r="N112" s="139" t="n">
        <v>0.09548313914880424</v>
      </c>
      <c r="O112" s="139" t="n">
        <v>0.06160870078540348</v>
      </c>
      <c r="P112" s="132" t="n">
        <v>0.1530325760544984</v>
      </c>
      <c r="Q112" s="139" t="n">
        <v>0.1445105531447471</v>
      </c>
      <c r="R112" s="132" t="n">
        <v>0.6513683324182101</v>
      </c>
      <c r="S112" s="139" t="n">
        <v>0.5148087477338181</v>
      </c>
      <c r="T112" s="139" t="n">
        <v>0.01007284202614789</v>
      </c>
      <c r="U112" s="132" t="n">
        <v>0.3227784005372092</v>
      </c>
      <c r="V112" s="139" t="n">
        <v>0.2513000589815829</v>
      </c>
      <c r="W112" s="132" t="n">
        <v>1.713622208775739</v>
      </c>
      <c r="X112" s="139" t="n">
        <v>0.08659813206271827</v>
      </c>
      <c r="Y112" s="139" t="n">
        <v>0.03159308004555006</v>
      </c>
      <c r="Z112" s="132" t="n">
        <v>0.7515012521757899</v>
      </c>
      <c r="AA112" s="139" t="n">
        <v>0.110981550935422</v>
      </c>
      <c r="AB112" s="132" t="n">
        <v>0.7129902977601786</v>
      </c>
      <c r="AC112" s="139" t="n">
        <v>0.4758517608869173</v>
      </c>
      <c r="AD112" s="139" t="n">
        <v>0.008885778319218773</v>
      </c>
      <c r="AE112" s="132" t="n">
        <v>-0.3970455434487712</v>
      </c>
      <c r="AF112" s="139" t="n">
        <v>-0.05272135309043853</v>
      </c>
      <c r="AG112" s="132" t="n">
        <v>-0.3211095426826507</v>
      </c>
      <c r="AH112" s="139" t="n">
        <v>0.7481273789326437</v>
      </c>
      <c r="AI112" s="139" t="n">
        <v>0.001677815166046037</v>
      </c>
      <c r="AJ112" s="132" t="n">
        <v>6.517266411873479</v>
      </c>
      <c r="AK112" s="132" t="n">
        <v>-4.054586541241667</v>
      </c>
      <c r="AL112" s="139" t="n">
        <v>0.07923713860986892</v>
      </c>
      <c r="AM112" s="139" t="n">
        <v>0.150044932948121</v>
      </c>
      <c r="AN112" s="139" t="n">
        <v>0.7078620281339999</v>
      </c>
      <c r="AO112" s="139" t="n">
        <v>0.2857701357976423</v>
      </c>
      <c r="AP112" s="139" t="n">
        <v>0.5842754380261526</v>
      </c>
      <c r="AQ112" s="139" t="n">
        <v>0.9143779075843423</v>
      </c>
      <c r="AR112" s="139" t="n">
        <v>0.124515503529794</v>
      </c>
    </row>
    <row r="113">
      <c r="C113" s="126" t="inlineStr">
        <is>
          <t>Utilities</t>
        </is>
      </c>
      <c r="D113" s="126" t="inlineStr">
        <is>
          <t>since_2022</t>
        </is>
      </c>
      <c r="E113" s="112" t="n">
        <v>44562</v>
      </c>
      <c r="F113" s="112" t="n">
        <v>46204</v>
      </c>
      <c r="G113" s="138" t="n">
        <v>55</v>
      </c>
      <c r="H113" s="139" t="n">
        <v>0.1352249251355626</v>
      </c>
      <c r="I113" s="139" t="n">
        <v>0.04698257055755883</v>
      </c>
      <c r="J113" s="138" t="n">
        <v>0</v>
      </c>
      <c r="K113" s="132" t="n">
        <v>0.5333360947200793</v>
      </c>
      <c r="L113" s="139" t="n">
        <v>0.01664858287107809</v>
      </c>
      <c r="M113" s="132" t="n">
        <v>0.116459041529715</v>
      </c>
      <c r="N113" s="139" t="n">
        <v>0.9072887452862399</v>
      </c>
      <c r="O113" s="139" t="n">
        <v>0.0002688043931938777</v>
      </c>
      <c r="P113" s="132" t="n">
        <v>0.3697973197282792</v>
      </c>
      <c r="Q113" s="139" t="n">
        <v>0.3056299747069226</v>
      </c>
      <c r="R113" s="132" t="n">
        <v>1.39521146238318</v>
      </c>
      <c r="S113" s="139" t="n">
        <v>0.1629520814922898</v>
      </c>
      <c r="T113" s="139" t="n">
        <v>0.04974583386220055</v>
      </c>
      <c r="U113" s="132" t="n">
        <v>0.8589434340964299</v>
      </c>
      <c r="V113" s="139" t="n">
        <v>0.4958319935370136</v>
      </c>
      <c r="W113" s="132" t="n">
        <v>2.226341898534421</v>
      </c>
      <c r="X113" s="139" t="n">
        <v>0.02599128903728065</v>
      </c>
      <c r="Y113" s="139" t="n">
        <v>0.1181361882229901</v>
      </c>
      <c r="Z113" s="132" t="n">
        <v>0.8836492369845852</v>
      </c>
      <c r="AA113" s="139" t="n">
        <v>0.1123901672862456</v>
      </c>
      <c r="AB113" s="132" t="n">
        <v>0.716492696749113</v>
      </c>
      <c r="AC113" s="139" t="n">
        <v>0.4736871754640943</v>
      </c>
      <c r="AD113" s="139" t="n">
        <v>0.01133363393833675</v>
      </c>
      <c r="AE113" s="132" t="n">
        <v>-2.105597475450875</v>
      </c>
      <c r="AF113" s="139" t="n">
        <v>-0.2079118677555726</v>
      </c>
      <c r="AG113" s="132" t="n">
        <v>-1.160647925451158</v>
      </c>
      <c r="AH113" s="139" t="n">
        <v>0.2457851070635968</v>
      </c>
      <c r="AI113" s="139" t="n">
        <v>0.0262712763723072</v>
      </c>
      <c r="AJ113" s="132" t="n">
        <v>0.2982402843671333</v>
      </c>
      <c r="AK113" s="132" t="n">
        <v>0.2350958103529564</v>
      </c>
      <c r="AL113" s="139" t="n">
        <v>0.9636121262639505</v>
      </c>
      <c r="AM113" s="139" t="n">
        <v>0.9072887452862399</v>
      </c>
      <c r="AN113" s="139" t="n">
        <v>0.2987454827358646</v>
      </c>
      <c r="AO113" s="139" t="n">
        <v>0.08521433634008113</v>
      </c>
      <c r="AP113" s="139" t="n">
        <v>0.5210558930105037</v>
      </c>
      <c r="AQ113" s="139" t="n">
        <v>0.6018230413792466</v>
      </c>
      <c r="AR113" s="139" t="n">
        <v>0.9772311542052887</v>
      </c>
    </row>
    <row r="114">
      <c r="C114" s="128" t="inlineStr">
        <is>
          <t>Utilities</t>
        </is>
      </c>
      <c r="D114" s="128" t="inlineStr">
        <is>
          <t>since_2022_ex_seams</t>
        </is>
      </c>
      <c r="E114" s="115" t="n">
        <v>44562</v>
      </c>
      <c r="F114" s="115" t="n">
        <v>46204</v>
      </c>
      <c r="G114" s="140" t="n">
        <v>52</v>
      </c>
      <c r="H114" s="141" t="n">
        <v>0.1326969290042974</v>
      </c>
      <c r="I114" s="141" t="n">
        <v>0.03842485606998192</v>
      </c>
      <c r="J114" s="140" t="n">
        <v>0</v>
      </c>
      <c r="K114" s="134" t="n">
        <v>0.3143430028926143</v>
      </c>
      <c r="L114" s="141" t="n">
        <v>0.009800119818604751</v>
      </c>
      <c r="M114" s="134" t="n">
        <v>0.06606321499591897</v>
      </c>
      <c r="N114" s="141" t="n">
        <v>0.9473274970269285</v>
      </c>
      <c r="O114" s="141" t="n">
        <v>9.354735688515969e-05</v>
      </c>
      <c r="P114" s="134" t="n">
        <v>0.3833218208249195</v>
      </c>
      <c r="Q114" s="141" t="n">
        <v>0.3104065291066865</v>
      </c>
      <c r="R114" s="134" t="n">
        <v>1.318292279813159</v>
      </c>
      <c r="S114" s="141" t="n">
        <v>0.1874058243333434</v>
      </c>
      <c r="T114" s="141" t="n">
        <v>0.04892584565302949</v>
      </c>
      <c r="U114" s="134" t="n">
        <v>0.8804575006703925</v>
      </c>
      <c r="V114" s="141" t="n">
        <v>0.5103467116889681</v>
      </c>
      <c r="W114" s="134" t="n">
        <v>2.231522850475742</v>
      </c>
      <c r="X114" s="141" t="n">
        <v>0.02564651562985198</v>
      </c>
      <c r="Y114" s="141" t="n">
        <v>0.1181282054784343</v>
      </c>
      <c r="Z114" s="134" t="n">
        <v>0.877332810599138</v>
      </c>
      <c r="AA114" s="141" t="n">
        <v>0.1115885965085996</v>
      </c>
      <c r="AB114" s="134" t="n">
        <v>0.66729389459082</v>
      </c>
      <c r="AC114" s="141" t="n">
        <v>0.5045844254734091</v>
      </c>
      <c r="AD114" s="141" t="n">
        <v>0.01116722853875085</v>
      </c>
      <c r="AE114" s="134" t="n">
        <v>-2.162852197403762</v>
      </c>
      <c r="AF114" s="141" t="n">
        <v>-0.2128776251535291</v>
      </c>
      <c r="AG114" s="134" t="n">
        <v>-1.13664539292173</v>
      </c>
      <c r="AH114" s="141" t="n">
        <v>0.2556865558326731</v>
      </c>
      <c r="AI114" s="141" t="n">
        <v>0.02763901737865893</v>
      </c>
      <c r="AJ114" s="134" t="n">
        <v>-0.2537486584143023</v>
      </c>
      <c r="AK114" s="134" t="n">
        <v>0.5680916613069104</v>
      </c>
      <c r="AL114" s="141" t="n">
        <v>0.9127750527660767</v>
      </c>
      <c r="AM114" s="141" t="n">
        <v>0.9473274970269284</v>
      </c>
      <c r="AN114" s="141" t="n">
        <v>0.3435773446111296</v>
      </c>
      <c r="AO114" s="141" t="n">
        <v>0.09403722397612395</v>
      </c>
      <c r="AP114" s="141" t="n">
        <v>0.55504286802075</v>
      </c>
      <c r="AQ114" s="141" t="n">
        <v>0.6247003961706689</v>
      </c>
      <c r="AR114" s="141" t="n">
        <v>0.9127750527660768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1F4E78"/>
    <outlinePr summaryBelow="1" summaryRight="1"/>
    <pageSetUpPr/>
  </sheetPr>
  <dimension ref="A2:N43"/>
  <sheetViews>
    <sheetView showGridLines="0" workbookViewId="0">
      <pane xSplit="3" ySplit="6" topLeftCell="D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18" customWidth="1" min="4" max="4"/>
    <col width="20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C2" s="142" t="inlineStr">
        <is>
          <t>Earnings ao Focus × performance aos juros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3" customHeight="1">
      <c r="C3" s="143" t="inlineStr">
        <is>
          <t>Setores GICS ajustados. Eixo X: beta mensal do earnings ao Focus PIB; eixo Y: beta diário de performance ao swap DI 360d, controlado pelo retorno do Ibovespa.</t>
        </is>
      </c>
    </row>
    <row r="6" ht="32" customHeight="1">
      <c r="C6" s="11" t="inlineStr">
        <is>
          <t>Setor</t>
        </is>
      </c>
      <c r="D6" s="11" t="inlineStr">
        <is>
          <t>Beta Focus earnings (raw)</t>
        </is>
      </c>
      <c r="E6" s="11" t="inlineStr">
        <is>
          <t>Beta Focus earnings (pad.)</t>
        </is>
      </c>
      <c r="F6" s="11" t="inlineStr">
        <is>
          <t>Beta performance DI (pad.)</t>
        </is>
      </c>
      <c r="G6" s="11" t="inlineStr">
        <is>
          <t>Quadrante</t>
        </is>
      </c>
      <c r="H6" s="11" t="inlineStr">
        <is>
          <t>Earnings p</t>
        </is>
      </c>
      <c r="I6" s="11" t="inlineStr">
        <is>
          <t>Earnings q BH</t>
        </is>
      </c>
      <c r="J6" s="11" t="inlineStr">
        <is>
          <t>Performance t</t>
        </is>
      </c>
      <c r="K6" s="11" t="inlineStr">
        <is>
          <t>Performance p</t>
        </is>
      </c>
      <c r="L6" s="11" t="inlineStr">
        <is>
          <t>Earnings R²</t>
        </is>
      </c>
      <c r="M6" s="11" t="inlineStr">
        <is>
          <t>Performance R²</t>
        </is>
      </c>
      <c r="N6" t="inlineStr">
        <is>
          <t>n earnings</t>
        </is>
      </c>
    </row>
    <row r="7">
      <c r="C7" s="144" t="inlineStr">
        <is>
          <t>Communication Services</t>
        </is>
      </c>
      <c r="D7" s="145" t="n">
        <v>-1.055145497217587</v>
      </c>
      <c r="E7" s="145" t="n">
        <v>-0.07550815951397979</v>
      </c>
      <c r="F7" s="145" t="n">
        <v>-0.0214301837213406</v>
      </c>
      <c r="G7" s="144" t="inlineStr">
        <is>
          <t>Focus − / Juros −</t>
        </is>
      </c>
      <c r="H7" s="145" t="n">
        <v>0.3442137637735818</v>
      </c>
      <c r="I7" s="145" t="n">
        <v>0.4207057112788221</v>
      </c>
      <c r="J7" s="145" t="n">
        <v>-1.477956327377994</v>
      </c>
      <c r="K7" s="145" t="n">
        <v>0.139419468085634</v>
      </c>
      <c r="L7" s="145" t="n">
        <v>0.0760706126260354</v>
      </c>
      <c r="M7" s="146" t="n">
        <v>0.3275529013191355</v>
      </c>
      <c r="N7" s="147" t="n">
        <v>184</v>
      </c>
    </row>
    <row r="8">
      <c r="C8" s="144" t="inlineStr">
        <is>
          <t>Consumer Discretionary</t>
        </is>
      </c>
      <c r="D8" s="145" t="n">
        <v>4.538925815437483</v>
      </c>
      <c r="E8" s="145" t="n">
        <v>0.3542791715015566</v>
      </c>
      <c r="F8" s="145" t="n">
        <v>-0.1314097714159385</v>
      </c>
      <c r="G8" s="144" t="inlineStr">
        <is>
          <t>Focus + / Juros −</t>
        </is>
      </c>
      <c r="H8" s="145" t="n">
        <v>1.172850718833551e-05</v>
      </c>
      <c r="I8" s="145" t="n">
        <v>0.0001290135790716</v>
      </c>
      <c r="J8" s="145" t="n">
        <v>-7.434238210500314</v>
      </c>
      <c r="K8" s="145" t="n">
        <v>1.051722929132268e-13</v>
      </c>
      <c r="L8" s="145" t="n">
        <v>0.2640832588475134</v>
      </c>
      <c r="M8" s="146" t="n">
        <v>0.5478255598852091</v>
      </c>
      <c r="N8" s="147" t="n">
        <v>184</v>
      </c>
    </row>
    <row r="9">
      <c r="C9" s="144" t="inlineStr">
        <is>
          <t>Consumer Staples</t>
        </is>
      </c>
      <c r="D9" s="145" t="n">
        <v>0.9888551618659024</v>
      </c>
      <c r="E9" s="145" t="n">
        <v>0.0948091599902075</v>
      </c>
      <c r="F9" s="145" t="n">
        <v>-0.020474293678883</v>
      </c>
      <c r="G9" s="144" t="inlineStr">
        <is>
          <t>Focus + / Juros −</t>
        </is>
      </c>
      <c r="H9" s="145" t="n">
        <v>0.4618863341205608</v>
      </c>
      <c r="I9" s="145" t="n">
        <v>0.5080749675326169</v>
      </c>
      <c r="J9" s="145" t="n">
        <v>-1.381493977121279</v>
      </c>
      <c r="K9" s="145" t="n">
        <v>0.1671271284170894</v>
      </c>
      <c r="L9" s="145" t="n">
        <v>0.1020326126209839</v>
      </c>
      <c r="M9" s="146" t="n">
        <v>0.5521607571098266</v>
      </c>
      <c r="N9" s="147" t="n">
        <v>184</v>
      </c>
    </row>
    <row r="10">
      <c r="C10" s="144" t="inlineStr">
        <is>
          <t>Energy</t>
        </is>
      </c>
      <c r="D10" s="145" t="n">
        <v>28.62653803250157</v>
      </c>
      <c r="E10" s="145" t="n">
        <v>0.6296303188510535</v>
      </c>
      <c r="F10" s="145" t="n">
        <v>0.0461802451806794</v>
      </c>
      <c r="G10" s="144" t="inlineStr">
        <is>
          <t>Focus + / Juros +</t>
        </is>
      </c>
      <c r="H10" s="145" t="n">
        <v>0.0033552440821082</v>
      </c>
      <c r="I10" s="145" t="n">
        <v>0.0184538424515956</v>
      </c>
      <c r="J10" s="145" t="n">
        <v>3.672893834379417</v>
      </c>
      <c r="K10" s="145" t="n">
        <v>0.0002398191364525</v>
      </c>
      <c r="L10" s="145" t="n">
        <v>0.4993292883463868</v>
      </c>
      <c r="M10" s="146" t="n">
        <v>0.6488851856764382</v>
      </c>
      <c r="N10" s="147" t="n">
        <v>182</v>
      </c>
    </row>
    <row r="11">
      <c r="C11" s="144" t="inlineStr">
        <is>
          <t>Financials</t>
        </is>
      </c>
      <c r="D11" s="145" t="n">
        <v>1.707058648720911</v>
      </c>
      <c r="E11" s="145" t="n">
        <v>0.2514328770161939</v>
      </c>
      <c r="F11" s="145" t="n">
        <v>-0.0435103838832621</v>
      </c>
      <c r="G11" s="144" t="inlineStr">
        <is>
          <t>Focus + / Juros −</t>
        </is>
      </c>
      <c r="H11" s="145" t="n">
        <v>0.0143635148623371</v>
      </c>
      <c r="I11" s="145" t="n">
        <v>0.0526662211619027</v>
      </c>
      <c r="J11" s="145" t="n">
        <v>-3.689253018436818</v>
      </c>
      <c r="K11" s="145" t="n">
        <v>0.0002249134536155</v>
      </c>
      <c r="L11" s="145" t="n">
        <v>0.141212265335879</v>
      </c>
      <c r="M11" s="146" t="n">
        <v>0.8028203894703931</v>
      </c>
      <c r="N11" s="147" t="n">
        <v>184</v>
      </c>
    </row>
    <row r="12">
      <c r="C12" s="144" t="inlineStr">
        <is>
          <t>Health Care</t>
        </is>
      </c>
      <c r="D12" s="145" t="n">
        <v>-0.6044922285073145</v>
      </c>
      <c r="E12" s="145" t="n">
        <v>-0.0536166389674651</v>
      </c>
      <c r="F12" s="145" t="n">
        <v>-0.1045090481376732</v>
      </c>
      <c r="G12" s="144" t="inlineStr">
        <is>
          <t>Focus − / Juros −</t>
        </is>
      </c>
      <c r="H12" s="145" t="n">
        <v>0.5179129987007762</v>
      </c>
      <c r="I12" s="145" t="n">
        <v>0.5179129987007762</v>
      </c>
      <c r="J12" s="145" t="n">
        <v>-6.467867973764407</v>
      </c>
      <c r="K12" s="145" t="n">
        <v>9.939527935095643e-11</v>
      </c>
      <c r="L12" s="145" t="n">
        <v>0.1443502025827489</v>
      </c>
      <c r="M12" s="146" t="n">
        <v>0.4112458293546606</v>
      </c>
      <c r="N12" s="147" t="n">
        <v>160</v>
      </c>
    </row>
    <row r="13">
      <c r="C13" s="144" t="inlineStr">
        <is>
          <t>Industrials</t>
        </is>
      </c>
      <c r="D13" s="145" t="n">
        <v>2.997954806769225</v>
      </c>
      <c r="E13" s="145" t="n">
        <v>0.2677002779147988</v>
      </c>
      <c r="F13" s="145" t="n">
        <v>-0.056890685921505</v>
      </c>
      <c r="G13" s="144" t="inlineStr">
        <is>
          <t>Focus + / Juros −</t>
        </is>
      </c>
      <c r="H13" s="145" t="n">
        <v>0.2772177612129027</v>
      </c>
      <c r="I13" s="145" t="n">
        <v>0.3811744216677413</v>
      </c>
      <c r="J13" s="145" t="n">
        <v>-4.152220176089913</v>
      </c>
      <c r="K13" s="145" t="n">
        <v>3.292652410583765e-05</v>
      </c>
      <c r="L13" s="145" t="n">
        <v>0.1338146001277539</v>
      </c>
      <c r="M13" s="146" t="n">
        <v>0.6383312756995855</v>
      </c>
      <c r="N13" s="147" t="n">
        <v>184</v>
      </c>
    </row>
    <row r="14">
      <c r="C14" s="144" t="inlineStr">
        <is>
          <t>Information Technology</t>
        </is>
      </c>
      <c r="D14" s="145" t="n">
        <v>-0.9401232980465728</v>
      </c>
      <c r="E14" s="145" t="n">
        <v>-0.1064521667596069</v>
      </c>
      <c r="F14" s="145" t="n">
        <v>-0.1049646126752436</v>
      </c>
      <c r="G14" s="144" t="inlineStr">
        <is>
          <t>Focus − / Juros −</t>
        </is>
      </c>
      <c r="H14" s="145" t="n">
        <v>0.2298652189946999</v>
      </c>
      <c r="I14" s="145" t="n">
        <v>0.361216772705957</v>
      </c>
      <c r="J14" s="145" t="n">
        <v>-6.131595504113109</v>
      </c>
      <c r="K14" s="145" t="n">
        <v>8.700208104202845e-10</v>
      </c>
      <c r="L14" s="145" t="n">
        <v>0.0247736214742718</v>
      </c>
      <c r="M14" s="146" t="n">
        <v>0.2699229138568432</v>
      </c>
      <c r="N14" s="147" t="n">
        <v>76</v>
      </c>
    </row>
    <row r="15">
      <c r="C15" s="144" t="inlineStr">
        <is>
          <t>Materials</t>
        </is>
      </c>
      <c r="D15" s="145" t="n">
        <v>6.773677135301451</v>
      </c>
      <c r="E15" s="145" t="n">
        <v>0.1658995605468302</v>
      </c>
      <c r="F15" s="145" t="n">
        <v>0.1251011733335719</v>
      </c>
      <c r="G15" s="144" t="inlineStr">
        <is>
          <t>Focus + / Juros +</t>
        </is>
      </c>
      <c r="H15" s="145" t="n">
        <v>0.0347722886763315</v>
      </c>
      <c r="I15" s="145" t="n">
        <v>0.0956237938599117</v>
      </c>
      <c r="J15" s="145" t="n">
        <v>6.162819291788908</v>
      </c>
      <c r="K15" s="145" t="n">
        <v>7.146104350766428e-10</v>
      </c>
      <c r="L15" s="145" t="n">
        <v>0.0317662641484295</v>
      </c>
      <c r="M15" s="146" t="n">
        <v>0.4803561338126405</v>
      </c>
      <c r="N15" s="147" t="n">
        <v>182</v>
      </c>
    </row>
    <row r="16">
      <c r="C16" s="144" t="inlineStr">
        <is>
          <t>Real Estate</t>
        </is>
      </c>
      <c r="D16" s="145" t="n">
        <v>4.353681161161876</v>
      </c>
      <c r="E16" s="145" t="n">
        <v>0.383942646429172</v>
      </c>
      <c r="F16" s="145" t="n">
        <v>-0.1207663253359935</v>
      </c>
      <c r="G16" s="144" t="inlineStr">
        <is>
          <t>Focus + / Juros −</t>
        </is>
      </c>
      <c r="H16" s="145" t="n">
        <v>0.07319409132982591</v>
      </c>
      <c r="I16" s="145" t="n">
        <v>0.161027000925617</v>
      </c>
      <c r="J16" s="145" t="n">
        <v>-7.253685032764511</v>
      </c>
      <c r="K16" s="145" t="n">
        <v>4.055826622161478e-13</v>
      </c>
      <c r="L16" s="145" t="n">
        <v>0.2763767525922227</v>
      </c>
      <c r="M16" s="146" t="n">
        <v>0.638607120896066</v>
      </c>
      <c r="N16" s="147" t="n">
        <v>152</v>
      </c>
    </row>
    <row r="17">
      <c r="C17" s="144" t="inlineStr">
        <is>
          <t>Utilities</t>
        </is>
      </c>
      <c r="D17" s="145" t="n">
        <v>1.432992228204223</v>
      </c>
      <c r="E17" s="145" t="n">
        <v>0.1253163718595653</v>
      </c>
      <c r="F17" s="145" t="n">
        <v>-0.1024263984747875</v>
      </c>
      <c r="G17" s="144" t="inlineStr">
        <is>
          <t>Focus + / Juros −</t>
        </is>
      </c>
      <c r="H17" s="145" t="n">
        <v>0.1506730236534013</v>
      </c>
      <c r="I17" s="145" t="n">
        <v>0.2762338766979024</v>
      </c>
      <c r="J17" s="145" t="n">
        <v>-8.613393368239262</v>
      </c>
      <c r="K17" s="145" t="n">
        <v>7.092919882758546e-18</v>
      </c>
      <c r="L17" s="145" t="n">
        <v>0.043120982064955</v>
      </c>
      <c r="M17" s="146" t="n">
        <v>0.6030352364333034</v>
      </c>
      <c r="N17" s="147" t="n">
        <v>184</v>
      </c>
    </row>
    <row r="39">
      <c r="C39" s="74" t="inlineStr">
        <is>
          <t>Notas e fontes</t>
        </is>
      </c>
    </row>
    <row r="40" ht="30" customHeight="1">
      <c r="C40" s="148" t="inlineStr">
        <is>
          <t>Earnings: regressão mensal das revisões de 3 meses do earnings 12m fwd, modelo completo com Focus PIB, BCOM USD, USD/BRL, IPCA realizado e swap DI; amostra ex_2013_14.</t>
        </is>
      </c>
    </row>
    <row r="41" ht="30" customHeight="1">
      <c r="C41" s="148" t="inlineStr">
        <is>
          <t>Performance: regressão diária do retorno de cada índice setorial ao swap pré-DI 360d, controlando pelo retorno reconstruído do Ibovespa; HAC de cinco defasagens; 03/01/2011 a 12/08/2026.</t>
        </is>
      </c>
    </row>
    <row r="42" ht="30" customHeight="1">
      <c r="C42" s="148" t="inlineStr">
        <is>
          <t>Leitura: os betas são associações condicionais, com frequências e janelas amostrais diferentes. O scatter não deve ser interpretado como relação causal.</t>
        </is>
      </c>
    </row>
    <row r="43" ht="30" customHeight="1">
      <c r="C43" s="148" t="inlineStr">
        <is>
          <t>Fontes: aba Reg Setores do workbook; assimetry_score/outputs/gics_sector_daily_rate_beta_20260904; dados de mercado, composição IBOV e classificação GICS ajustada.</t>
        </is>
      </c>
    </row>
  </sheetData>
  <autoFilter ref="C6:M17"/>
  <mergeCells count="6">
    <mergeCell ref="C3:M3"/>
    <mergeCell ref="C43:M43"/>
    <mergeCell ref="C41:M41"/>
    <mergeCell ref="C2:M2"/>
    <mergeCell ref="C42:M42"/>
    <mergeCell ref="C40:M4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2:M68"/>
  <sheetViews>
    <sheetView showGridLines="0" workbookViewId="0">
      <pane ySplit="20" topLeftCell="A21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2">
      <c r="C2" s="2" t="inlineStr">
        <is>
          <t>Robustez do sinal do swap pré-DI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</row>
    <row r="3">
      <c r="C3" s="4" t="inlineStr">
        <is>
          <t>O coeficiente positivo aparece em algumas especificações, mas perde magnitude e significância em outras janelas.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</row>
    <row r="6">
      <c r="C6" s="74" t="inlineStr">
        <is>
          <t>Comparação do modelo completo - BEst EPS do IBOV</t>
        </is>
      </c>
      <c r="D6" s="75" t="n"/>
      <c r="E6" s="75" t="n"/>
      <c r="F6" s="75" t="n"/>
      <c r="G6" s="75" t="n"/>
      <c r="H6" s="76" t="n"/>
      <c r="I6" s="99" t="n"/>
      <c r="J6" s="99" t="n"/>
      <c r="K6" s="99" t="n"/>
      <c r="L6" s="99" t="n"/>
      <c r="M6" s="99" t="n"/>
    </row>
    <row r="7">
      <c r="C7" s="11" t="inlineStr">
        <is>
          <t>Amostra</t>
        </is>
      </c>
      <c r="D7" s="11" t="inlineStr">
        <is>
          <t>n</t>
        </is>
      </c>
      <c r="E7" s="11" t="inlineStr">
        <is>
          <t>R²</t>
        </is>
      </c>
      <c r="F7" s="11" t="inlineStr">
        <is>
          <t>Beta swap</t>
        </is>
      </c>
      <c r="G7" s="11" t="inlineStr">
        <is>
          <t>Beta pad.</t>
        </is>
      </c>
      <c r="H7" s="11" t="inlineStr">
        <is>
          <t>p-valor HAC</t>
        </is>
      </c>
      <c r="I7" s="99" t="n"/>
      <c r="J7" s="99" t="n"/>
      <c r="K7" s="99" t="n"/>
      <c r="L7" s="99" t="n"/>
      <c r="M7" s="99" t="n"/>
    </row>
    <row r="8">
      <c r="C8" s="6" t="inlineStr">
        <is>
          <t>full</t>
        </is>
      </c>
      <c r="D8" s="107">
        <f>SUMIFS('Swap Robustez'!$F$21:$F$68,'Swap Robustez'!$C$21:$C$68,"IBOV BEst EPS",'Swap Robustez'!$D$21:$D$68,$C8,'Swap Robustez'!$E$21:$E$68,"full")</f>
        <v/>
      </c>
      <c r="E8" s="103">
        <f>SUMIFS('Swap Robustez'!$G$21:$G$68,'Swap Robustez'!$C$21:$C$68,"IBOV BEst EPS",'Swap Robustez'!$D$21:$D$68,$C8,'Swap Robustez'!$E$21:$E$68,"full")</f>
        <v/>
      </c>
      <c r="F8" s="103">
        <f>SUMIFS('Swap Robustez'!$H$21:$H$68,'Swap Robustez'!$C$21:$C$68,"IBOV BEst EPS",'Swap Robustez'!$D$21:$D$68,$C8,'Swap Robustez'!$E$21:$E$68,"full")</f>
        <v/>
      </c>
      <c r="G8" s="103">
        <f>SUMIFS('Swap Robustez'!$I$21:$I$68,'Swap Robustez'!$C$21:$C$68,"IBOV BEst EPS",'Swap Robustez'!$D$21:$D$68,$C8,'Swap Robustez'!$E$21:$E$68,"full")</f>
        <v/>
      </c>
      <c r="H8" s="103">
        <f>SUMIFS('Swap Robustez'!$L$21:$L$68,'Swap Robustez'!$C$21:$C$68,"IBOV BEst EPS",'Swap Robustez'!$D$21:$D$68,$C8,'Swap Robustez'!$E$21:$E$68,"full")</f>
        <v/>
      </c>
      <c r="I8" s="99" t="n"/>
      <c r="J8" s="99" t="n"/>
      <c r="K8" s="99" t="n"/>
      <c r="L8" s="99" t="n"/>
      <c r="M8" s="99" t="n"/>
    </row>
    <row r="9">
      <c r="C9" s="6" t="inlineStr">
        <is>
          <t>ex_2013_14</t>
        </is>
      </c>
      <c r="D9" s="107">
        <f>SUMIFS('Swap Robustez'!$F$21:$F$68,'Swap Robustez'!$C$21:$C$68,"IBOV BEst EPS",'Swap Robustez'!$D$21:$D$68,$C9,'Swap Robustez'!$E$21:$E$68,"full")</f>
        <v/>
      </c>
      <c r="E9" s="103">
        <f>SUMIFS('Swap Robustez'!$G$21:$G$68,'Swap Robustez'!$C$21:$C$68,"IBOV BEst EPS",'Swap Robustez'!$D$21:$D$68,$C9,'Swap Robustez'!$E$21:$E$68,"full")</f>
        <v/>
      </c>
      <c r="F9" s="103">
        <f>SUMIFS('Swap Robustez'!$H$21:$H$68,'Swap Robustez'!$C$21:$C$68,"IBOV BEst EPS",'Swap Robustez'!$D$21:$D$68,$C9,'Swap Robustez'!$E$21:$E$68,"full")</f>
        <v/>
      </c>
      <c r="G9" s="103">
        <f>SUMIFS('Swap Robustez'!$I$21:$I$68,'Swap Robustez'!$C$21:$C$68,"IBOV BEst EPS",'Swap Robustez'!$D$21:$D$68,$C9,'Swap Robustez'!$E$21:$E$68,"full")</f>
        <v/>
      </c>
      <c r="H9" s="103">
        <f>SUMIFS('Swap Robustez'!$L$21:$L$68,'Swap Robustez'!$C$21:$C$68,"IBOV BEst EPS",'Swap Robustez'!$D$21:$D$68,$C9,'Swap Robustez'!$E$21:$E$68,"full")</f>
        <v/>
      </c>
      <c r="I9" s="99" t="n"/>
      <c r="J9" s="99" t="n"/>
      <c r="K9" s="99" t="n"/>
      <c r="L9" s="99" t="n"/>
      <c r="M9" s="99" t="n"/>
    </row>
    <row r="10">
      <c r="C10" s="6" t="inlineStr">
        <is>
          <t>ex_2020_21</t>
        </is>
      </c>
      <c r="D10" s="107">
        <f>SUMIFS('Swap Robustez'!$F$21:$F$68,'Swap Robustez'!$C$21:$C$68,"IBOV BEst EPS",'Swap Robustez'!$D$21:$D$68,$C10,'Swap Robustez'!$E$21:$E$68,"full")</f>
        <v/>
      </c>
      <c r="E10" s="103">
        <f>SUMIFS('Swap Robustez'!$G$21:$G$68,'Swap Robustez'!$C$21:$C$68,"IBOV BEst EPS",'Swap Robustez'!$D$21:$D$68,$C10,'Swap Robustez'!$E$21:$E$68,"full")</f>
        <v/>
      </c>
      <c r="F10" s="103">
        <f>SUMIFS('Swap Robustez'!$H$21:$H$68,'Swap Robustez'!$C$21:$C$68,"IBOV BEst EPS",'Swap Robustez'!$D$21:$D$68,$C10,'Swap Robustez'!$E$21:$E$68,"full")</f>
        <v/>
      </c>
      <c r="G10" s="103">
        <f>SUMIFS('Swap Robustez'!$I$21:$I$68,'Swap Robustez'!$C$21:$C$68,"IBOV BEst EPS",'Swap Robustez'!$D$21:$D$68,$C10,'Swap Robustez'!$E$21:$E$68,"full")</f>
        <v/>
      </c>
      <c r="H10" s="103">
        <f>SUMIFS('Swap Robustez'!$L$21:$L$68,'Swap Robustez'!$C$21:$C$68,"IBOV BEst EPS",'Swap Robustez'!$D$21:$D$68,$C10,'Swap Robustez'!$E$21:$E$68,"full")</f>
        <v/>
      </c>
      <c r="I10" s="99" t="n"/>
      <c r="J10" s="99" t="n"/>
      <c r="K10" s="99" t="n"/>
      <c r="L10" s="99" t="n"/>
      <c r="M10" s="99" t="n"/>
    </row>
    <row r="11">
      <c r="C11" s="6" t="inlineStr">
        <is>
          <t>clean</t>
        </is>
      </c>
      <c r="D11" s="107">
        <f>SUMIFS('Swap Robustez'!$F$21:$F$68,'Swap Robustez'!$C$21:$C$68,"IBOV BEst EPS",'Swap Robustez'!$D$21:$D$68,$C11,'Swap Robustez'!$E$21:$E$68,"full")</f>
        <v/>
      </c>
      <c r="E11" s="103">
        <f>SUMIFS('Swap Robustez'!$G$21:$G$68,'Swap Robustez'!$C$21:$C$68,"IBOV BEst EPS",'Swap Robustez'!$D$21:$D$68,$C11,'Swap Robustez'!$E$21:$E$68,"full")</f>
        <v/>
      </c>
      <c r="F11" s="103">
        <f>SUMIFS('Swap Robustez'!$H$21:$H$68,'Swap Robustez'!$C$21:$C$68,"IBOV BEst EPS",'Swap Robustez'!$D$21:$D$68,$C11,'Swap Robustez'!$E$21:$E$68,"full")</f>
        <v/>
      </c>
      <c r="G11" s="103">
        <f>SUMIFS('Swap Robustez'!$I$21:$I$68,'Swap Robustez'!$C$21:$C$68,"IBOV BEst EPS",'Swap Robustez'!$D$21:$D$68,$C11,'Swap Robustez'!$E$21:$E$68,"full")</f>
        <v/>
      </c>
      <c r="H11" s="103">
        <f>SUMIFS('Swap Robustez'!$L$21:$L$68,'Swap Robustez'!$C$21:$C$68,"IBOV BEst EPS",'Swap Robustez'!$D$21:$D$68,$C11,'Swap Robustez'!$E$21:$E$68,"full")</f>
        <v/>
      </c>
      <c r="I11" s="99" t="n"/>
      <c r="J11" s="99" t="n"/>
      <c r="K11" s="99" t="n"/>
      <c r="L11" s="99" t="n"/>
      <c r="M11" s="99" t="n"/>
    </row>
    <row r="12">
      <c r="C12" s="6" t="inlineStr">
        <is>
          <t>post2022</t>
        </is>
      </c>
      <c r="D12" s="107">
        <f>SUMIFS('Swap Robustez'!$F$21:$F$68,'Swap Robustez'!$C$21:$C$68,"IBOV BEst EPS",'Swap Robustez'!$D$21:$D$68,$C12,'Swap Robustez'!$E$21:$E$68,"full")</f>
        <v/>
      </c>
      <c r="E12" s="103">
        <f>SUMIFS('Swap Robustez'!$G$21:$G$68,'Swap Robustez'!$C$21:$C$68,"IBOV BEst EPS",'Swap Robustez'!$D$21:$D$68,$C12,'Swap Robustez'!$E$21:$E$68,"full")</f>
        <v/>
      </c>
      <c r="F12" s="103">
        <f>SUMIFS('Swap Robustez'!$H$21:$H$68,'Swap Robustez'!$C$21:$C$68,"IBOV BEst EPS",'Swap Robustez'!$D$21:$D$68,$C12,'Swap Robustez'!$E$21:$E$68,"full")</f>
        <v/>
      </c>
      <c r="G12" s="103">
        <f>SUMIFS('Swap Robustez'!$I$21:$I$68,'Swap Robustez'!$C$21:$C$68,"IBOV BEst EPS",'Swap Robustez'!$D$21:$D$68,$C12,'Swap Robustez'!$E$21:$E$68,"full")</f>
        <v/>
      </c>
      <c r="H12" s="103">
        <f>SUMIFS('Swap Robustez'!$L$21:$L$68,'Swap Robustez'!$C$21:$C$68,"IBOV BEst EPS",'Swap Robustez'!$D$21:$D$68,$C12,'Swap Robustez'!$E$21:$E$68,"full")</f>
        <v/>
      </c>
      <c r="I12" s="99" t="n"/>
      <c r="J12" s="99" t="n"/>
      <c r="K12" s="99" t="n"/>
      <c r="L12" s="99" t="n"/>
      <c r="M12" s="99" t="n"/>
    </row>
    <row r="13"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</row>
    <row r="14">
      <c r="C14" s="84" t="inlineStr">
        <is>
          <t>Leitura</t>
        </is>
      </c>
      <c r="D14" s="84" t="inlineStr">
        <is>
          <t>O sinal do swap é sensível à janela. Na amostra ex_2013_14, beta = 1,73 e p = 0,008; na amostra limpa, beta = 1,31 e p = 0,085; desde 2022, o efeito é próximo de zero.</t>
        </is>
      </c>
      <c r="I14" s="99" t="n"/>
      <c r="J14" s="99" t="n"/>
      <c r="K14" s="99" t="n"/>
      <c r="L14" s="99" t="n"/>
      <c r="M14" s="99" t="n"/>
    </row>
    <row r="15">
      <c r="I15" s="99" t="n"/>
      <c r="J15" s="99" t="n"/>
      <c r="K15" s="99" t="n"/>
      <c r="L15" s="99" t="n"/>
      <c r="M15" s="99" t="n"/>
    </row>
    <row r="16">
      <c r="I16" s="99" t="n"/>
      <c r="J16" s="99" t="n"/>
      <c r="K16" s="99" t="n"/>
      <c r="L16" s="99" t="n"/>
      <c r="M16" s="99" t="n"/>
    </row>
    <row r="17">
      <c r="C17" s="99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</row>
    <row r="18">
      <c r="C18" s="74" t="inlineStr">
        <is>
          <t>Resultados completos</t>
        </is>
      </c>
      <c r="D18" s="75" t="n"/>
      <c r="E18" s="75" t="n"/>
      <c r="F18" s="75" t="n"/>
      <c r="G18" s="75" t="n"/>
      <c r="H18" s="75" t="n"/>
      <c r="I18" s="75" t="n"/>
      <c r="J18" s="75" t="n"/>
      <c r="K18" s="75" t="n"/>
      <c r="L18" s="76" t="n"/>
      <c r="M18" s="99" t="n"/>
    </row>
    <row r="19">
      <c r="C19" s="99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</row>
    <row r="20">
      <c r="C20" s="11" t="inlineStr">
        <is>
          <t>target</t>
        </is>
      </c>
      <c r="D20" s="11" t="inlineStr">
        <is>
          <t>sample</t>
        </is>
      </c>
      <c r="E20" s="11" t="inlineStr">
        <is>
          <t>specification</t>
        </is>
      </c>
      <c r="F20" s="11" t="inlineStr">
        <is>
          <t>n</t>
        </is>
      </c>
      <c r="G20" s="11" t="inlineStr">
        <is>
          <t>r2</t>
        </is>
      </c>
      <c r="H20" s="11" t="inlineStr">
        <is>
          <t>beta_swap</t>
        </is>
      </c>
      <c r="I20" s="11" t="inlineStr">
        <is>
          <t>beta_std_swap</t>
        </is>
      </c>
      <c r="J20" s="11" t="inlineStr">
        <is>
          <t>se_hac_swap</t>
        </is>
      </c>
      <c r="K20" s="11" t="inlineStr">
        <is>
          <t>t_hac_swap</t>
        </is>
      </c>
      <c r="L20" s="11" t="inlineStr">
        <is>
          <t>p_hac_swap</t>
        </is>
      </c>
      <c r="M20" s="99" t="n"/>
    </row>
    <row r="21">
      <c r="C21" s="106" t="inlineStr">
        <is>
          <t>IBOV BEst EPS</t>
        </is>
      </c>
      <c r="D21" s="106" t="inlineStr">
        <is>
          <t>full</t>
        </is>
      </c>
      <c r="E21" s="106" t="inlineStr">
        <is>
          <t>swap_only</t>
        </is>
      </c>
      <c r="F21" s="107" t="n">
        <v>245</v>
      </c>
      <c r="G21" s="103" t="n">
        <v>0.0393091935860912</v>
      </c>
      <c r="H21" s="102" t="n">
        <v>2.22873646818078</v>
      </c>
      <c r="I21" s="103" t="n">
        <v>0.1982654624136319</v>
      </c>
      <c r="J21" s="102" t="n">
        <v>1.124288547898205</v>
      </c>
      <c r="K21" s="102" t="n">
        <v>1.982352726395087</v>
      </c>
      <c r="L21" s="103" t="n">
        <v>0.04743977661285248</v>
      </c>
      <c r="M21" s="99" t="n"/>
    </row>
    <row r="22">
      <c r="C22" s="106" t="inlineStr">
        <is>
          <t>IBOV BEst EPS</t>
        </is>
      </c>
      <c r="D22" s="106" t="inlineStr">
        <is>
          <t>full</t>
        </is>
      </c>
      <c r="E22" s="106" t="inlineStr">
        <is>
          <t>focus_swap</t>
        </is>
      </c>
      <c r="F22" s="107" t="n">
        <v>209</v>
      </c>
      <c r="G22" s="103" t="n">
        <v>0.2004909670414757</v>
      </c>
      <c r="H22" s="102" t="n">
        <v>2.43438153719593</v>
      </c>
      <c r="I22" s="103" t="n">
        <v>0.199456985131972</v>
      </c>
      <c r="J22" s="102" t="n">
        <v>0.9425598091424003</v>
      </c>
      <c r="K22" s="102" t="n">
        <v>2.582734287610758</v>
      </c>
      <c r="L22" s="103" t="n">
        <v>0.009802078330433339</v>
      </c>
      <c r="M22" s="99" t="n"/>
    </row>
    <row r="23">
      <c r="C23" s="106" t="inlineStr">
        <is>
          <t>IBOV BEst EPS</t>
        </is>
      </c>
      <c r="D23" s="106" t="inlineStr">
        <is>
          <t>full</t>
        </is>
      </c>
      <c r="E23" s="106" t="inlineStr">
        <is>
          <t>focus_bcom_fx_swap</t>
        </is>
      </c>
      <c r="F23" s="107" t="n">
        <v>209</v>
      </c>
      <c r="G23" s="103" t="n">
        <v>0.2147886884810993</v>
      </c>
      <c r="H23" s="102" t="n">
        <v>1.867486684077337</v>
      </c>
      <c r="I23" s="103" t="n">
        <v>0.1530094022193489</v>
      </c>
      <c r="J23" s="102" t="n">
        <v>0.9919035334457592</v>
      </c>
      <c r="K23" s="102" t="n">
        <v>1.882730145732924</v>
      </c>
      <c r="L23" s="103" t="n">
        <v>0.05973694791104545</v>
      </c>
      <c r="M23" s="99" t="n"/>
    </row>
    <row r="24">
      <c r="C24" s="106" t="inlineStr">
        <is>
          <t>IBOV BEst EPS</t>
        </is>
      </c>
      <c r="D24" s="106" t="inlineStr">
        <is>
          <t>full</t>
        </is>
      </c>
      <c r="E24" s="106" t="inlineStr">
        <is>
          <t>full</t>
        </is>
      </c>
      <c r="F24" s="107" t="n">
        <v>208</v>
      </c>
      <c r="G24" s="103" t="n">
        <v>0.2343763674450152</v>
      </c>
      <c r="H24" s="102" t="n">
        <v>0.8410336956670192</v>
      </c>
      <c r="I24" s="103" t="n">
        <v>0.0688986850015037</v>
      </c>
      <c r="J24" s="102" t="n">
        <v>1.129951104592017</v>
      </c>
      <c r="K24" s="102" t="n">
        <v>0.7443098132734558</v>
      </c>
      <c r="L24" s="103" t="n">
        <v>0.4566890657749334</v>
      </c>
      <c r="M24" s="99" t="n"/>
    </row>
    <row r="25">
      <c r="C25" s="106" t="inlineStr">
        <is>
          <t>IBOV BEst EPS</t>
        </is>
      </c>
      <c r="D25" s="106" t="inlineStr">
        <is>
          <t>ex_2013_14</t>
        </is>
      </c>
      <c r="E25" s="106" t="inlineStr">
        <is>
          <t>swap_only</t>
        </is>
      </c>
      <c r="F25" s="107" t="n">
        <v>221</v>
      </c>
      <c r="G25" s="103" t="n">
        <v>0.1121958803560776</v>
      </c>
      <c r="H25" s="102" t="n">
        <v>2.69579844802017</v>
      </c>
      <c r="I25" s="103" t="n">
        <v>0.3349565350251844</v>
      </c>
      <c r="J25" s="102" t="n">
        <v>1.065457520852654</v>
      </c>
      <c r="K25" s="102" t="n">
        <v>2.530179190872672</v>
      </c>
      <c r="L25" s="103" t="n">
        <v>0.01140042868786528</v>
      </c>
      <c r="M25" s="99" t="n"/>
    </row>
    <row r="26">
      <c r="C26" s="106" t="inlineStr">
        <is>
          <t>IBOV BEst EPS</t>
        </is>
      </c>
      <c r="D26" s="106" t="inlineStr">
        <is>
          <t>ex_2013_14</t>
        </is>
      </c>
      <c r="E26" s="106" t="inlineStr">
        <is>
          <t>focus_swap</t>
        </is>
      </c>
      <c r="F26" s="107" t="n">
        <v>185</v>
      </c>
      <c r="G26" s="103" t="n">
        <v>0.4611315791223474</v>
      </c>
      <c r="H26" s="102" t="n">
        <v>2.846022494626913</v>
      </c>
      <c r="I26" s="103" t="n">
        <v>0.3421528924775267</v>
      </c>
      <c r="J26" s="102" t="n">
        <v>0.7959653215612652</v>
      </c>
      <c r="K26" s="102" t="n">
        <v>3.575560916453639</v>
      </c>
      <c r="L26" s="103" t="n">
        <v>0.0003494777853625397</v>
      </c>
      <c r="M26" s="99" t="n"/>
    </row>
    <row r="27">
      <c r="C27" s="106" t="inlineStr">
        <is>
          <t>IBOV BEst EPS</t>
        </is>
      </c>
      <c r="D27" s="106" t="inlineStr">
        <is>
          <t>ex_2013_14</t>
        </is>
      </c>
      <c r="E27" s="106" t="inlineStr">
        <is>
          <t>focus_bcom_fx_swap</t>
        </is>
      </c>
      <c r="F27" s="107" t="n">
        <v>185</v>
      </c>
      <c r="G27" s="103" t="n">
        <v>0.4678491708587851</v>
      </c>
      <c r="H27" s="102" t="n">
        <v>2.587690981487775</v>
      </c>
      <c r="I27" s="103" t="n">
        <v>0.3110959087026179</v>
      </c>
      <c r="J27" s="102" t="n">
        <v>0.805211705171496</v>
      </c>
      <c r="K27" s="102" t="n">
        <v>3.213677800345243</v>
      </c>
      <c r="L27" s="103" t="n">
        <v>0.001310466347075767</v>
      </c>
      <c r="M27" s="99" t="n"/>
    </row>
    <row r="28">
      <c r="C28" s="106" t="inlineStr">
        <is>
          <t>IBOV BEst EPS</t>
        </is>
      </c>
      <c r="D28" s="106" t="inlineStr">
        <is>
          <t>ex_2013_14</t>
        </is>
      </c>
      <c r="E28" s="106" t="inlineStr">
        <is>
          <t>full</t>
        </is>
      </c>
      <c r="F28" s="107" t="n">
        <v>184</v>
      </c>
      <c r="G28" s="103" t="n">
        <v>0.493292492307643</v>
      </c>
      <c r="H28" s="102" t="n">
        <v>1.731479773462966</v>
      </c>
      <c r="I28" s="103" t="n">
        <v>0.208152502938589</v>
      </c>
      <c r="J28" s="102" t="n">
        <v>0.6488064779402077</v>
      </c>
      <c r="K28" s="102" t="n">
        <v>2.668715298527791</v>
      </c>
      <c r="L28" s="103" t="n">
        <v>0.007614196116265237</v>
      </c>
      <c r="M28" s="99" t="n"/>
    </row>
    <row r="29">
      <c r="C29" s="106" t="inlineStr">
        <is>
          <t>IBOV BEst EPS</t>
        </is>
      </c>
      <c r="D29" s="106" t="inlineStr">
        <is>
          <t>ex_2020_21</t>
        </is>
      </c>
      <c r="E29" s="106" t="inlineStr">
        <is>
          <t>swap_only</t>
        </is>
      </c>
      <c r="F29" s="107" t="n">
        <v>221</v>
      </c>
      <c r="G29" s="103" t="n">
        <v>0.01502668538260787</v>
      </c>
      <c r="H29" s="102" t="n">
        <v>1.405451539760484</v>
      </c>
      <c r="I29" s="103" t="n">
        <v>0.1225833813475872</v>
      </c>
      <c r="J29" s="102" t="n">
        <v>1.215292684873476</v>
      </c>
      <c r="K29" s="102" t="n">
        <v>1.156471652675837</v>
      </c>
      <c r="L29" s="103" t="n">
        <v>0.2474882880513505</v>
      </c>
      <c r="M29" s="99" t="n"/>
    </row>
    <row r="30">
      <c r="C30" s="106" t="inlineStr">
        <is>
          <t>IBOV BEst EPS</t>
        </is>
      </c>
      <c r="D30" s="106" t="inlineStr">
        <is>
          <t>ex_2020_21</t>
        </is>
      </c>
      <c r="E30" s="106" t="inlineStr">
        <is>
          <t>focus_swap</t>
        </is>
      </c>
      <c r="F30" s="107" t="n">
        <v>185</v>
      </c>
      <c r="G30" s="103" t="n">
        <v>0.04593163872791073</v>
      </c>
      <c r="H30" s="102" t="n">
        <v>1.060144569043432</v>
      </c>
      <c r="I30" s="103" t="n">
        <v>0.08248766925573019</v>
      </c>
      <c r="J30" s="102" t="n">
        <v>1.144324732375936</v>
      </c>
      <c r="K30" s="102" t="n">
        <v>0.9264368225637115</v>
      </c>
      <c r="L30" s="103" t="n">
        <v>0.3542190153331184</v>
      </c>
      <c r="M30" s="99" t="n"/>
    </row>
    <row r="31">
      <c r="C31" s="106" t="inlineStr">
        <is>
          <t>IBOV BEst EPS</t>
        </is>
      </c>
      <c r="D31" s="106" t="inlineStr">
        <is>
          <t>ex_2020_21</t>
        </is>
      </c>
      <c r="E31" s="106" t="inlineStr">
        <is>
          <t>focus_bcom_fx_swap</t>
        </is>
      </c>
      <c r="F31" s="107" t="n">
        <v>185</v>
      </c>
      <c r="G31" s="103" t="n">
        <v>0.06131888231690519</v>
      </c>
      <c r="H31" s="102" t="n">
        <v>0.5322091835800593</v>
      </c>
      <c r="I31" s="103" t="n">
        <v>0.04141010235012178</v>
      </c>
      <c r="J31" s="102" t="n">
        <v>1.208325385593766</v>
      </c>
      <c r="K31" s="102" t="n">
        <v>0.4404518765601651</v>
      </c>
      <c r="L31" s="103" t="n">
        <v>0.6596098593360944</v>
      </c>
      <c r="M31" s="99" t="n"/>
    </row>
    <row r="32">
      <c r="C32" s="106" t="inlineStr">
        <is>
          <t>IBOV BEst EPS</t>
        </is>
      </c>
      <c r="D32" s="106" t="inlineStr">
        <is>
          <t>ex_2020_21</t>
        </is>
      </c>
      <c r="E32" s="106" t="inlineStr">
        <is>
          <t>full</t>
        </is>
      </c>
      <c r="F32" s="107" t="n">
        <v>184</v>
      </c>
      <c r="G32" s="103" t="n">
        <v>0.06590866990022359</v>
      </c>
      <c r="H32" s="102" t="n">
        <v>0.1695360241975505</v>
      </c>
      <c r="I32" s="103" t="n">
        <v>0.01319020458222922</v>
      </c>
      <c r="J32" s="102" t="n">
        <v>1.427854049738619</v>
      </c>
      <c r="K32" s="102" t="n">
        <v>0.1187348414416624</v>
      </c>
      <c r="L32" s="103" t="n">
        <v>0.9054854323119323</v>
      </c>
      <c r="M32" s="99" t="n"/>
    </row>
    <row r="33">
      <c r="C33" s="106" t="inlineStr">
        <is>
          <t>IBOV BEst EPS</t>
        </is>
      </c>
      <c r="D33" s="106" t="inlineStr">
        <is>
          <t>clean</t>
        </is>
      </c>
      <c r="E33" s="106" t="inlineStr">
        <is>
          <t>swap_only</t>
        </is>
      </c>
      <c r="F33" s="107" t="n">
        <v>197</v>
      </c>
      <c r="G33" s="103" t="n">
        <v>0.0849181660373648</v>
      </c>
      <c r="H33" s="102" t="n">
        <v>2.006725382663987</v>
      </c>
      <c r="I33" s="103" t="n">
        <v>0.2914072168587545</v>
      </c>
      <c r="J33" s="102" t="n">
        <v>0.9614196318953701</v>
      </c>
      <c r="K33" s="102" t="n">
        <v>2.08725234651998</v>
      </c>
      <c r="L33" s="103" t="n">
        <v>0.03686532990601066</v>
      </c>
      <c r="M33" s="99" t="n"/>
    </row>
    <row r="34">
      <c r="C34" s="106" t="inlineStr">
        <is>
          <t>IBOV BEst EPS</t>
        </is>
      </c>
      <c r="D34" s="106" t="inlineStr">
        <is>
          <t>clean</t>
        </is>
      </c>
      <c r="E34" s="106" t="inlineStr">
        <is>
          <t>focus_swap</t>
        </is>
      </c>
      <c r="F34" s="107" t="n">
        <v>161</v>
      </c>
      <c r="G34" s="103" t="n">
        <v>0.1742538962779613</v>
      </c>
      <c r="H34" s="102" t="n">
        <v>1.590647878073677</v>
      </c>
      <c r="I34" s="103" t="n">
        <v>0.2363539976806356</v>
      </c>
      <c r="J34" s="102" t="n">
        <v>0.7987596428690771</v>
      </c>
      <c r="K34" s="102" t="n">
        <v>1.991397402553044</v>
      </c>
      <c r="L34" s="103" t="n">
        <v>0.04643721458790662</v>
      </c>
      <c r="M34" s="99" t="n"/>
    </row>
    <row r="35">
      <c r="C35" s="106" t="inlineStr">
        <is>
          <t>IBOV BEst EPS</t>
        </is>
      </c>
      <c r="D35" s="106" t="inlineStr">
        <is>
          <t>clean</t>
        </is>
      </c>
      <c r="E35" s="106" t="inlineStr">
        <is>
          <t>focus_bcom_fx_swap</t>
        </is>
      </c>
      <c r="F35" s="107" t="n">
        <v>161</v>
      </c>
      <c r="G35" s="103" t="n">
        <v>0.1822459271960721</v>
      </c>
      <c r="H35" s="102" t="n">
        <v>1.467584808986521</v>
      </c>
      <c r="I35" s="103" t="n">
        <v>0.2180680849110399</v>
      </c>
      <c r="J35" s="102" t="n">
        <v>0.8131320219195194</v>
      </c>
      <c r="K35" s="102" t="n">
        <v>1.804854278794812</v>
      </c>
      <c r="L35" s="103" t="n">
        <v>0.07109748801583349</v>
      </c>
      <c r="M35" s="99" t="n"/>
    </row>
    <row r="36">
      <c r="C36" s="106" t="inlineStr">
        <is>
          <t>IBOV BEst EPS</t>
        </is>
      </c>
      <c r="D36" s="106" t="inlineStr">
        <is>
          <t>clean</t>
        </is>
      </c>
      <c r="E36" s="106" t="inlineStr">
        <is>
          <t>full</t>
        </is>
      </c>
      <c r="F36" s="107" t="n">
        <v>160</v>
      </c>
      <c r="G36" s="103" t="n">
        <v>0.1847092712759509</v>
      </c>
      <c r="H36" s="102" t="n">
        <v>1.31492576523312</v>
      </c>
      <c r="I36" s="103" t="n">
        <v>0.1953877316074648</v>
      </c>
      <c r="J36" s="102" t="n">
        <v>0.7634231237547549</v>
      </c>
      <c r="K36" s="102" t="n">
        <v>1.722407567072244</v>
      </c>
      <c r="L36" s="103" t="n">
        <v>0.0849957138811952</v>
      </c>
      <c r="M36" s="99" t="n"/>
    </row>
    <row r="37">
      <c r="C37" s="106" t="inlineStr">
        <is>
          <t>IBOV BEst EPS</t>
        </is>
      </c>
      <c r="D37" s="106" t="inlineStr">
        <is>
          <t>pre2020_clean</t>
        </is>
      </c>
      <c r="E37" s="106" t="inlineStr">
        <is>
          <t>swap_only</t>
        </is>
      </c>
      <c r="F37" s="107" t="n">
        <v>141</v>
      </c>
      <c r="G37" s="103" t="n">
        <v>0.08227080591597169</v>
      </c>
      <c r="H37" s="102" t="n">
        <v>2.125963544690181</v>
      </c>
      <c r="I37" s="103" t="n">
        <v>0.2868288791526606</v>
      </c>
      <c r="J37" s="102" t="n">
        <v>1.192795712180581</v>
      </c>
      <c r="K37" s="102" t="n">
        <v>1.782336675912132</v>
      </c>
      <c r="L37" s="103" t="n">
        <v>0.07469434523199192</v>
      </c>
      <c r="M37" s="99" t="n"/>
    </row>
    <row r="38">
      <c r="C38" s="106" t="inlineStr">
        <is>
          <t>IBOV BEst EPS</t>
        </is>
      </c>
      <c r="D38" s="106" t="inlineStr">
        <is>
          <t>pre2020_clean</t>
        </is>
      </c>
      <c r="E38" s="106" t="inlineStr">
        <is>
          <t>focus_swap</t>
        </is>
      </c>
      <c r="F38" s="107" t="n">
        <v>105</v>
      </c>
      <c r="G38" s="103" t="n">
        <v>0.1934106573671159</v>
      </c>
      <c r="H38" s="102" t="n">
        <v>1.410039110632982</v>
      </c>
      <c r="I38" s="103" t="n">
        <v>0.1876386668243731</v>
      </c>
      <c r="J38" s="102" t="n">
        <v>1.122095748855933</v>
      </c>
      <c r="K38" s="102" t="n">
        <v>1.256612113601384</v>
      </c>
      <c r="L38" s="103" t="n">
        <v>0.2088941261610018</v>
      </c>
      <c r="M38" s="99" t="n"/>
    </row>
    <row r="39">
      <c r="C39" s="106" t="inlineStr">
        <is>
          <t>IBOV BEst EPS</t>
        </is>
      </c>
      <c r="D39" s="106" t="inlineStr">
        <is>
          <t>pre2020_clean</t>
        </is>
      </c>
      <c r="E39" s="106" t="inlineStr">
        <is>
          <t>focus_bcom_fx_swap</t>
        </is>
      </c>
      <c r="F39" s="107" t="n">
        <v>105</v>
      </c>
      <c r="G39" s="103" t="n">
        <v>0.2036210748659237</v>
      </c>
      <c r="H39" s="102" t="n">
        <v>1.560490361407494</v>
      </c>
      <c r="I39" s="103" t="n">
        <v>0.2076597229103413</v>
      </c>
      <c r="J39" s="102" t="n">
        <v>1.0798946936842</v>
      </c>
      <c r="K39" s="102" t="n">
        <v>1.445039382575054</v>
      </c>
      <c r="L39" s="103" t="n">
        <v>0.1484468239101426</v>
      </c>
      <c r="M39" s="99" t="n"/>
    </row>
    <row r="40">
      <c r="C40" s="106" t="inlineStr">
        <is>
          <t>IBOV BEst EPS</t>
        </is>
      </c>
      <c r="D40" s="106" t="inlineStr">
        <is>
          <t>pre2020_clean</t>
        </is>
      </c>
      <c r="E40" s="106" t="inlineStr">
        <is>
          <t>full</t>
        </is>
      </c>
      <c r="F40" s="107" t="n">
        <v>105</v>
      </c>
      <c r="G40" s="103" t="n">
        <v>0.2298917094215446</v>
      </c>
      <c r="H40" s="102" t="n">
        <v>2.563447333905263</v>
      </c>
      <c r="I40" s="103" t="n">
        <v>0.3411265947031466</v>
      </c>
      <c r="J40" s="102" t="n">
        <v>1.007592792187399</v>
      </c>
      <c r="K40" s="102" t="n">
        <v>2.544130281381068</v>
      </c>
      <c r="L40" s="103" t="n">
        <v>0.01095502162166939</v>
      </c>
      <c r="M40" s="99" t="n"/>
    </row>
    <row r="41">
      <c r="C41" s="106" t="inlineStr">
        <is>
          <t>IBOV BEst EPS</t>
        </is>
      </c>
      <c r="D41" s="106" t="inlineStr">
        <is>
          <t>post2022</t>
        </is>
      </c>
      <c r="E41" s="106" t="inlineStr">
        <is>
          <t>swap_only</t>
        </is>
      </c>
      <c r="F41" s="107" t="n">
        <v>56</v>
      </c>
      <c r="G41" s="103" t="n">
        <v>0.08608795797870694</v>
      </c>
      <c r="H41" s="102" t="n">
        <v>1.653980524125978</v>
      </c>
      <c r="I41" s="103" t="n">
        <v>0.2934074947555139</v>
      </c>
      <c r="J41" s="102" t="n">
        <v>0.9382088238608167</v>
      </c>
      <c r="K41" s="102" t="n">
        <v>1.762912991288756</v>
      </c>
      <c r="L41" s="103" t="n">
        <v>0.07791516559949496</v>
      </c>
      <c r="M41" s="99" t="n"/>
    </row>
    <row r="42">
      <c r="C42" s="106" t="inlineStr">
        <is>
          <t>IBOV BEst EPS</t>
        </is>
      </c>
      <c r="D42" s="106" t="inlineStr">
        <is>
          <t>post2022</t>
        </is>
      </c>
      <c r="E42" s="106" t="inlineStr">
        <is>
          <t>focus_swap</t>
        </is>
      </c>
      <c r="F42" s="107" t="n">
        <v>56</v>
      </c>
      <c r="G42" s="103" t="n">
        <v>0.1106862146957962</v>
      </c>
      <c r="H42" s="102" t="n">
        <v>1.755524916085561</v>
      </c>
      <c r="I42" s="103" t="n">
        <v>0.3114209388177272</v>
      </c>
      <c r="J42" s="102" t="n">
        <v>1.010682282532371</v>
      </c>
      <c r="K42" s="102" t="n">
        <v>1.736970110613702</v>
      </c>
      <c r="L42" s="103" t="n">
        <v>0.08239244679243529</v>
      </c>
      <c r="M42" s="99" t="n"/>
    </row>
    <row r="43">
      <c r="C43" s="106" t="inlineStr">
        <is>
          <t>IBOV BEst EPS</t>
        </is>
      </c>
      <c r="D43" s="106" t="inlineStr">
        <is>
          <t>post2022</t>
        </is>
      </c>
      <c r="E43" s="106" t="inlineStr">
        <is>
          <t>focus_bcom_fx_swap</t>
        </is>
      </c>
      <c r="F43" s="107" t="n">
        <v>56</v>
      </c>
      <c r="G43" s="103" t="n">
        <v>0.3188110975706479</v>
      </c>
      <c r="H43" s="102" t="n">
        <v>0.6834172817676526</v>
      </c>
      <c r="I43" s="103" t="n">
        <v>0.121234651551917</v>
      </c>
      <c r="J43" s="102" t="n">
        <v>0.949877955348808</v>
      </c>
      <c r="K43" s="102" t="n">
        <v>0.7194790424593994</v>
      </c>
      <c r="L43" s="103" t="n">
        <v>0.4718458105784427</v>
      </c>
      <c r="M43" s="99" t="n"/>
    </row>
    <row r="44">
      <c r="C44" s="106" t="inlineStr">
        <is>
          <t>IBOV BEst EPS</t>
        </is>
      </c>
      <c r="D44" s="106" t="inlineStr">
        <is>
          <t>post2022</t>
        </is>
      </c>
      <c r="E44" s="106" t="inlineStr">
        <is>
          <t>full</t>
        </is>
      </c>
      <c r="F44" s="107" t="n">
        <v>55</v>
      </c>
      <c r="G44" s="103" t="n">
        <v>0.4103205264973762</v>
      </c>
      <c r="H44" s="102" t="n">
        <v>0.1353736984338152</v>
      </c>
      <c r="I44" s="103" t="n">
        <v>0.0239968756915594</v>
      </c>
      <c r="J44" s="102" t="n">
        <v>0.9080856386112691</v>
      </c>
      <c r="K44" s="102" t="n">
        <v>0.1490759160565975</v>
      </c>
      <c r="L44" s="103" t="n">
        <v>0.8814937297181968</v>
      </c>
      <c r="M44" s="99" t="n"/>
    </row>
    <row r="45">
      <c r="C45" s="106" t="inlineStr">
        <is>
          <t>IBOV constant basket</t>
        </is>
      </c>
      <c r="D45" s="106" t="inlineStr">
        <is>
          <t>full</t>
        </is>
      </c>
      <c r="E45" s="106" t="inlineStr">
        <is>
          <t>swap_only</t>
        </is>
      </c>
      <c r="F45" s="107" t="n">
        <v>196</v>
      </c>
      <c r="G45" s="103" t="n">
        <v>0.05398829849089881</v>
      </c>
      <c r="H45" s="102" t="n">
        <v>2.020481609521117</v>
      </c>
      <c r="I45" s="103" t="n">
        <v>0.2323538217695137</v>
      </c>
      <c r="J45" s="102" t="n">
        <v>1.216286295659739</v>
      </c>
      <c r="K45" s="102" t="n">
        <v>1.661189159765355</v>
      </c>
      <c r="L45" s="103" t="n">
        <v>0.09667546202710353</v>
      </c>
      <c r="M45" s="99" t="n"/>
    </row>
    <row r="46">
      <c r="C46" s="106" t="inlineStr">
        <is>
          <t>IBOV constant basket</t>
        </is>
      </c>
      <c r="D46" s="106" t="inlineStr">
        <is>
          <t>full</t>
        </is>
      </c>
      <c r="E46" s="106" t="inlineStr">
        <is>
          <t>focus_swap</t>
        </is>
      </c>
      <c r="F46" s="107" t="n">
        <v>196</v>
      </c>
      <c r="G46" s="103" t="n">
        <v>0.4421823169670441</v>
      </c>
      <c r="H46" s="102" t="n">
        <v>2.852633304461901</v>
      </c>
      <c r="I46" s="103" t="n">
        <v>0.3280506228194858</v>
      </c>
      <c r="J46" s="102" t="n">
        <v>0.8497713785769756</v>
      </c>
      <c r="K46" s="102" t="n">
        <v>3.356942086280796</v>
      </c>
      <c r="L46" s="103" t="n">
        <v>0.0007880961832258393</v>
      </c>
      <c r="M46" s="99" t="n"/>
    </row>
    <row r="47">
      <c r="C47" s="106" t="inlineStr">
        <is>
          <t>IBOV constant basket</t>
        </is>
      </c>
      <c r="D47" s="106" t="inlineStr">
        <is>
          <t>full</t>
        </is>
      </c>
      <c r="E47" s="106" t="inlineStr">
        <is>
          <t>focus_bcom_fx_swap</t>
        </is>
      </c>
      <c r="F47" s="107" t="n">
        <v>196</v>
      </c>
      <c r="G47" s="103" t="n">
        <v>0.4702737833826118</v>
      </c>
      <c r="H47" s="102" t="n">
        <v>2.431757513344173</v>
      </c>
      <c r="I47" s="103" t="n">
        <v>0.2796502324889598</v>
      </c>
      <c r="J47" s="102" t="n">
        <v>0.8639027047422301</v>
      </c>
      <c r="K47" s="102" t="n">
        <v>2.814851140059524</v>
      </c>
      <c r="L47" s="103" t="n">
        <v>0.004879983268864851</v>
      </c>
      <c r="M47" s="99" t="n"/>
    </row>
    <row r="48">
      <c r="C48" s="106" t="inlineStr">
        <is>
          <t>IBOV constant basket</t>
        </is>
      </c>
      <c r="D48" s="106" t="inlineStr">
        <is>
          <t>full</t>
        </is>
      </c>
      <c r="E48" s="106" t="inlineStr">
        <is>
          <t>full</t>
        </is>
      </c>
      <c r="F48" s="107" t="n">
        <v>196</v>
      </c>
      <c r="G48" s="103" t="n">
        <v>0.5041074055028246</v>
      </c>
      <c r="H48" s="102" t="n">
        <v>1.434549441801903</v>
      </c>
      <c r="I48" s="103" t="n">
        <v>0.1649720758403723</v>
      </c>
      <c r="J48" s="102" t="n">
        <v>0.6479028865326552</v>
      </c>
      <c r="K48" s="102" t="n">
        <v>2.214142692709858</v>
      </c>
      <c r="L48" s="103" t="n">
        <v>0.02681896457901445</v>
      </c>
      <c r="M48" s="99" t="n"/>
    </row>
    <row r="49">
      <c r="C49" s="106" t="inlineStr">
        <is>
          <t>IBOV constant basket</t>
        </is>
      </c>
      <c r="D49" s="106" t="inlineStr">
        <is>
          <t>ex_2013_14</t>
        </is>
      </c>
      <c r="E49" s="106" t="inlineStr">
        <is>
          <t>swap_only</t>
        </is>
      </c>
      <c r="F49" s="107" t="n">
        <v>172</v>
      </c>
      <c r="G49" s="103" t="n">
        <v>0.07401446019069946</v>
      </c>
      <c r="H49" s="102" t="n">
        <v>2.434233136187053</v>
      </c>
      <c r="I49" s="103" t="n">
        <v>0.2720559872355312</v>
      </c>
      <c r="J49" s="102" t="n">
        <v>1.321200636478963</v>
      </c>
      <c r="K49" s="102" t="n">
        <v>1.842440178256614</v>
      </c>
      <c r="L49" s="103" t="n">
        <v>0.06541078931595523</v>
      </c>
      <c r="M49" s="99" t="n"/>
    </row>
    <row r="50">
      <c r="C50" s="106" t="inlineStr">
        <is>
          <t>IBOV constant basket</t>
        </is>
      </c>
      <c r="D50" s="106" t="inlineStr">
        <is>
          <t>ex_2013_14</t>
        </is>
      </c>
      <c r="E50" s="106" t="inlineStr">
        <is>
          <t>focus_swap</t>
        </is>
      </c>
      <c r="F50" s="107" t="n">
        <v>172</v>
      </c>
      <c r="G50" s="103" t="n">
        <v>0.457959168979985</v>
      </c>
      <c r="H50" s="102" t="n">
        <v>3.164272200986527</v>
      </c>
      <c r="I50" s="103" t="n">
        <v>0.3536469801203066</v>
      </c>
      <c r="J50" s="102" t="n">
        <v>0.8848103549004677</v>
      </c>
      <c r="K50" s="102" t="n">
        <v>3.576215155554407</v>
      </c>
      <c r="L50" s="103" t="n">
        <v>0.0003486047732803588</v>
      </c>
      <c r="M50" s="99" t="n"/>
    </row>
    <row r="51">
      <c r="C51" s="106" t="inlineStr">
        <is>
          <t>IBOV constant basket</t>
        </is>
      </c>
      <c r="D51" s="106" t="inlineStr">
        <is>
          <t>ex_2013_14</t>
        </is>
      </c>
      <c r="E51" s="106" t="inlineStr">
        <is>
          <t>focus_bcom_fx_swap</t>
        </is>
      </c>
      <c r="F51" s="107" t="n">
        <v>172</v>
      </c>
      <c r="G51" s="103" t="n">
        <v>0.4762804452556585</v>
      </c>
      <c r="H51" s="102" t="n">
        <v>2.744483619077312</v>
      </c>
      <c r="I51" s="103" t="n">
        <v>0.3067303576391902</v>
      </c>
      <c r="J51" s="102" t="n">
        <v>0.9318662987532075</v>
      </c>
      <c r="K51" s="102" t="n">
        <v>2.94514741304552</v>
      </c>
      <c r="L51" s="103" t="n">
        <v>0.00322800826770453</v>
      </c>
      <c r="M51" s="99" t="n"/>
    </row>
    <row r="52">
      <c r="C52" s="106" t="inlineStr">
        <is>
          <t>IBOV constant basket</t>
        </is>
      </c>
      <c r="D52" s="106" t="inlineStr">
        <is>
          <t>ex_2013_14</t>
        </is>
      </c>
      <c r="E52" s="106" t="inlineStr">
        <is>
          <t>full</t>
        </is>
      </c>
      <c r="F52" s="107" t="n">
        <v>172</v>
      </c>
      <c r="G52" s="103" t="n">
        <v>0.507313238240414</v>
      </c>
      <c r="H52" s="102" t="n">
        <v>1.679184134126619</v>
      </c>
      <c r="I52" s="103" t="n">
        <v>0.1876698211723604</v>
      </c>
      <c r="J52" s="102" t="n">
        <v>0.7062676610983024</v>
      </c>
      <c r="K52" s="102" t="n">
        <v>2.377546398649138</v>
      </c>
      <c r="L52" s="103" t="n">
        <v>0.01742825019615868</v>
      </c>
      <c r="M52" s="99" t="n"/>
    </row>
    <row r="53">
      <c r="C53" s="106" t="inlineStr">
        <is>
          <t>IBOV constant basket</t>
        </is>
      </c>
      <c r="D53" s="106" t="inlineStr">
        <is>
          <t>ex_2020_21</t>
        </is>
      </c>
      <c r="E53" s="106" t="inlineStr">
        <is>
          <t>swap_only</t>
        </is>
      </c>
      <c r="F53" s="107" t="n">
        <v>172</v>
      </c>
      <c r="G53" s="103" t="n">
        <v>0.003245907187507835</v>
      </c>
      <c r="H53" s="102" t="n">
        <v>0.3938540790652837</v>
      </c>
      <c r="I53" s="103" t="n">
        <v>0.05697286360635059</v>
      </c>
      <c r="J53" s="102" t="n">
        <v>0.9429787873729059</v>
      </c>
      <c r="K53" s="102" t="n">
        <v>0.4176701367403423</v>
      </c>
      <c r="L53" s="103" t="n">
        <v>0.6761883093409065</v>
      </c>
      <c r="M53" s="99" t="n"/>
    </row>
    <row r="54">
      <c r="C54" s="106" t="inlineStr">
        <is>
          <t>IBOV constant basket</t>
        </is>
      </c>
      <c r="D54" s="106" t="inlineStr">
        <is>
          <t>ex_2020_21</t>
        </is>
      </c>
      <c r="E54" s="106" t="inlineStr">
        <is>
          <t>focus_swap</t>
        </is>
      </c>
      <c r="F54" s="107" t="n">
        <v>172</v>
      </c>
      <c r="G54" s="103" t="n">
        <v>0.1010387952368055</v>
      </c>
      <c r="H54" s="102" t="n">
        <v>1.105263910905656</v>
      </c>
      <c r="I54" s="103" t="n">
        <v>0.1598816754532377</v>
      </c>
      <c r="J54" s="102" t="n">
        <v>0.8463066879652577</v>
      </c>
      <c r="K54" s="102" t="n">
        <v>1.305985083921526</v>
      </c>
      <c r="L54" s="103" t="n">
        <v>0.1915576301037887</v>
      </c>
      <c r="M54" s="99" t="n"/>
    </row>
    <row r="55">
      <c r="C55" s="106" t="inlineStr">
        <is>
          <t>IBOV constant basket</t>
        </is>
      </c>
      <c r="D55" s="106" t="inlineStr">
        <is>
          <t>ex_2020_21</t>
        </is>
      </c>
      <c r="E55" s="106" t="inlineStr">
        <is>
          <t>focus_bcom_fx_swap</t>
        </is>
      </c>
      <c r="F55" s="107" t="n">
        <v>172</v>
      </c>
      <c r="G55" s="103" t="n">
        <v>0.1670102336129092</v>
      </c>
      <c r="H55" s="102" t="n">
        <v>0.7853778499767843</v>
      </c>
      <c r="I55" s="103" t="n">
        <v>0.1136086370677385</v>
      </c>
      <c r="J55" s="102" t="n">
        <v>0.8121638358801633</v>
      </c>
      <c r="K55" s="102" t="n">
        <v>0.9670189871550359</v>
      </c>
      <c r="L55" s="103" t="n">
        <v>0.3335345419640614</v>
      </c>
      <c r="M55" s="99" t="n"/>
    </row>
    <row r="56">
      <c r="C56" s="106" t="inlineStr">
        <is>
          <t>IBOV constant basket</t>
        </is>
      </c>
      <c r="D56" s="106" t="inlineStr">
        <is>
          <t>ex_2020_21</t>
        </is>
      </c>
      <c r="E56" s="106" t="inlineStr">
        <is>
          <t>full</t>
        </is>
      </c>
      <c r="F56" s="107" t="n">
        <v>172</v>
      </c>
      <c r="G56" s="103" t="n">
        <v>0.1761554865004333</v>
      </c>
      <c r="H56" s="102" t="n">
        <v>0.525084405570639</v>
      </c>
      <c r="I56" s="103" t="n">
        <v>0.07595595376692546</v>
      </c>
      <c r="J56" s="102" t="n">
        <v>0.7601971742807279</v>
      </c>
      <c r="K56" s="102" t="n">
        <v>0.6907213330113409</v>
      </c>
      <c r="L56" s="103" t="n">
        <v>0.4897406803889566</v>
      </c>
      <c r="M56" s="99" t="n"/>
    </row>
    <row r="57">
      <c r="C57" s="106" t="inlineStr">
        <is>
          <t>IBOV constant basket</t>
        </is>
      </c>
      <c r="D57" s="106" t="inlineStr">
        <is>
          <t>clean</t>
        </is>
      </c>
      <c r="E57" s="106" t="inlineStr">
        <is>
          <t>swap_only</t>
        </is>
      </c>
      <c r="F57" s="107" t="n">
        <v>148</v>
      </c>
      <c r="G57" s="103" t="n">
        <v>0.01339342307871283</v>
      </c>
      <c r="H57" s="102" t="n">
        <v>0.8452450063436985</v>
      </c>
      <c r="I57" s="103" t="n">
        <v>0.1157299575680949</v>
      </c>
      <c r="J57" s="102" t="n">
        <v>1.026742412772478</v>
      </c>
      <c r="K57" s="102" t="n">
        <v>0.823229853787097</v>
      </c>
      <c r="L57" s="103" t="n">
        <v>0.410377294950605</v>
      </c>
      <c r="M57" s="99" t="n"/>
    </row>
    <row r="58">
      <c r="C58" s="106" t="inlineStr">
        <is>
          <t>IBOV constant basket</t>
        </is>
      </c>
      <c r="D58" s="106" t="inlineStr">
        <is>
          <t>clean</t>
        </is>
      </c>
      <c r="E58" s="106" t="inlineStr">
        <is>
          <t>focus_swap</t>
        </is>
      </c>
      <c r="F58" s="107" t="n">
        <v>148</v>
      </c>
      <c r="G58" s="103" t="n">
        <v>0.1036151535795057</v>
      </c>
      <c r="H58" s="102" t="n">
        <v>1.456401884948894</v>
      </c>
      <c r="I58" s="103" t="n">
        <v>0.1994088425039357</v>
      </c>
      <c r="J58" s="102" t="n">
        <v>0.9519269934219535</v>
      </c>
      <c r="K58" s="102" t="n">
        <v>1.529951241022667</v>
      </c>
      <c r="L58" s="103" t="n">
        <v>0.1260287984722459</v>
      </c>
      <c r="M58" s="99" t="n"/>
    </row>
    <row r="59">
      <c r="C59" s="106" t="inlineStr">
        <is>
          <t>IBOV constant basket</t>
        </is>
      </c>
      <c r="D59" s="106" t="inlineStr">
        <is>
          <t>clean</t>
        </is>
      </c>
      <c r="E59" s="106" t="inlineStr">
        <is>
          <t>focus_bcom_fx_swap</t>
        </is>
      </c>
      <c r="F59" s="107" t="n">
        <v>148</v>
      </c>
      <c r="G59" s="103" t="n">
        <v>0.1547985218241555</v>
      </c>
      <c r="H59" s="102" t="n">
        <v>1.059263079613738</v>
      </c>
      <c r="I59" s="103" t="n">
        <v>0.1450330618188821</v>
      </c>
      <c r="J59" s="102" t="n">
        <v>0.9320091572025743</v>
      </c>
      <c r="K59" s="102" t="n">
        <v>1.136537201837283</v>
      </c>
      <c r="L59" s="103" t="n">
        <v>0.255731805156322</v>
      </c>
      <c r="M59" s="99" t="n"/>
    </row>
    <row r="60">
      <c r="C60" s="106" t="inlineStr">
        <is>
          <t>IBOV constant basket</t>
        </is>
      </c>
      <c r="D60" s="106" t="inlineStr">
        <is>
          <t>clean</t>
        </is>
      </c>
      <c r="E60" s="106" t="inlineStr">
        <is>
          <t>full</t>
        </is>
      </c>
      <c r="F60" s="107" t="n">
        <v>148</v>
      </c>
      <c r="G60" s="103" t="n">
        <v>0.1630661633168756</v>
      </c>
      <c r="H60" s="102" t="n">
        <v>0.7725188033000302</v>
      </c>
      <c r="I60" s="103" t="n">
        <v>0.1057723709166958</v>
      </c>
      <c r="J60" s="102" t="n">
        <v>0.8779480882215923</v>
      </c>
      <c r="K60" s="102" t="n">
        <v>0.879913987699291</v>
      </c>
      <c r="L60" s="103" t="n">
        <v>0.3789059065836153</v>
      </c>
      <c r="M60" s="99" t="n"/>
    </row>
    <row r="61">
      <c r="C61" s="106" t="inlineStr">
        <is>
          <t>IBOV constant basket</t>
        </is>
      </c>
      <c r="D61" s="106" t="inlineStr">
        <is>
          <t>pre2020_clean</t>
        </is>
      </c>
      <c r="E61" s="106" t="inlineStr">
        <is>
          <t>swap_only</t>
        </is>
      </c>
      <c r="F61" s="107" t="n">
        <v>93</v>
      </c>
      <c r="G61" s="103" t="n">
        <v>0.001280583972545601</v>
      </c>
      <c r="H61" s="102" t="n">
        <v>0.28127360157687</v>
      </c>
      <c r="I61" s="103" t="n">
        <v>0.03578524797378613</v>
      </c>
      <c r="J61" s="102" t="n">
        <v>1.645284380985916</v>
      </c>
      <c r="K61" s="102" t="n">
        <v>0.1709574374056358</v>
      </c>
      <c r="L61" s="103" t="n">
        <v>0.8642572328531424</v>
      </c>
      <c r="M61" s="99" t="n"/>
    </row>
    <row r="62">
      <c r="C62" s="106" t="inlineStr">
        <is>
          <t>IBOV constant basket</t>
        </is>
      </c>
      <c r="D62" s="106" t="inlineStr">
        <is>
          <t>pre2020_clean</t>
        </is>
      </c>
      <c r="E62" s="106" t="inlineStr">
        <is>
          <t>focus_swap</t>
        </is>
      </c>
      <c r="F62" s="107" t="n">
        <v>93</v>
      </c>
      <c r="G62" s="103" t="n">
        <v>0.1277888443392479</v>
      </c>
      <c r="H62" s="102" t="n">
        <v>1.365609838218287</v>
      </c>
      <c r="I62" s="103" t="n">
        <v>0.1737407507214211</v>
      </c>
      <c r="J62" s="102" t="n">
        <v>1.485883272479857</v>
      </c>
      <c r="K62" s="102" t="n">
        <v>0.9190559336058475</v>
      </c>
      <c r="L62" s="103" t="n">
        <v>0.3580663166944098</v>
      </c>
      <c r="M62" s="99" t="n"/>
    </row>
    <row r="63">
      <c r="C63" s="106" t="inlineStr">
        <is>
          <t>IBOV constant basket</t>
        </is>
      </c>
      <c r="D63" s="106" t="inlineStr">
        <is>
          <t>pre2020_clean</t>
        </is>
      </c>
      <c r="E63" s="106" t="inlineStr">
        <is>
          <t>focus_bcom_fx_swap</t>
        </is>
      </c>
      <c r="F63" s="107" t="n">
        <v>93</v>
      </c>
      <c r="G63" s="103" t="n">
        <v>0.1471467137307336</v>
      </c>
      <c r="H63" s="102" t="n">
        <v>1.350261811125993</v>
      </c>
      <c r="I63" s="103" t="n">
        <v>0.1717880862967222</v>
      </c>
      <c r="J63" s="102" t="n">
        <v>1.445688719874952</v>
      </c>
      <c r="K63" s="102" t="n">
        <v>0.9339920776602501</v>
      </c>
      <c r="L63" s="103" t="n">
        <v>0.3503079796254442</v>
      </c>
      <c r="M63" s="99" t="n"/>
    </row>
    <row r="64">
      <c r="C64" s="106" t="inlineStr">
        <is>
          <t>IBOV constant basket</t>
        </is>
      </c>
      <c r="D64" s="106" t="inlineStr">
        <is>
          <t>pre2020_clean</t>
        </is>
      </c>
      <c r="E64" s="106" t="inlineStr">
        <is>
          <t>full</t>
        </is>
      </c>
      <c r="F64" s="107" t="n">
        <v>93</v>
      </c>
      <c r="G64" s="103" t="n">
        <v>0.1640942560430597</v>
      </c>
      <c r="H64" s="102" t="n">
        <v>2.164638182046573</v>
      </c>
      <c r="I64" s="103" t="n">
        <v>0.2753977397231586</v>
      </c>
      <c r="J64" s="102" t="n">
        <v>1.526724597349358</v>
      </c>
      <c r="K64" s="102" t="n">
        <v>1.417831471245526</v>
      </c>
      <c r="L64" s="103" t="n">
        <v>0.1562399735741051</v>
      </c>
      <c r="M64" s="99" t="n"/>
    </row>
    <row r="65">
      <c r="C65" s="106" t="inlineStr">
        <is>
          <t>IBOV constant basket</t>
        </is>
      </c>
      <c r="D65" s="106" t="inlineStr">
        <is>
          <t>post2022</t>
        </is>
      </c>
      <c r="E65" s="106" t="inlineStr">
        <is>
          <t>swap_only</t>
        </is>
      </c>
      <c r="F65" s="107" t="n">
        <v>55</v>
      </c>
      <c r="G65" s="103" t="n">
        <v>0.09712415451752121</v>
      </c>
      <c r="H65" s="102" t="n">
        <v>2.171774747719195</v>
      </c>
      <c r="I65" s="103" t="n">
        <v>0.3116474843754098</v>
      </c>
      <c r="J65" s="102" t="n">
        <v>0.9963301307112751</v>
      </c>
      <c r="K65" s="102" t="n">
        <v>2.179774234237778</v>
      </c>
      <c r="L65" s="103" t="n">
        <v>0.02927420074312148</v>
      </c>
      <c r="M65" s="99" t="n"/>
    </row>
    <row r="66">
      <c r="C66" s="106" t="inlineStr">
        <is>
          <t>IBOV constant basket</t>
        </is>
      </c>
      <c r="D66" s="106" t="inlineStr">
        <is>
          <t>post2022</t>
        </is>
      </c>
      <c r="E66" s="106" t="inlineStr">
        <is>
          <t>focus_swap</t>
        </is>
      </c>
      <c r="F66" s="107" t="n">
        <v>55</v>
      </c>
      <c r="G66" s="103" t="n">
        <v>0.1146446992111456</v>
      </c>
      <c r="H66" s="102" t="n">
        <v>2.282532938745689</v>
      </c>
      <c r="I66" s="103" t="n">
        <v>0.327541173002018</v>
      </c>
      <c r="J66" s="102" t="n">
        <v>1.049534746571456</v>
      </c>
      <c r="K66" s="102" t="n">
        <v>2.174804546683283</v>
      </c>
      <c r="L66" s="103" t="n">
        <v>0.02964476623769907</v>
      </c>
      <c r="M66" s="99" t="n"/>
    </row>
    <row r="67">
      <c r="C67" s="106" t="inlineStr">
        <is>
          <t>IBOV constant basket</t>
        </is>
      </c>
      <c r="D67" s="106" t="inlineStr">
        <is>
          <t>post2022</t>
        </is>
      </c>
      <c r="E67" s="106" t="inlineStr">
        <is>
          <t>focus_bcom_fx_swap</t>
        </is>
      </c>
      <c r="F67" s="107" t="n">
        <v>55</v>
      </c>
      <c r="G67" s="103" t="n">
        <v>0.3193067076006117</v>
      </c>
      <c r="H67" s="102" t="n">
        <v>0.867369794624941</v>
      </c>
      <c r="I67" s="103" t="n">
        <v>0.124466690112298</v>
      </c>
      <c r="J67" s="102" t="n">
        <v>0.9398179505025388</v>
      </c>
      <c r="K67" s="102" t="n">
        <v>0.922912564248365</v>
      </c>
      <c r="L67" s="103" t="n">
        <v>0.356052772456648</v>
      </c>
      <c r="M67" s="99" t="n"/>
    </row>
    <row r="68">
      <c r="C68" s="106" t="inlineStr">
        <is>
          <t>IBOV constant basket</t>
        </is>
      </c>
      <c r="D68" s="106" t="inlineStr">
        <is>
          <t>post2022</t>
        </is>
      </c>
      <c r="E68" s="106" t="inlineStr">
        <is>
          <t>full</t>
        </is>
      </c>
      <c r="F68" s="107" t="n">
        <v>55</v>
      </c>
      <c r="G68" s="103" t="n">
        <v>0.3838501610132001</v>
      </c>
      <c r="H68" s="102" t="n">
        <v>0.3322341663970158</v>
      </c>
      <c r="I68" s="103" t="n">
        <v>0.04767526756167051</v>
      </c>
      <c r="J68" s="102" t="n">
        <v>0.8613476326890163</v>
      </c>
      <c r="K68" s="102" t="n">
        <v>0.3857143780146275</v>
      </c>
      <c r="L68" s="103" t="n">
        <v>0.6997082132179744</v>
      </c>
      <c r="M68" s="99" t="n"/>
    </row>
  </sheetData>
  <mergeCells count="2">
    <mergeCell ref="C14:C16"/>
    <mergeCell ref="D14:H16"/>
  </mergeCells>
  <conditionalFormatting sqref="H8:H12">
    <cfRule type="cellIs" priority="1" operator="lessThan" dxfId="0">
      <formula>0.1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:AI74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7" customWidth="1" min="24" max="24"/>
    <col width="17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2">
      <c r="C2" s="2" t="inlineStr">
        <is>
          <t>Regressões de Energia, Petrobras e Brent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  <c r="AC2" s="98" t="n"/>
      <c r="AD2" s="98" t="n"/>
      <c r="AE2" s="98" t="n"/>
      <c r="AF2" s="98" t="n"/>
      <c r="AG2" s="98" t="n"/>
      <c r="AH2" s="98" t="n"/>
      <c r="AI2" s="98" t="n"/>
    </row>
    <row r="3">
      <c r="C3" s="4" t="inlineStr">
        <is>
          <t>Especificações com BCOM ou Brent e diferentes janelas de robustez.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  <c r="AA4" s="99" t="n"/>
      <c r="AB4" s="99" t="n"/>
      <c r="AC4" s="99" t="n"/>
      <c r="AD4" s="99" t="n"/>
      <c r="AE4" s="99" t="n"/>
      <c r="AF4" s="99" t="n"/>
      <c r="AG4" s="99" t="n"/>
      <c r="AH4" s="99" t="n"/>
      <c r="AI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</row>
    <row r="6" ht="36" customHeight="1">
      <c r="C6" s="11" t="inlineStr">
        <is>
          <t>target</t>
        </is>
      </c>
      <c r="D6" s="11" t="inlineStr">
        <is>
          <t>sample</t>
        </is>
      </c>
      <c r="E6" s="11" t="inlineStr">
        <is>
          <t>specification</t>
        </is>
      </c>
      <c r="F6" s="11" t="inlineStr">
        <is>
          <t>start</t>
        </is>
      </c>
      <c r="G6" s="11" t="inlineStr">
        <is>
          <t>end</t>
        </is>
      </c>
      <c r="H6" s="11" t="inlineStr">
        <is>
          <t>n</t>
        </is>
      </c>
      <c r="I6" s="11" t="inlineStr">
        <is>
          <t>r2</t>
        </is>
      </c>
      <c r="J6" s="11" t="inlineStr">
        <is>
          <t>adj_r2</t>
        </is>
      </c>
      <c r="K6" s="11" t="inlineStr">
        <is>
          <t>invalid_nonpositive_windows</t>
        </is>
      </c>
      <c r="L6" s="11" t="inlineStr">
        <is>
          <t>d_focus_pib3_beta</t>
        </is>
      </c>
      <c r="M6" s="11" t="inlineStr">
        <is>
          <t>d_focus_pib3_beta_std</t>
        </is>
      </c>
      <c r="N6" s="11" t="inlineStr">
        <is>
          <t>d_focus_pib3_t</t>
        </is>
      </c>
      <c r="O6" s="11" t="inlineStr">
        <is>
          <t>d_focus_pib3_p</t>
        </is>
      </c>
      <c r="P6" s="11" t="inlineStr">
        <is>
          <t>d_bcom_usd3_beta</t>
        </is>
      </c>
      <c r="Q6" s="11" t="inlineStr">
        <is>
          <t>d_bcom_usd3_beta_std</t>
        </is>
      </c>
      <c r="R6" s="11" t="inlineStr">
        <is>
          <t>d_bcom_usd3_t</t>
        </is>
      </c>
      <c r="S6" s="11" t="inlineStr">
        <is>
          <t>d_bcom_usd3_p</t>
        </is>
      </c>
      <c r="T6" s="11" t="inlineStr">
        <is>
          <t>d_usdbrl3_beta</t>
        </is>
      </c>
      <c r="U6" s="11" t="inlineStr">
        <is>
          <t>d_usdbrl3_beta_std</t>
        </is>
      </c>
      <c r="V6" s="11" t="inlineStr">
        <is>
          <t>d_usdbrl3_t</t>
        </is>
      </c>
      <c r="W6" s="11" t="inlineStr">
        <is>
          <t>d_usdbrl3_p</t>
        </is>
      </c>
      <c r="X6" s="11" t="inlineStr">
        <is>
          <t>d_ipca12_3_available_beta</t>
        </is>
      </c>
      <c r="Y6" s="11" t="inlineStr">
        <is>
          <t>d_ipca12_3_available_beta_std</t>
        </is>
      </c>
      <c r="Z6" s="11" t="inlineStr">
        <is>
          <t>d_ipca12_3_available_t</t>
        </is>
      </c>
      <c r="AA6" s="11" t="inlineStr">
        <is>
          <t>d_ipca12_3_available_p</t>
        </is>
      </c>
      <c r="AB6" s="11" t="inlineStr">
        <is>
          <t>d_swap360_3_beta</t>
        </is>
      </c>
      <c r="AC6" s="11" t="inlineStr">
        <is>
          <t>d_swap360_3_beta_std</t>
        </is>
      </c>
      <c r="AD6" s="11" t="inlineStr">
        <is>
          <t>d_swap360_3_t</t>
        </is>
      </c>
      <c r="AE6" s="11" t="inlineStr">
        <is>
          <t>d_swap360_3_p</t>
        </is>
      </c>
      <c r="AF6" s="11" t="inlineStr">
        <is>
          <t>d_brent3_beta</t>
        </is>
      </c>
      <c r="AG6" s="11" t="inlineStr">
        <is>
          <t>d_brent3_beta_std</t>
        </is>
      </c>
      <c r="AH6" s="11" t="inlineStr">
        <is>
          <t>d_brent3_t</t>
        </is>
      </c>
      <c r="AI6" s="11" t="inlineStr">
        <is>
          <t>d_brent3_p</t>
        </is>
      </c>
    </row>
    <row r="7">
      <c r="C7" s="124" t="inlineStr">
        <is>
          <t>Energy reported</t>
        </is>
      </c>
      <c r="D7" s="124" t="inlineStr">
        <is>
          <t>primary</t>
        </is>
      </c>
      <c r="E7" s="124" t="inlineStr">
        <is>
          <t>BCOM</t>
        </is>
      </c>
      <c r="F7" s="109" t="n">
        <v>39904</v>
      </c>
      <c r="G7" s="109" t="n">
        <v>46204</v>
      </c>
      <c r="H7" s="136" t="n">
        <v>182</v>
      </c>
      <c r="I7" s="137" t="n">
        <v>0.4993292883463885</v>
      </c>
      <c r="J7" s="137" t="n">
        <v>0.4851056885835018</v>
      </c>
      <c r="K7" s="136" t="n">
        <v>2</v>
      </c>
      <c r="L7" s="130" t="n">
        <v>28.62653803250165</v>
      </c>
      <c r="M7" s="137" t="n">
        <v>0.6296303188510547</v>
      </c>
      <c r="N7" s="130" t="n">
        <v>2.93316603423433</v>
      </c>
      <c r="O7" s="137" t="n">
        <v>0.0033552440821083</v>
      </c>
      <c r="P7" s="130" t="n">
        <v>0.64002933398225</v>
      </c>
      <c r="Q7" s="137" t="n">
        <v>0.1248453547446446</v>
      </c>
      <c r="R7" s="130" t="n">
        <v>1.542079860044868</v>
      </c>
      <c r="S7" s="137" t="n">
        <v>0.1230541884016496</v>
      </c>
      <c r="T7" s="130" t="n">
        <v>0.4045749707754993</v>
      </c>
      <c r="U7" s="137" t="n">
        <v>0.07642836570955588</v>
      </c>
      <c r="V7" s="130" t="n">
        <v>0.7963291543399407</v>
      </c>
      <c r="W7" s="137" t="n">
        <v>0.4258407442973198</v>
      </c>
      <c r="X7" s="130" t="n">
        <v>6.843175074021987</v>
      </c>
      <c r="Y7" s="137" t="n">
        <v>0.1920580000454732</v>
      </c>
      <c r="Z7" s="130" t="n">
        <v>1.800494899305055</v>
      </c>
      <c r="AA7" s="137" t="n">
        <v>0.07178252826815967</v>
      </c>
      <c r="AB7" s="130" t="n">
        <v>6.832861814191538</v>
      </c>
      <c r="AC7" s="137" t="n">
        <v>0.188763831090079</v>
      </c>
      <c r="AD7" s="130" t="n">
        <v>1.686649352819558</v>
      </c>
      <c r="AE7" s="137" t="n">
        <v>0.09167079614808427</v>
      </c>
      <c r="AF7" s="130" t="n"/>
      <c r="AG7" s="137" t="n"/>
      <c r="AH7" s="130" t="n"/>
      <c r="AI7" s="137" t="n"/>
    </row>
    <row r="8">
      <c r="C8" s="126" t="inlineStr">
        <is>
          <t>Energy reported</t>
        </is>
      </c>
      <c r="D8" s="126" t="inlineStr">
        <is>
          <t>primary</t>
        </is>
      </c>
      <c r="E8" s="126" t="inlineStr">
        <is>
          <t>Brent</t>
        </is>
      </c>
      <c r="F8" s="112" t="n">
        <v>39904</v>
      </c>
      <c r="G8" s="112" t="n">
        <v>46204</v>
      </c>
      <c r="H8" s="138" t="n">
        <v>182</v>
      </c>
      <c r="I8" s="139" t="n">
        <v>0.4931258375574638</v>
      </c>
      <c r="J8" s="139" t="n">
        <v>0.4787260033971644</v>
      </c>
      <c r="K8" s="138" t="n">
        <v>2</v>
      </c>
      <c r="L8" s="132" t="n">
        <v>28.52834861508999</v>
      </c>
      <c r="M8" s="139" t="n">
        <v>0.6274706782363725</v>
      </c>
      <c r="N8" s="132" t="n">
        <v>2.591590203671981</v>
      </c>
      <c r="O8" s="139" t="n">
        <v>0.009553349316678617</v>
      </c>
      <c r="P8" s="132" t="n"/>
      <c r="Q8" s="139" t="n"/>
      <c r="R8" s="132" t="n"/>
      <c r="S8" s="139" t="n"/>
      <c r="T8" s="132" t="n">
        <v>0.1195144081379205</v>
      </c>
      <c r="U8" s="139" t="n">
        <v>0.02257749873952124</v>
      </c>
      <c r="V8" s="132" t="n">
        <v>0.303613091079179</v>
      </c>
      <c r="W8" s="139" t="n">
        <v>0.7614226768863157</v>
      </c>
      <c r="X8" s="132" t="n">
        <v>6.731006318873527</v>
      </c>
      <c r="Y8" s="139" t="n">
        <v>0.1889099135873049</v>
      </c>
      <c r="Z8" s="132" t="n">
        <v>1.784512952257522</v>
      </c>
      <c r="AA8" s="139" t="n">
        <v>0.07434035205433043</v>
      </c>
      <c r="AB8" s="132" t="n">
        <v>7.830157719980971</v>
      </c>
      <c r="AC8" s="139" t="n">
        <v>0.2163150096484213</v>
      </c>
      <c r="AD8" s="132" t="n">
        <v>1.894068937381841</v>
      </c>
      <c r="AE8" s="139" t="n">
        <v>0.05821586014359958</v>
      </c>
      <c r="AF8" s="132" t="n">
        <v>0.09129803122504043</v>
      </c>
      <c r="AG8" s="139" t="n">
        <v>0.05434929731424951</v>
      </c>
      <c r="AH8" s="132" t="n">
        <v>0.3813890201551449</v>
      </c>
      <c r="AI8" s="139" t="n">
        <v>0.7029146071134358</v>
      </c>
    </row>
    <row r="9">
      <c r="C9" s="126" t="inlineStr">
        <is>
          <t>Energy reported</t>
        </is>
      </c>
      <c r="D9" s="126" t="inlineStr">
        <is>
          <t>clean</t>
        </is>
      </c>
      <c r="E9" s="126" t="inlineStr">
        <is>
          <t>BCOM</t>
        </is>
      </c>
      <c r="F9" s="112" t="n">
        <v>39904</v>
      </c>
      <c r="G9" s="112" t="n">
        <v>46204</v>
      </c>
      <c r="H9" s="138" t="n">
        <v>160</v>
      </c>
      <c r="I9" s="139" t="n">
        <v>0.1624879947161633</v>
      </c>
      <c r="J9" s="139" t="n">
        <v>0.135296046492662</v>
      </c>
      <c r="K9" s="138" t="n">
        <v>2</v>
      </c>
      <c r="L9" s="132" t="n">
        <v>10.08931264021524</v>
      </c>
      <c r="M9" s="139" t="n">
        <v>0.3418899807808108</v>
      </c>
      <c r="N9" s="132" t="n">
        <v>2.498452612580019</v>
      </c>
      <c r="O9" s="139" t="n">
        <v>0.01247368183337638</v>
      </c>
      <c r="P9" s="132" t="n">
        <v>0.5873892347394785</v>
      </c>
      <c r="Q9" s="139" t="n">
        <v>0.2316653640514298</v>
      </c>
      <c r="R9" s="132" t="n">
        <v>1.937398064886608</v>
      </c>
      <c r="S9" s="139" t="n">
        <v>0.05269670300624063</v>
      </c>
      <c r="T9" s="132" t="n">
        <v>0.3261369572668684</v>
      </c>
      <c r="U9" s="139" t="n">
        <v>0.1256105083944149</v>
      </c>
      <c r="V9" s="132" t="n">
        <v>0.9601653864291021</v>
      </c>
      <c r="W9" s="139" t="n">
        <v>0.3369719844235686</v>
      </c>
      <c r="X9" s="132" t="n">
        <v>0.9913758438526226</v>
      </c>
      <c r="Y9" s="139" t="n">
        <v>0.05505912309248449</v>
      </c>
      <c r="Z9" s="132" t="n">
        <v>0.5664918394236079</v>
      </c>
      <c r="AA9" s="139" t="n">
        <v>0.571059478873883</v>
      </c>
      <c r="AB9" s="132" t="n">
        <v>1.814342703288994</v>
      </c>
      <c r="AC9" s="139" t="n">
        <v>0.0918625348223355</v>
      </c>
      <c r="AD9" s="132" t="n">
        <v>0.7358730836231315</v>
      </c>
      <c r="AE9" s="139" t="n">
        <v>0.4618079392034002</v>
      </c>
      <c r="AF9" s="132" t="n"/>
      <c r="AG9" s="139" t="n"/>
      <c r="AH9" s="132" t="n"/>
      <c r="AI9" s="139" t="n"/>
    </row>
    <row r="10">
      <c r="C10" s="126" t="inlineStr">
        <is>
          <t>Energy reported</t>
        </is>
      </c>
      <c r="D10" s="126" t="inlineStr">
        <is>
          <t>clean</t>
        </is>
      </c>
      <c r="E10" s="126" t="inlineStr">
        <is>
          <t>Brent</t>
        </is>
      </c>
      <c r="F10" s="112" t="n">
        <v>39904</v>
      </c>
      <c r="G10" s="112" t="n">
        <v>46204</v>
      </c>
      <c r="H10" s="138" t="n">
        <v>160</v>
      </c>
      <c r="I10" s="139" t="n">
        <v>0.1797696005160218</v>
      </c>
      <c r="J10" s="139" t="n">
        <v>0.1531387433899186</v>
      </c>
      <c r="K10" s="138" t="n">
        <v>2</v>
      </c>
      <c r="L10" s="132" t="n">
        <v>9.566327188638336</v>
      </c>
      <c r="M10" s="139" t="n">
        <v>0.3241679126514544</v>
      </c>
      <c r="N10" s="132" t="n">
        <v>2.381495686301751</v>
      </c>
      <c r="O10" s="139" t="n">
        <v>0.01724249271060718</v>
      </c>
      <c r="P10" s="132" t="n"/>
      <c r="Q10" s="139" t="n"/>
      <c r="R10" s="132" t="n"/>
      <c r="S10" s="139" t="n"/>
      <c r="T10" s="132" t="n">
        <v>0.1996127882634475</v>
      </c>
      <c r="U10" s="139" t="n">
        <v>0.07688016723379679</v>
      </c>
      <c r="V10" s="132" t="n">
        <v>0.6912981396629625</v>
      </c>
      <c r="W10" s="139" t="n">
        <v>0.4893782006681606</v>
      </c>
      <c r="X10" s="132" t="n">
        <v>0.5801982021556658</v>
      </c>
      <c r="Y10" s="139" t="n">
        <v>0.0322231012875837</v>
      </c>
      <c r="Z10" s="132" t="n">
        <v>0.3358049329164842</v>
      </c>
      <c r="AA10" s="139" t="n">
        <v>0.7370179700476156</v>
      </c>
      <c r="AB10" s="132" t="n">
        <v>2.29030398431773</v>
      </c>
      <c r="AC10" s="139" t="n">
        <v>0.1159610745708217</v>
      </c>
      <c r="AD10" s="132" t="n">
        <v>0.9470319506771127</v>
      </c>
      <c r="AE10" s="139" t="n">
        <v>0.3436224982012268</v>
      </c>
      <c r="AF10" s="132" t="n">
        <v>0.2517156296419536</v>
      </c>
      <c r="AG10" s="139" t="n">
        <v>0.2447880751695413</v>
      </c>
      <c r="AH10" s="132" t="n">
        <v>2.102532219131301</v>
      </c>
      <c r="AI10" s="139" t="n">
        <v>0.03550668036817806</v>
      </c>
    </row>
    <row r="11">
      <c r="C11" s="126" t="inlineStr">
        <is>
          <t>Energy reported</t>
        </is>
      </c>
      <c r="D11" s="126" t="inlineStr">
        <is>
          <t>audit_clean</t>
        </is>
      </c>
      <c r="E11" s="126" t="inlineStr">
        <is>
          <t>BCOM</t>
        </is>
      </c>
      <c r="F11" s="112" t="n">
        <v>39904</v>
      </c>
      <c r="G11" s="112" t="n">
        <v>46204</v>
      </c>
      <c r="H11" s="138" t="n">
        <v>151</v>
      </c>
      <c r="I11" s="139" t="n">
        <v>0.1782128249467146</v>
      </c>
      <c r="J11" s="139" t="n">
        <v>0.1498753361517737</v>
      </c>
      <c r="K11" s="138" t="n">
        <v>2</v>
      </c>
      <c r="L11" s="132" t="n">
        <v>9.978455544837987</v>
      </c>
      <c r="M11" s="139" t="n">
        <v>0.3451499789676632</v>
      </c>
      <c r="N11" s="132" t="n">
        <v>2.385385015564933</v>
      </c>
      <c r="O11" s="139" t="n">
        <v>0.01706125497239763</v>
      </c>
      <c r="P11" s="132" t="n">
        <v>0.5515429107760341</v>
      </c>
      <c r="Q11" s="139" t="n">
        <v>0.2182893284347986</v>
      </c>
      <c r="R11" s="132" t="n">
        <v>1.658632888866311</v>
      </c>
      <c r="S11" s="139" t="n">
        <v>0.09718979024422358</v>
      </c>
      <c r="T11" s="132" t="n">
        <v>0.2970172285330364</v>
      </c>
      <c r="U11" s="139" t="n">
        <v>0.1165475560578031</v>
      </c>
      <c r="V11" s="132" t="n">
        <v>0.8561751071300918</v>
      </c>
      <c r="W11" s="139" t="n">
        <v>0.3919009294196094</v>
      </c>
      <c r="X11" s="132" t="n">
        <v>1.52993497409871</v>
      </c>
      <c r="Y11" s="139" t="n">
        <v>0.08253533288279277</v>
      </c>
      <c r="Z11" s="132" t="n">
        <v>1.078275533268055</v>
      </c>
      <c r="AA11" s="139" t="n">
        <v>0.2809108124368906</v>
      </c>
      <c r="AB11" s="132" t="n">
        <v>2.791090651641774</v>
      </c>
      <c r="AC11" s="139" t="n">
        <v>0.1393280347506595</v>
      </c>
      <c r="AD11" s="132" t="n">
        <v>1.154162093505348</v>
      </c>
      <c r="AE11" s="139" t="n">
        <v>0.2484337202094808</v>
      </c>
      <c r="AF11" s="132" t="n"/>
      <c r="AG11" s="139" t="n"/>
      <c r="AH11" s="132" t="n"/>
      <c r="AI11" s="139" t="n"/>
    </row>
    <row r="12">
      <c r="C12" s="126" t="inlineStr">
        <is>
          <t>Energy reported</t>
        </is>
      </c>
      <c r="D12" s="126" t="inlineStr">
        <is>
          <t>audit_clean</t>
        </is>
      </c>
      <c r="E12" s="126" t="inlineStr">
        <is>
          <t>Brent</t>
        </is>
      </c>
      <c r="F12" s="112" t="n">
        <v>39904</v>
      </c>
      <c r="G12" s="112" t="n">
        <v>46204</v>
      </c>
      <c r="H12" s="138" t="n">
        <v>151</v>
      </c>
      <c r="I12" s="139" t="n">
        <v>0.1914512548932338</v>
      </c>
      <c r="J12" s="139" t="n">
        <v>0.1635702636826557</v>
      </c>
      <c r="K12" s="138" t="n">
        <v>2</v>
      </c>
      <c r="L12" s="132" t="n">
        <v>9.4575230414712</v>
      </c>
      <c r="M12" s="139" t="n">
        <v>0.3271311741764125</v>
      </c>
      <c r="N12" s="132" t="n">
        <v>2.256658613092231</v>
      </c>
      <c r="O12" s="139" t="n">
        <v>0.02402941482405629</v>
      </c>
      <c r="P12" s="132" t="n"/>
      <c r="Q12" s="139" t="n"/>
      <c r="R12" s="132" t="n"/>
      <c r="S12" s="139" t="n"/>
      <c r="T12" s="132" t="n">
        <v>0.1652187610674849</v>
      </c>
      <c r="U12" s="139" t="n">
        <v>0.06483072686529817</v>
      </c>
      <c r="V12" s="132" t="n">
        <v>0.5739912973366474</v>
      </c>
      <c r="W12" s="139" t="n">
        <v>0.5659736903683596</v>
      </c>
      <c r="X12" s="132" t="n">
        <v>1.092278443165484</v>
      </c>
      <c r="Y12" s="139" t="n">
        <v>0.05892509579400262</v>
      </c>
      <c r="Z12" s="132" t="n">
        <v>0.7489298246882156</v>
      </c>
      <c r="AA12" s="139" t="n">
        <v>0.4538995030544677</v>
      </c>
      <c r="AB12" s="132" t="n">
        <v>3.196502395747847</v>
      </c>
      <c r="AC12" s="139" t="n">
        <v>0.1595657226730893</v>
      </c>
      <c r="AD12" s="132" t="n">
        <v>1.337373549675896</v>
      </c>
      <c r="AE12" s="139" t="n">
        <v>0.1811007338648367</v>
      </c>
      <c r="AF12" s="132" t="n">
        <v>0.2277794055081088</v>
      </c>
      <c r="AG12" s="139" t="n">
        <v>0.2236953567635344</v>
      </c>
      <c r="AH12" s="132" t="n">
        <v>1.79143435164088</v>
      </c>
      <c r="AI12" s="139" t="n">
        <v>0.0732236205549901</v>
      </c>
    </row>
    <row r="13">
      <c r="C13" s="126" t="inlineStr">
        <is>
          <t>Energy reported</t>
        </is>
      </c>
      <c r="D13" s="126" t="inlineStr">
        <is>
          <t>since_2022_ex_seams</t>
        </is>
      </c>
      <c r="E13" s="126" t="inlineStr">
        <is>
          <t>BCOM</t>
        </is>
      </c>
      <c r="F13" s="112" t="n">
        <v>44562</v>
      </c>
      <c r="G13" s="112" t="n">
        <v>46204</v>
      </c>
      <c r="H13" s="138" t="n">
        <v>52</v>
      </c>
      <c r="I13" s="139" t="n">
        <v>0.2128183458679942</v>
      </c>
      <c r="J13" s="139" t="n">
        <v>0.1272551225927762</v>
      </c>
      <c r="K13" s="138" t="n">
        <v>2</v>
      </c>
      <c r="L13" s="132" t="n">
        <v>2.638584909428929</v>
      </c>
      <c r="M13" s="139" t="n">
        <v>0.04987006136742326</v>
      </c>
      <c r="N13" s="132" t="n">
        <v>0.4447114363087884</v>
      </c>
      <c r="O13" s="139" t="n">
        <v>0.6565283035719476</v>
      </c>
      <c r="P13" s="132" t="n">
        <v>0.8300069437137054</v>
      </c>
      <c r="Q13" s="139" t="n">
        <v>0.4074649636046197</v>
      </c>
      <c r="R13" s="132" t="n">
        <v>1.654171806676161</v>
      </c>
      <c r="S13" s="139" t="n">
        <v>0.09809260950887588</v>
      </c>
      <c r="T13" s="132" t="n">
        <v>0.374349079778691</v>
      </c>
      <c r="U13" s="139" t="n">
        <v>0.1315451781931858</v>
      </c>
      <c r="V13" s="132" t="n">
        <v>0.7391069510483529</v>
      </c>
      <c r="W13" s="139" t="n">
        <v>0.45984205631393</v>
      </c>
      <c r="X13" s="132" t="n">
        <v>1.510510346215088</v>
      </c>
      <c r="Y13" s="139" t="n">
        <v>0.1164716930922101</v>
      </c>
      <c r="Z13" s="132" t="n">
        <v>1.127556748965852</v>
      </c>
      <c r="AA13" s="139" t="n">
        <v>0.2595071613277151</v>
      </c>
      <c r="AB13" s="132" t="n">
        <v>2.3155222479225</v>
      </c>
      <c r="AC13" s="139" t="n">
        <v>0.1381635148568851</v>
      </c>
      <c r="AD13" s="132" t="n">
        <v>0.8734119989266087</v>
      </c>
      <c r="AE13" s="139" t="n">
        <v>0.3824385531757579</v>
      </c>
      <c r="AF13" s="132" t="n"/>
      <c r="AG13" s="139" t="n"/>
      <c r="AH13" s="132" t="n"/>
      <c r="AI13" s="139" t="n"/>
    </row>
    <row r="14">
      <c r="C14" s="126" t="inlineStr">
        <is>
          <t>Energy reported</t>
        </is>
      </c>
      <c r="D14" s="126" t="inlineStr">
        <is>
          <t>since_2022_ex_seams</t>
        </is>
      </c>
      <c r="E14" s="126" t="inlineStr">
        <is>
          <t>Brent</t>
        </is>
      </c>
      <c r="F14" s="112" t="n">
        <v>44562</v>
      </c>
      <c r="G14" s="112" t="n">
        <v>46204</v>
      </c>
      <c r="H14" s="138" t="n">
        <v>52</v>
      </c>
      <c r="I14" s="139" t="n">
        <v>0.3490585743616527</v>
      </c>
      <c r="J14" s="139" t="n">
        <v>0.2783040715748758</v>
      </c>
      <c r="K14" s="138" t="n">
        <v>2</v>
      </c>
      <c r="L14" s="132" t="n">
        <v>0.6205610729161011</v>
      </c>
      <c r="M14" s="139" t="n">
        <v>0.01172879397512272</v>
      </c>
      <c r="N14" s="132" t="n">
        <v>0.1305192500626341</v>
      </c>
      <c r="O14" s="139" t="n">
        <v>0.8961556250654699</v>
      </c>
      <c r="P14" s="132" t="n"/>
      <c r="Q14" s="139" t="n"/>
      <c r="R14" s="132" t="n"/>
      <c r="S14" s="139" t="n"/>
      <c r="T14" s="132" t="n">
        <v>0.1824992668683586</v>
      </c>
      <c r="U14" s="139" t="n">
        <v>0.06412971175063774</v>
      </c>
      <c r="V14" s="132" t="n">
        <v>0.5274164596254265</v>
      </c>
      <c r="W14" s="139" t="n">
        <v>0.5979044158293221</v>
      </c>
      <c r="X14" s="132" t="n">
        <v>1.188815415339139</v>
      </c>
      <c r="Y14" s="139" t="n">
        <v>0.09166659768045779</v>
      </c>
      <c r="Z14" s="132" t="n">
        <v>0.938186132848934</v>
      </c>
      <c r="AA14" s="139" t="n">
        <v>0.3481487635203211</v>
      </c>
      <c r="AB14" s="132" t="n">
        <v>2.399542128620789</v>
      </c>
      <c r="AC14" s="139" t="n">
        <v>0.1431768469661088</v>
      </c>
      <c r="AD14" s="132" t="n">
        <v>1.2865582345497</v>
      </c>
      <c r="AE14" s="139" t="n">
        <v>0.1982483089133689</v>
      </c>
      <c r="AF14" s="132" t="n">
        <v>0.4109014436609413</v>
      </c>
      <c r="AG14" s="139" t="n">
        <v>0.5288755044502611</v>
      </c>
      <c r="AH14" s="132" t="n">
        <v>3.007235421921396</v>
      </c>
      <c r="AI14" s="139" t="n">
        <v>0.002636355058044604</v>
      </c>
    </row>
    <row r="15">
      <c r="C15" s="126" t="inlineStr">
        <is>
          <t>IBOV</t>
        </is>
      </c>
      <c r="D15" s="126" t="inlineStr">
        <is>
          <t>primary</t>
        </is>
      </c>
      <c r="E15" s="126" t="inlineStr">
        <is>
          <t>BCOM</t>
        </is>
      </c>
      <c r="F15" s="112" t="n">
        <v>39904</v>
      </c>
      <c r="G15" s="112" t="n">
        <v>46204</v>
      </c>
      <c r="H15" s="138" t="n">
        <v>184</v>
      </c>
      <c r="I15" s="139" t="n">
        <v>0.4378618651513946</v>
      </c>
      <c r="J15" s="139" t="n">
        <v>0.4220714681050854</v>
      </c>
      <c r="K15" s="138" t="n">
        <v>0</v>
      </c>
      <c r="L15" s="132" t="n">
        <v>6.179005187471408</v>
      </c>
      <c r="M15" s="139" t="n">
        <v>0.430088638781141</v>
      </c>
      <c r="N15" s="132" t="n">
        <v>5.679723558059265</v>
      </c>
      <c r="O15" s="139" t="n">
        <v>1.349126099725595e-08</v>
      </c>
      <c r="P15" s="132" t="n">
        <v>0.638970710509807</v>
      </c>
      <c r="Q15" s="139" t="n">
        <v>0.3819227272079247</v>
      </c>
      <c r="R15" s="132" t="n">
        <v>3.241243806124603</v>
      </c>
      <c r="S15" s="139" t="n">
        <v>0.001190093526896252</v>
      </c>
      <c r="T15" s="132" t="n">
        <v>0.3076128657871893</v>
      </c>
      <c r="U15" s="139" t="n">
        <v>0.1776077502358204</v>
      </c>
      <c r="V15" s="132" t="n">
        <v>1.65850111909678</v>
      </c>
      <c r="W15" s="139" t="n">
        <v>0.09721636183488536</v>
      </c>
      <c r="X15" s="132" t="n">
        <v>3.209394419808668</v>
      </c>
      <c r="Y15" s="139" t="n">
        <v>0.2777823781272307</v>
      </c>
      <c r="Z15" s="132" t="n">
        <v>2.933375000672155</v>
      </c>
      <c r="AA15" s="139" t="n">
        <v>0.00335298638717596</v>
      </c>
      <c r="AB15" s="132" t="n">
        <v>0.7412980849881029</v>
      </c>
      <c r="AC15" s="139" t="n">
        <v>0.06267292448919115</v>
      </c>
      <c r="AD15" s="132" t="n">
        <v>0.9454318453259561</v>
      </c>
      <c r="AE15" s="139" t="n">
        <v>0.3444384505721771</v>
      </c>
      <c r="AF15" s="132" t="n"/>
      <c r="AG15" s="139" t="n"/>
      <c r="AH15" s="132" t="n"/>
      <c r="AI15" s="139" t="n"/>
    </row>
    <row r="16">
      <c r="C16" s="126" t="inlineStr">
        <is>
          <t>IBOV</t>
        </is>
      </c>
      <c r="D16" s="126" t="inlineStr">
        <is>
          <t>primary</t>
        </is>
      </c>
      <c r="E16" s="126" t="inlineStr">
        <is>
          <t>Brent</t>
        </is>
      </c>
      <c r="F16" s="112" t="n">
        <v>39904</v>
      </c>
      <c r="G16" s="112" t="n">
        <v>46204</v>
      </c>
      <c r="H16" s="138" t="n">
        <v>184</v>
      </c>
      <c r="I16" s="139" t="n">
        <v>0.389191477330491</v>
      </c>
      <c r="J16" s="139" t="n">
        <v>0.3720339345588756</v>
      </c>
      <c r="K16" s="138" t="n">
        <v>0</v>
      </c>
      <c r="L16" s="132" t="n">
        <v>6.218562657827185</v>
      </c>
      <c r="M16" s="139" t="n">
        <v>0.4328420299926306</v>
      </c>
      <c r="N16" s="132" t="n">
        <v>4.263604974169302</v>
      </c>
      <c r="O16" s="139" t="n">
        <v>2.011549322111783e-05</v>
      </c>
      <c r="P16" s="132" t="n"/>
      <c r="Q16" s="139" t="n"/>
      <c r="R16" s="132" t="n"/>
      <c r="S16" s="139" t="n"/>
      <c r="T16" s="132" t="n">
        <v>0.04965014407024571</v>
      </c>
      <c r="U16" s="139" t="n">
        <v>0.02866671510840148</v>
      </c>
      <c r="V16" s="132" t="n">
        <v>0.2742323574612052</v>
      </c>
      <c r="W16" s="139" t="n">
        <v>0.7839060632480086</v>
      </c>
      <c r="X16" s="132" t="n">
        <v>3.168842360926816</v>
      </c>
      <c r="Y16" s="139" t="n">
        <v>0.2742724800341109</v>
      </c>
      <c r="Z16" s="132" t="n">
        <v>2.856599370233381</v>
      </c>
      <c r="AA16" s="139" t="n">
        <v>0.004282059435735341</v>
      </c>
      <c r="AB16" s="132" t="n">
        <v>1.673455106033034</v>
      </c>
      <c r="AC16" s="139" t="n">
        <v>0.1414819862891491</v>
      </c>
      <c r="AD16" s="132" t="n">
        <v>1.961569496209354</v>
      </c>
      <c r="AE16" s="139" t="n">
        <v>0.04981262656022722</v>
      </c>
      <c r="AF16" s="132" t="n">
        <v>0.1045396620910504</v>
      </c>
      <c r="AG16" s="139" t="n">
        <v>0.1991433389356649</v>
      </c>
      <c r="AH16" s="132" t="n">
        <v>1.280906264878104</v>
      </c>
      <c r="AI16" s="139" t="n">
        <v>0.2002265920467274</v>
      </c>
    </row>
    <row r="17">
      <c r="C17" s="126" t="inlineStr">
        <is>
          <t>IBOV</t>
        </is>
      </c>
      <c r="D17" s="126" t="inlineStr">
        <is>
          <t>clean</t>
        </is>
      </c>
      <c r="E17" s="126" t="inlineStr">
        <is>
          <t>BCOM</t>
        </is>
      </c>
      <c r="F17" s="112" t="n">
        <v>39904</v>
      </c>
      <c r="G17" s="112" t="n">
        <v>46204</v>
      </c>
      <c r="H17" s="138" t="n">
        <v>160</v>
      </c>
      <c r="I17" s="139" t="n">
        <v>0.2499443572938461</v>
      </c>
      <c r="J17" s="139" t="n">
        <v>0.2255919013618281</v>
      </c>
      <c r="K17" s="138" t="n">
        <v>0</v>
      </c>
      <c r="L17" s="132" t="n">
        <v>4.166800677918155</v>
      </c>
      <c r="M17" s="139" t="n">
        <v>0.2548726497622179</v>
      </c>
      <c r="N17" s="132" t="n">
        <v>3.391146658193793</v>
      </c>
      <c r="O17" s="139" t="n">
        <v>0.0006960084581588699</v>
      </c>
      <c r="P17" s="132" t="n">
        <v>0.6388790310264731</v>
      </c>
      <c r="Q17" s="139" t="n">
        <v>0.4548303882914034</v>
      </c>
      <c r="R17" s="132" t="n">
        <v>3.348884329618049</v>
      </c>
      <c r="S17" s="139" t="n">
        <v>0.0008113766187791693</v>
      </c>
      <c r="T17" s="132" t="n">
        <v>0.327206901919177</v>
      </c>
      <c r="U17" s="139" t="n">
        <v>0.2274804758809506</v>
      </c>
      <c r="V17" s="132" t="n">
        <v>1.704366385052768</v>
      </c>
      <c r="W17" s="139" t="n">
        <v>0.0883126598412991</v>
      </c>
      <c r="X17" s="132" t="n">
        <v>2.145720601704407</v>
      </c>
      <c r="Y17" s="139" t="n">
        <v>0.2151096247554011</v>
      </c>
      <c r="Z17" s="132" t="n">
        <v>1.932201528048823</v>
      </c>
      <c r="AA17" s="139" t="n">
        <v>0.05333463666700466</v>
      </c>
      <c r="AB17" s="132" t="n">
        <v>0.4906674020127901</v>
      </c>
      <c r="AC17" s="139" t="n">
        <v>0.04484376031567555</v>
      </c>
      <c r="AD17" s="132" t="n">
        <v>0.5706505391826517</v>
      </c>
      <c r="AE17" s="139" t="n">
        <v>0.568236552611753</v>
      </c>
      <c r="AF17" s="132" t="n"/>
      <c r="AG17" s="139" t="n"/>
      <c r="AH17" s="132" t="n"/>
      <c r="AI17" s="139" t="n"/>
    </row>
    <row r="18">
      <c r="C18" s="126" t="inlineStr">
        <is>
          <t>IBOV</t>
        </is>
      </c>
      <c r="D18" s="126" t="inlineStr">
        <is>
          <t>clean</t>
        </is>
      </c>
      <c r="E18" s="126" t="inlineStr">
        <is>
          <t>Brent</t>
        </is>
      </c>
      <c r="F18" s="112" t="n">
        <v>39904</v>
      </c>
      <c r="G18" s="112" t="n">
        <v>46204</v>
      </c>
      <c r="H18" s="138" t="n">
        <v>160</v>
      </c>
      <c r="I18" s="139" t="n">
        <v>0.2442804852415661</v>
      </c>
      <c r="J18" s="139" t="n">
        <v>0.2197441373597987</v>
      </c>
      <c r="K18" s="138" t="n">
        <v>0</v>
      </c>
      <c r="L18" s="132" t="n">
        <v>3.711704324360493</v>
      </c>
      <c r="M18" s="139" t="n">
        <v>0.227035557831457</v>
      </c>
      <c r="N18" s="132" t="n">
        <v>2.600211184697022</v>
      </c>
      <c r="O18" s="139" t="n">
        <v>0.00931664059175219</v>
      </c>
      <c r="P18" s="132" t="n"/>
      <c r="Q18" s="139" t="n"/>
      <c r="R18" s="132" t="n"/>
      <c r="S18" s="139" t="n"/>
      <c r="T18" s="132" t="n">
        <v>0.1280143860235026</v>
      </c>
      <c r="U18" s="139" t="n">
        <v>0.08899804154933971</v>
      </c>
      <c r="V18" s="132" t="n">
        <v>0.7077167476521993</v>
      </c>
      <c r="W18" s="139" t="n">
        <v>0.4791211749728137</v>
      </c>
      <c r="X18" s="132" t="n">
        <v>1.787260751404556</v>
      </c>
      <c r="Y18" s="139" t="n">
        <v>0.1791738352464456</v>
      </c>
      <c r="Z18" s="132" t="n">
        <v>1.575680066123725</v>
      </c>
      <c r="AA18" s="139" t="n">
        <v>0.1150995536615773</v>
      </c>
      <c r="AB18" s="132" t="n">
        <v>1.167030482366052</v>
      </c>
      <c r="AC18" s="139" t="n">
        <v>0.1066588793501028</v>
      </c>
      <c r="AD18" s="132" t="n">
        <v>1.273489618047593</v>
      </c>
      <c r="AE18" s="139" t="n">
        <v>0.2028443542938492</v>
      </c>
      <c r="AF18" s="132" t="n">
        <v>0.2148502519203195</v>
      </c>
      <c r="AG18" s="139" t="n">
        <v>0.377147866929134</v>
      </c>
      <c r="AH18" s="132" t="n">
        <v>2.785514845792775</v>
      </c>
      <c r="AI18" s="139" t="n">
        <v>0.005344279269200891</v>
      </c>
    </row>
    <row r="19">
      <c r="C19" s="126" t="inlineStr">
        <is>
          <t>IBOV</t>
        </is>
      </c>
      <c r="D19" s="126" t="inlineStr">
        <is>
          <t>audit_clean</t>
        </is>
      </c>
      <c r="E19" s="126" t="inlineStr">
        <is>
          <t>BCOM</t>
        </is>
      </c>
      <c r="F19" s="112" t="n">
        <v>39904</v>
      </c>
      <c r="G19" s="112" t="n">
        <v>46204</v>
      </c>
      <c r="H19" s="138" t="n">
        <v>151</v>
      </c>
      <c r="I19" s="139" t="n">
        <v>0.2947933990467133</v>
      </c>
      <c r="J19" s="139" t="n">
        <v>0.2704759300483242</v>
      </c>
      <c r="K19" s="138" t="n">
        <v>0</v>
      </c>
      <c r="L19" s="132" t="n">
        <v>4.442488062949742</v>
      </c>
      <c r="M19" s="139" t="n">
        <v>0.2777487624893034</v>
      </c>
      <c r="N19" s="132" t="n">
        <v>3.391520682662669</v>
      </c>
      <c r="O19" s="139" t="n">
        <v>0.0006950591692611585</v>
      </c>
      <c r="P19" s="132" t="n">
        <v>0.6450459278625379</v>
      </c>
      <c r="Q19" s="139" t="n">
        <v>0.4614505570088147</v>
      </c>
      <c r="R19" s="132" t="n">
        <v>3.107269104957294</v>
      </c>
      <c r="S19" s="139" t="n">
        <v>0.001888244256440075</v>
      </c>
      <c r="T19" s="132" t="n">
        <v>0.3559614878121167</v>
      </c>
      <c r="U19" s="139" t="n">
        <v>0.2524677337366034</v>
      </c>
      <c r="V19" s="132" t="n">
        <v>1.801417985649249</v>
      </c>
      <c r="W19" s="139" t="n">
        <v>0.071637023413615</v>
      </c>
      <c r="X19" s="132" t="n">
        <v>2.764702519831991</v>
      </c>
      <c r="Y19" s="139" t="n">
        <v>0.2695855944701918</v>
      </c>
      <c r="Z19" s="132" t="n">
        <v>3.254091526615604</v>
      </c>
      <c r="AA19" s="139" t="n">
        <v>0.001137556228938408</v>
      </c>
      <c r="AB19" s="132" t="n">
        <v>0.9363982293652462</v>
      </c>
      <c r="AC19" s="139" t="n">
        <v>0.08449022987147772</v>
      </c>
      <c r="AD19" s="132" t="n">
        <v>1.278975393851093</v>
      </c>
      <c r="AE19" s="139" t="n">
        <v>0.2009057209637393</v>
      </c>
      <c r="AF19" s="132" t="n"/>
      <c r="AG19" s="139" t="n"/>
      <c r="AH19" s="132" t="n"/>
      <c r="AI19" s="139" t="n"/>
    </row>
    <row r="20">
      <c r="C20" s="126" t="inlineStr">
        <is>
          <t>IBOV</t>
        </is>
      </c>
      <c r="D20" s="126" t="inlineStr">
        <is>
          <t>audit_clean</t>
        </is>
      </c>
      <c r="E20" s="126" t="inlineStr">
        <is>
          <t>Brent</t>
        </is>
      </c>
      <c r="F20" s="112" t="n">
        <v>39904</v>
      </c>
      <c r="G20" s="112" t="n">
        <v>46204</v>
      </c>
      <c r="H20" s="138" t="n">
        <v>151</v>
      </c>
      <c r="I20" s="139" t="n">
        <v>0.2744836756734312</v>
      </c>
      <c r="J20" s="139" t="n">
        <v>0.2494658713863082</v>
      </c>
      <c r="K20" s="138" t="n">
        <v>0</v>
      </c>
      <c r="L20" s="132" t="n">
        <v>3.98806552116015</v>
      </c>
      <c r="M20" s="139" t="n">
        <v>0.2493378142006785</v>
      </c>
      <c r="N20" s="132" t="n">
        <v>2.656747131314544</v>
      </c>
      <c r="O20" s="139" t="n">
        <v>0.007889859887902251</v>
      </c>
      <c r="P20" s="132" t="n"/>
      <c r="Q20" s="139" t="n"/>
      <c r="R20" s="132" t="n"/>
      <c r="S20" s="139" t="n"/>
      <c r="T20" s="132" t="n">
        <v>0.1347188238680839</v>
      </c>
      <c r="U20" s="139" t="n">
        <v>0.09555010111539869</v>
      </c>
      <c r="V20" s="132" t="n">
        <v>0.7412931567019528</v>
      </c>
      <c r="W20" s="139" t="n">
        <v>0.4585157100917843</v>
      </c>
      <c r="X20" s="132" t="n">
        <v>2.348658825107024</v>
      </c>
      <c r="Y20" s="139" t="n">
        <v>0.2290172562987414</v>
      </c>
      <c r="Z20" s="132" t="n">
        <v>2.551537852069708</v>
      </c>
      <c r="AA20" s="139" t="n">
        <v>0.01072486735492095</v>
      </c>
      <c r="AB20" s="132" t="n">
        <v>1.590310241327549</v>
      </c>
      <c r="AC20" s="139" t="n">
        <v>0.1434920246995898</v>
      </c>
      <c r="AD20" s="132" t="n">
        <v>2.001509944998401</v>
      </c>
      <c r="AE20" s="139" t="n">
        <v>0.04533746312251608</v>
      </c>
      <c r="AF20" s="132" t="n">
        <v>0.2000968464774471</v>
      </c>
      <c r="AG20" s="139" t="n">
        <v>0.3551927538381441</v>
      </c>
      <c r="AH20" s="132" t="n">
        <v>2.436168280985355</v>
      </c>
      <c r="AI20" s="139" t="n">
        <v>0.01484377714426266</v>
      </c>
    </row>
    <row r="21">
      <c r="C21" s="126" t="inlineStr">
        <is>
          <t>IBOV</t>
        </is>
      </c>
      <c r="D21" s="126" t="inlineStr">
        <is>
          <t>since_2022_ex_seams</t>
        </is>
      </c>
      <c r="E21" s="126" t="inlineStr">
        <is>
          <t>BCOM</t>
        </is>
      </c>
      <c r="F21" s="112" t="n">
        <v>44562</v>
      </c>
      <c r="G21" s="112" t="n">
        <v>46204</v>
      </c>
      <c r="H21" s="138" t="n">
        <v>52</v>
      </c>
      <c r="I21" s="139" t="n">
        <v>0.5628461890453108</v>
      </c>
      <c r="J21" s="139" t="n">
        <v>0.5153294704632794</v>
      </c>
      <c r="K21" s="138" t="n">
        <v>0</v>
      </c>
      <c r="L21" s="132" t="n">
        <v>-0.2537486584143023</v>
      </c>
      <c r="M21" s="139" t="n">
        <v>-0.006695245399023109</v>
      </c>
      <c r="N21" s="132" t="n">
        <v>-0.06716788430550454</v>
      </c>
      <c r="O21" s="139" t="n">
        <v>0.9464480519775598</v>
      </c>
      <c r="P21" s="132" t="n">
        <v>1.160931030616655</v>
      </c>
      <c r="Q21" s="139" t="n">
        <v>0.795625844399258</v>
      </c>
      <c r="R21" s="132" t="n">
        <v>3.886685190838934</v>
      </c>
      <c r="S21" s="139" t="n">
        <v>0.0001016224055567783</v>
      </c>
      <c r="T21" s="132" t="n">
        <v>0.7592700695540957</v>
      </c>
      <c r="U21" s="139" t="n">
        <v>0.3724674799682015</v>
      </c>
      <c r="V21" s="132" t="n">
        <v>2.56467717666676</v>
      </c>
      <c r="W21" s="139" t="n">
        <v>0.01032718388428089</v>
      </c>
      <c r="X21" s="132" t="n">
        <v>2.357031476751824</v>
      </c>
      <c r="Y21" s="139" t="n">
        <v>0.2537207480878076</v>
      </c>
      <c r="Z21" s="132" t="n">
        <v>2.016973541113618</v>
      </c>
      <c r="AA21" s="139" t="n">
        <v>0.04369827456223874</v>
      </c>
      <c r="AB21" s="132" t="n">
        <v>-0.04140822536288954</v>
      </c>
      <c r="AC21" s="139" t="n">
        <v>-0.003449252198990837</v>
      </c>
      <c r="AD21" s="132" t="n">
        <v>-0.02791987409431512</v>
      </c>
      <c r="AE21" s="139" t="n">
        <v>0.9777260573864586</v>
      </c>
      <c r="AF21" s="132" t="n"/>
      <c r="AG21" s="139" t="n"/>
      <c r="AH21" s="132" t="n"/>
      <c r="AI21" s="139" t="n"/>
    </row>
    <row r="22">
      <c r="C22" s="126" t="inlineStr">
        <is>
          <t>IBOV</t>
        </is>
      </c>
      <c r="D22" s="126" t="inlineStr">
        <is>
          <t>since_2022_ex_seams</t>
        </is>
      </c>
      <c r="E22" s="126" t="inlineStr">
        <is>
          <t>Brent</t>
        </is>
      </c>
      <c r="F22" s="112" t="n">
        <v>44562</v>
      </c>
      <c r="G22" s="112" t="n">
        <v>46204</v>
      </c>
      <c r="H22" s="138" t="n">
        <v>52</v>
      </c>
      <c r="I22" s="139" t="n">
        <v>0.650529124480552</v>
      </c>
      <c r="J22" s="139" t="n">
        <v>0.6125431597501771</v>
      </c>
      <c r="K22" s="138" t="n">
        <v>0</v>
      </c>
      <c r="L22" s="132" t="n">
        <v>-1.782137659035056</v>
      </c>
      <c r="M22" s="139" t="n">
        <v>-0.04702231348391378</v>
      </c>
      <c r="N22" s="132" t="n">
        <v>-0.43250513115455</v>
      </c>
      <c r="O22" s="139" t="n">
        <v>0.6653743236967153</v>
      </c>
      <c r="P22" s="132" t="n"/>
      <c r="Q22" s="139" t="n"/>
      <c r="R22" s="132" t="n"/>
      <c r="S22" s="139" t="n"/>
      <c r="T22" s="132" t="n">
        <v>0.2161467899249644</v>
      </c>
      <c r="U22" s="139" t="n">
        <v>0.106032956354842</v>
      </c>
      <c r="V22" s="132" t="n">
        <v>0.9254444366668482</v>
      </c>
      <c r="W22" s="139" t="n">
        <v>0.3547347733300596</v>
      </c>
      <c r="X22" s="132" t="n">
        <v>2.15619622760369</v>
      </c>
      <c r="Y22" s="139" t="n">
        <v>0.2321020000316777</v>
      </c>
      <c r="Z22" s="132" t="n">
        <v>2.039849943665772</v>
      </c>
      <c r="AA22" s="139" t="n">
        <v>0.04136527365707843</v>
      </c>
      <c r="AB22" s="132" t="n">
        <v>1.248173069706432</v>
      </c>
      <c r="AC22" s="139" t="n">
        <v>0.1039712199128495</v>
      </c>
      <c r="AD22" s="132" t="n">
        <v>1.10030473498266</v>
      </c>
      <c r="AE22" s="139" t="n">
        <v>0.2711993697870985</v>
      </c>
      <c r="AF22" s="132" t="n">
        <v>0.4008841903475395</v>
      </c>
      <c r="AG22" s="139" t="n">
        <v>0.7203252379868055</v>
      </c>
      <c r="AH22" s="132" t="n">
        <v>5.827589434030954</v>
      </c>
      <c r="AI22" s="139" t="n">
        <v>5.623371546192857e-09</v>
      </c>
    </row>
    <row r="23">
      <c r="C23" s="126" t="inlineStr">
        <is>
          <t>Petrobras</t>
        </is>
      </c>
      <c r="D23" s="126" t="inlineStr">
        <is>
          <t>primary</t>
        </is>
      </c>
      <c r="E23" s="126" t="inlineStr">
        <is>
          <t>BCOM</t>
        </is>
      </c>
      <c r="F23" s="112" t="n">
        <v>39904</v>
      </c>
      <c r="G23" s="112" t="n">
        <v>46204</v>
      </c>
      <c r="H23" s="138" t="n">
        <v>182</v>
      </c>
      <c r="I23" s="139" t="n">
        <v>0.5080438903664803</v>
      </c>
      <c r="J23" s="139" t="n">
        <v>0.494067864524619</v>
      </c>
      <c r="K23" s="138" t="n">
        <v>2</v>
      </c>
      <c r="L23" s="132" t="n">
        <v>28.7719481166746</v>
      </c>
      <c r="M23" s="139" t="n">
        <v>0.6319146199690786</v>
      </c>
      <c r="N23" s="132" t="n">
        <v>2.952200544196299</v>
      </c>
      <c r="O23" s="139" t="n">
        <v>0.003155179399884744</v>
      </c>
      <c r="P23" s="132" t="n">
        <v>0.61159828298244</v>
      </c>
      <c r="Q23" s="139" t="n">
        <v>0.1191272449059843</v>
      </c>
      <c r="R23" s="132" t="n">
        <v>1.531497492001376</v>
      </c>
      <c r="S23" s="139" t="n">
        <v>0.1256464857972612</v>
      </c>
      <c r="T23" s="132" t="n">
        <v>0.3561336535292874</v>
      </c>
      <c r="U23" s="139" t="n">
        <v>0.06718014060289465</v>
      </c>
      <c r="V23" s="132" t="n">
        <v>0.705769123412053</v>
      </c>
      <c r="W23" s="139" t="n">
        <v>0.4803317265094975</v>
      </c>
      <c r="X23" s="132" t="n">
        <v>6.895847613423711</v>
      </c>
      <c r="Y23" s="139" t="n">
        <v>0.1932567797546617</v>
      </c>
      <c r="Z23" s="132" t="n">
        <v>1.729112804014622</v>
      </c>
      <c r="AA23" s="139" t="n">
        <v>0.08378890800377237</v>
      </c>
      <c r="AB23" s="132" t="n">
        <v>7.172876925637736</v>
      </c>
      <c r="AC23" s="139" t="n">
        <v>0.1978708667657854</v>
      </c>
      <c r="AD23" s="132" t="n">
        <v>1.726961826630993</v>
      </c>
      <c r="AE23" s="139" t="n">
        <v>0.08417451941800458</v>
      </c>
      <c r="AF23" s="132" t="n"/>
      <c r="AG23" s="139" t="n"/>
      <c r="AH23" s="132" t="n"/>
      <c r="AI23" s="139" t="n"/>
    </row>
    <row r="24">
      <c r="C24" s="126" t="inlineStr">
        <is>
          <t>Petrobras</t>
        </is>
      </c>
      <c r="D24" s="126" t="inlineStr">
        <is>
          <t>primary</t>
        </is>
      </c>
      <c r="E24" s="126" t="inlineStr">
        <is>
          <t>Brent</t>
        </is>
      </c>
      <c r="F24" s="112" t="n">
        <v>39904</v>
      </c>
      <c r="G24" s="112" t="n">
        <v>46204</v>
      </c>
      <c r="H24" s="138" t="n">
        <v>182</v>
      </c>
      <c r="I24" s="139" t="n">
        <v>0.5026459369384499</v>
      </c>
      <c r="J24" s="139" t="n">
        <v>0.4885165601469287</v>
      </c>
      <c r="K24" s="138" t="n">
        <v>2</v>
      </c>
      <c r="L24" s="132" t="n">
        <v>28.64070111278911</v>
      </c>
      <c r="M24" s="139" t="n">
        <v>0.6290320587936562</v>
      </c>
      <c r="N24" s="132" t="n">
        <v>2.603655736709241</v>
      </c>
      <c r="O24" s="139" t="n">
        <v>0.009223535230559188</v>
      </c>
      <c r="P24" s="132" t="n"/>
      <c r="Q24" s="139" t="n"/>
      <c r="R24" s="132" t="n"/>
      <c r="S24" s="139" t="n"/>
      <c r="T24" s="132" t="n">
        <v>0.09184447954125829</v>
      </c>
      <c r="U24" s="139" t="n">
        <v>0.01732530747385342</v>
      </c>
      <c r="V24" s="132" t="n">
        <v>0.2278920040746653</v>
      </c>
      <c r="W24" s="139" t="n">
        <v>0.8197301990073111</v>
      </c>
      <c r="X24" s="132" t="n">
        <v>6.786300384391505</v>
      </c>
      <c r="Y24" s="139" t="n">
        <v>0.1901867083289829</v>
      </c>
      <c r="Z24" s="132" t="n">
        <v>1.717522159974241</v>
      </c>
      <c r="AA24" s="139" t="n">
        <v>0.0858838090650369</v>
      </c>
      <c r="AB24" s="132" t="n">
        <v>8.096388467268769</v>
      </c>
      <c r="AC24" s="139" t="n">
        <v>0.2233468412046599</v>
      </c>
      <c r="AD24" s="132" t="n">
        <v>1.892782945557936</v>
      </c>
      <c r="AE24" s="139" t="n">
        <v>0.05838674047148507</v>
      </c>
      <c r="AF24" s="132" t="n">
        <v>0.09323032178816604</v>
      </c>
      <c r="AG24" s="139" t="n">
        <v>0.05541942761789384</v>
      </c>
      <c r="AH24" s="132" t="n">
        <v>0.3867399950892519</v>
      </c>
      <c r="AI24" s="139" t="n">
        <v>0.6989487038740427</v>
      </c>
    </row>
    <row r="25">
      <c r="C25" s="126" t="inlineStr">
        <is>
          <t>Petrobras</t>
        </is>
      </c>
      <c r="D25" s="126" t="inlineStr">
        <is>
          <t>clean</t>
        </is>
      </c>
      <c r="E25" s="126" t="inlineStr">
        <is>
          <t>BCOM</t>
        </is>
      </c>
      <c r="F25" s="112" t="n">
        <v>39904</v>
      </c>
      <c r="G25" s="112" t="n">
        <v>46204</v>
      </c>
      <c r="H25" s="138" t="n">
        <v>160</v>
      </c>
      <c r="I25" s="139" t="n">
        <v>0.176828935945924</v>
      </c>
      <c r="J25" s="139" t="n">
        <v>0.150102602697415</v>
      </c>
      <c r="K25" s="138" t="n">
        <v>2</v>
      </c>
      <c r="L25" s="132" t="n">
        <v>10.24623882081234</v>
      </c>
      <c r="M25" s="139" t="n">
        <v>0.3534708021865621</v>
      </c>
      <c r="N25" s="132" t="n">
        <v>2.573478645604782</v>
      </c>
      <c r="O25" s="139" t="n">
        <v>0.01006818597803649</v>
      </c>
      <c r="P25" s="132" t="n">
        <v>0.5328638274537179</v>
      </c>
      <c r="Q25" s="139" t="n">
        <v>0.2139516510653421</v>
      </c>
      <c r="R25" s="132" t="n">
        <v>1.81246315503928</v>
      </c>
      <c r="S25" s="139" t="n">
        <v>0.06991466207343078</v>
      </c>
      <c r="T25" s="132" t="n">
        <v>0.2338554290666091</v>
      </c>
      <c r="U25" s="139" t="n">
        <v>0.09169331883624823</v>
      </c>
      <c r="V25" s="132" t="n">
        <v>0.6896144756146789</v>
      </c>
      <c r="W25" s="139" t="n">
        <v>0.4904366617343121</v>
      </c>
      <c r="X25" s="132" t="n">
        <v>1.167104752776952</v>
      </c>
      <c r="Y25" s="139" t="n">
        <v>0.06598801623990022</v>
      </c>
      <c r="Z25" s="132" t="n">
        <v>0.6932013191197781</v>
      </c>
      <c r="AA25" s="139" t="n">
        <v>0.4881832204746697</v>
      </c>
      <c r="AB25" s="132" t="n">
        <v>2.29089248892245</v>
      </c>
      <c r="AC25" s="139" t="n">
        <v>0.1180831930218797</v>
      </c>
      <c r="AD25" s="132" t="n">
        <v>0.8884235482162356</v>
      </c>
      <c r="AE25" s="139" t="n">
        <v>0.3743129631849966</v>
      </c>
      <c r="AF25" s="132" t="n"/>
      <c r="AG25" s="139" t="n"/>
      <c r="AH25" s="132" t="n"/>
      <c r="AI25" s="139" t="n"/>
    </row>
    <row r="26">
      <c r="C26" s="126" t="inlineStr">
        <is>
          <t>Petrobras</t>
        </is>
      </c>
      <c r="D26" s="126" t="inlineStr">
        <is>
          <t>clean</t>
        </is>
      </c>
      <c r="E26" s="126" t="inlineStr">
        <is>
          <t>Brent</t>
        </is>
      </c>
      <c r="F26" s="112" t="n">
        <v>39904</v>
      </c>
      <c r="G26" s="112" t="n">
        <v>46204</v>
      </c>
      <c r="H26" s="138" t="n">
        <v>160</v>
      </c>
      <c r="I26" s="139" t="n">
        <v>0.2015946735846492</v>
      </c>
      <c r="J26" s="139" t="n">
        <v>0.175672422727008</v>
      </c>
      <c r="K26" s="138" t="n">
        <v>2</v>
      </c>
      <c r="L26" s="132" t="n">
        <v>9.721593475395217</v>
      </c>
      <c r="M26" s="139" t="n">
        <v>0.3353717890412353</v>
      </c>
      <c r="N26" s="132" t="n">
        <v>2.463116566964762</v>
      </c>
      <c r="O26" s="139" t="n">
        <v>0.01377351282450046</v>
      </c>
      <c r="P26" s="132" t="n"/>
      <c r="Q26" s="139" t="n"/>
      <c r="R26" s="132" t="n"/>
      <c r="S26" s="139" t="n"/>
      <c r="T26" s="132" t="n">
        <v>0.1462590600289206</v>
      </c>
      <c r="U26" s="139" t="n">
        <v>0.05734730503135661</v>
      </c>
      <c r="V26" s="132" t="n">
        <v>0.4951852161434507</v>
      </c>
      <c r="W26" s="139" t="n">
        <v>0.6204693853241874</v>
      </c>
      <c r="X26" s="132" t="n">
        <v>0.7549123131842235</v>
      </c>
      <c r="Y26" s="139" t="n">
        <v>0.04268268624866205</v>
      </c>
      <c r="Z26" s="132" t="n">
        <v>0.4562481539135715</v>
      </c>
      <c r="AA26" s="139" t="n">
        <v>0.6482115416376855</v>
      </c>
      <c r="AB26" s="132" t="n">
        <v>2.652623665862134</v>
      </c>
      <c r="AC26" s="139" t="n">
        <v>0.1367284906930469</v>
      </c>
      <c r="AD26" s="132" t="n">
        <v>1.058261049078813</v>
      </c>
      <c r="AE26" s="139" t="n">
        <v>0.28993644555884</v>
      </c>
      <c r="AF26" s="132" t="n">
        <v>0.2543641960278507</v>
      </c>
      <c r="AG26" s="139" t="n">
        <v>0.2518258638495383</v>
      </c>
      <c r="AH26" s="132" t="n">
        <v>2.238362960623611</v>
      </c>
      <c r="AI26" s="139" t="n">
        <v>0.02519739538678945</v>
      </c>
    </row>
    <row r="27">
      <c r="C27" s="126" t="inlineStr">
        <is>
          <t>Petrobras</t>
        </is>
      </c>
      <c r="D27" s="126" t="inlineStr">
        <is>
          <t>audit_clean</t>
        </is>
      </c>
      <c r="E27" s="126" t="inlineStr">
        <is>
          <t>BCOM</t>
        </is>
      </c>
      <c r="F27" s="112" t="n">
        <v>39904</v>
      </c>
      <c r="G27" s="112" t="n">
        <v>46204</v>
      </c>
      <c r="H27" s="138" t="n">
        <v>151</v>
      </c>
      <c r="I27" s="139" t="n">
        <v>0.1953185021947957</v>
      </c>
      <c r="J27" s="139" t="n">
        <v>0.1675708643394439</v>
      </c>
      <c r="K27" s="138" t="n">
        <v>2</v>
      </c>
      <c r="L27" s="132" t="n">
        <v>10.15679402374485</v>
      </c>
      <c r="M27" s="139" t="n">
        <v>0.3577961263526956</v>
      </c>
      <c r="N27" s="132" t="n">
        <v>2.448123142999315</v>
      </c>
      <c r="O27" s="139" t="n">
        <v>0.01436025664765062</v>
      </c>
      <c r="P27" s="132" t="n">
        <v>0.483159351174689</v>
      </c>
      <c r="Q27" s="139" t="n">
        <v>0.1947502626928164</v>
      </c>
      <c r="R27" s="132" t="n">
        <v>1.499703007046294</v>
      </c>
      <c r="S27" s="139" t="n">
        <v>0.1336913513018305</v>
      </c>
      <c r="T27" s="132" t="n">
        <v>0.19419585689527</v>
      </c>
      <c r="U27" s="139" t="n">
        <v>0.07760611706998807</v>
      </c>
      <c r="V27" s="132" t="n">
        <v>0.5654075636205024</v>
      </c>
      <c r="W27" s="139" t="n">
        <v>0.5717965811545365</v>
      </c>
      <c r="X27" s="132" t="n">
        <v>1.708200870956195</v>
      </c>
      <c r="Y27" s="139" t="n">
        <v>0.09385130985467929</v>
      </c>
      <c r="Z27" s="132" t="n">
        <v>1.148062315275708</v>
      </c>
      <c r="AA27" s="139" t="n">
        <v>0.2509428397538407</v>
      </c>
      <c r="AB27" s="132" t="n">
        <v>3.275588639275233</v>
      </c>
      <c r="AC27" s="139" t="n">
        <v>0.166528430976221</v>
      </c>
      <c r="AD27" s="132" t="n">
        <v>1.259204369883538</v>
      </c>
      <c r="AE27" s="139" t="n">
        <v>0.2079565235862257</v>
      </c>
      <c r="AF27" s="132" t="n"/>
      <c r="AG27" s="139" t="n"/>
      <c r="AH27" s="132" t="n"/>
      <c r="AI27" s="139" t="n"/>
    </row>
    <row r="28">
      <c r="C28" s="126" t="inlineStr">
        <is>
          <t>Petrobras</t>
        </is>
      </c>
      <c r="D28" s="126" t="inlineStr">
        <is>
          <t>audit_clean</t>
        </is>
      </c>
      <c r="E28" s="126" t="inlineStr">
        <is>
          <t>Brent</t>
        </is>
      </c>
      <c r="F28" s="112" t="n">
        <v>39904</v>
      </c>
      <c r="G28" s="112" t="n">
        <v>46204</v>
      </c>
      <c r="H28" s="138" t="n">
        <v>151</v>
      </c>
      <c r="I28" s="139" t="n">
        <v>0.2161191638951493</v>
      </c>
      <c r="J28" s="139" t="n">
        <v>0.1890887902363614</v>
      </c>
      <c r="K28" s="138" t="n">
        <v>2</v>
      </c>
      <c r="L28" s="132" t="n">
        <v>9.631872961534452</v>
      </c>
      <c r="M28" s="139" t="n">
        <v>0.3393045903167444</v>
      </c>
      <c r="N28" s="132" t="n">
        <v>2.327076676787764</v>
      </c>
      <c r="O28" s="139" t="n">
        <v>0.01996118460859009</v>
      </c>
      <c r="P28" s="132" t="n"/>
      <c r="Q28" s="139" t="n"/>
      <c r="R28" s="132" t="n"/>
      <c r="S28" s="139" t="n"/>
      <c r="T28" s="132" t="n">
        <v>0.1084596963417539</v>
      </c>
      <c r="U28" s="139" t="n">
        <v>0.04334354000256899</v>
      </c>
      <c r="V28" s="132" t="n">
        <v>0.367508159978973</v>
      </c>
      <c r="W28" s="139" t="n">
        <v>0.7132400062662909</v>
      </c>
      <c r="X28" s="132" t="n">
        <v>1.282370519936148</v>
      </c>
      <c r="Y28" s="139" t="n">
        <v>0.07045550383525126</v>
      </c>
      <c r="Z28" s="132" t="n">
        <v>0.8502617871729142</v>
      </c>
      <c r="AA28" s="139" t="n">
        <v>0.3951795566842948</v>
      </c>
      <c r="AB28" s="132" t="n">
        <v>3.551108150399324</v>
      </c>
      <c r="AC28" s="139" t="n">
        <v>0.1805356330225022</v>
      </c>
      <c r="AD28" s="132" t="n">
        <v>1.391574424197185</v>
      </c>
      <c r="AE28" s="139" t="n">
        <v>0.16405130813928</v>
      </c>
      <c r="AF28" s="132" t="n">
        <v>0.2289036893036247</v>
      </c>
      <c r="AG28" s="139" t="n">
        <v>0.2289442663454955</v>
      </c>
      <c r="AH28" s="132" t="n">
        <v>1.891042515976363</v>
      </c>
      <c r="AI28" s="139" t="n">
        <v>0.05861866901686574</v>
      </c>
    </row>
    <row r="29">
      <c r="C29" s="126" t="inlineStr">
        <is>
          <t>Petrobras</t>
        </is>
      </c>
      <c r="D29" s="126" t="inlineStr">
        <is>
          <t>since_2022_ex_seams</t>
        </is>
      </c>
      <c r="E29" s="126" t="inlineStr">
        <is>
          <t>BCOM</t>
        </is>
      </c>
      <c r="F29" s="112" t="n">
        <v>44562</v>
      </c>
      <c r="G29" s="112" t="n">
        <v>46204</v>
      </c>
      <c r="H29" s="138" t="n">
        <v>52</v>
      </c>
      <c r="I29" s="139" t="n">
        <v>0.2206106035812642</v>
      </c>
      <c r="J29" s="139" t="n">
        <v>0.1358943648400972</v>
      </c>
      <c r="K29" s="138" t="n">
        <v>2</v>
      </c>
      <c r="L29" s="132" t="n">
        <v>2.433598029351335</v>
      </c>
      <c r="M29" s="139" t="n">
        <v>0.04666092128807881</v>
      </c>
      <c r="N29" s="132" t="n">
        <v>0.4148244134247434</v>
      </c>
      <c r="O29" s="139" t="n">
        <v>0.6782704462940488</v>
      </c>
      <c r="P29" s="132" t="n">
        <v>0.8165530792991125</v>
      </c>
      <c r="Q29" s="139" t="n">
        <v>0.4066573278887681</v>
      </c>
      <c r="R29" s="132" t="n">
        <v>1.786295397670344</v>
      </c>
      <c r="S29" s="139" t="n">
        <v>0.07405144170477285</v>
      </c>
      <c r="T29" s="132" t="n">
        <v>0.2565401374132836</v>
      </c>
      <c r="U29" s="139" t="n">
        <v>0.09145113981644719</v>
      </c>
      <c r="V29" s="132" t="n">
        <v>0.5346624412535961</v>
      </c>
      <c r="W29" s="139" t="n">
        <v>0.592883297494901</v>
      </c>
      <c r="X29" s="132" t="n">
        <v>0.987801163657527</v>
      </c>
      <c r="Y29" s="139" t="n">
        <v>0.07726838832901012</v>
      </c>
      <c r="Z29" s="132" t="n">
        <v>0.7104040358880033</v>
      </c>
      <c r="AA29" s="139" t="n">
        <v>0.4774536211555298</v>
      </c>
      <c r="AB29" s="132" t="n">
        <v>2.865114121925999</v>
      </c>
      <c r="AC29" s="139" t="n">
        <v>0.1734291023507381</v>
      </c>
      <c r="AD29" s="132" t="n">
        <v>1.014309583053081</v>
      </c>
      <c r="AE29" s="139" t="n">
        <v>0.3104350527529216</v>
      </c>
      <c r="AF29" s="132" t="n"/>
      <c r="AG29" s="139" t="n"/>
      <c r="AH29" s="132" t="n"/>
      <c r="AI29" s="139" t="n"/>
    </row>
    <row r="30">
      <c r="C30" s="126" t="inlineStr">
        <is>
          <t>Petrobras</t>
        </is>
      </c>
      <c r="D30" s="126" t="inlineStr">
        <is>
          <t>since_2022_ex_seams</t>
        </is>
      </c>
      <c r="E30" s="126" t="inlineStr">
        <is>
          <t>Brent</t>
        </is>
      </c>
      <c r="F30" s="112" t="n">
        <v>44562</v>
      </c>
      <c r="G30" s="112" t="n">
        <v>46204</v>
      </c>
      <c r="H30" s="138" t="n">
        <v>52</v>
      </c>
      <c r="I30" s="139" t="n">
        <v>0.3530668149562336</v>
      </c>
      <c r="J30" s="139" t="n">
        <v>0.2827479904949546</v>
      </c>
      <c r="K30" s="138" t="n">
        <v>2</v>
      </c>
      <c r="L30" s="132" t="n">
        <v>0.4705919768842717</v>
      </c>
      <c r="M30" s="139" t="n">
        <v>0.009022958979815698</v>
      </c>
      <c r="N30" s="132" t="n">
        <v>0.1015216426572638</v>
      </c>
      <c r="O30" s="139" t="n">
        <v>0.9191363779593569</v>
      </c>
      <c r="P30" s="132" t="n"/>
      <c r="Q30" s="139" t="n"/>
      <c r="R30" s="132" t="n"/>
      <c r="S30" s="139" t="n"/>
      <c r="T30" s="132" t="n">
        <v>0.06306397983533435</v>
      </c>
      <c r="U30" s="139" t="n">
        <v>0.0224809766434787</v>
      </c>
      <c r="V30" s="132" t="n">
        <v>0.1961400330509451</v>
      </c>
      <c r="W30" s="139" t="n">
        <v>0.8445005629257865</v>
      </c>
      <c r="X30" s="132" t="n">
        <v>0.6756144710402225</v>
      </c>
      <c r="Y30" s="139" t="n">
        <v>0.05284832943073255</v>
      </c>
      <c r="Z30" s="132" t="n">
        <v>0.495215217812252</v>
      </c>
      <c r="AA30" s="139" t="n">
        <v>0.6204482097146315</v>
      </c>
      <c r="AB30" s="132" t="n">
        <v>2.967973536772253</v>
      </c>
      <c r="AC30" s="139" t="n">
        <v>0.1796553171631226</v>
      </c>
      <c r="AD30" s="132" t="n">
        <v>1.509736280723473</v>
      </c>
      <c r="AE30" s="139" t="n">
        <v>0.1311107297440879</v>
      </c>
      <c r="AF30" s="132" t="n">
        <v>0.4012446648632843</v>
      </c>
      <c r="AG30" s="139" t="n">
        <v>0.5239148306409275</v>
      </c>
      <c r="AH30" s="132" t="n">
        <v>3.225112766957067</v>
      </c>
      <c r="AI30" s="139" t="n">
        <v>0.001259230580337611</v>
      </c>
    </row>
    <row r="31">
      <c r="C31" s="126" t="inlineStr">
        <is>
          <t>Ex-Petrobras dynamic</t>
        </is>
      </c>
      <c r="D31" s="126" t="inlineStr">
        <is>
          <t>primary</t>
        </is>
      </c>
      <c r="E31" s="126" t="inlineStr">
        <is>
          <t>BCOM</t>
        </is>
      </c>
      <c r="F31" s="112" t="n">
        <v>40269</v>
      </c>
      <c r="G31" s="112" t="n">
        <v>46204</v>
      </c>
      <c r="H31" s="138" t="n">
        <v>94</v>
      </c>
      <c r="I31" s="139" t="n">
        <v>0.1448458694326884</v>
      </c>
      <c r="J31" s="139" t="n">
        <v>0.09625756655954565</v>
      </c>
      <c r="K31" s="138" t="n">
        <v>17</v>
      </c>
      <c r="L31" s="132" t="n">
        <v>3.773507170347694</v>
      </c>
      <c r="M31" s="139" t="n">
        <v>0.08031078350525664</v>
      </c>
      <c r="N31" s="132" t="n">
        <v>0.6343499020476259</v>
      </c>
      <c r="O31" s="139" t="n">
        <v>0.5258524964489513</v>
      </c>
      <c r="P31" s="132" t="n">
        <v>0.6316827485929681</v>
      </c>
      <c r="Q31" s="139" t="n">
        <v>0.1902231365619592</v>
      </c>
      <c r="R31" s="132" t="n">
        <v>1.350980144768258</v>
      </c>
      <c r="S31" s="139" t="n">
        <v>0.1767017930798001</v>
      </c>
      <c r="T31" s="132" t="n">
        <v>-0.8692240231836939</v>
      </c>
      <c r="U31" s="139" t="n">
        <v>-0.2042402764325517</v>
      </c>
      <c r="V31" s="132" t="n">
        <v>-1.695063482348946</v>
      </c>
      <c r="W31" s="139" t="n">
        <v>0.09006337873745052</v>
      </c>
      <c r="X31" s="132" t="n">
        <v>-1.734498976699901</v>
      </c>
      <c r="Y31" s="139" t="n">
        <v>-0.08169436498003856</v>
      </c>
      <c r="Z31" s="132" t="n">
        <v>-0.5698521750173637</v>
      </c>
      <c r="AA31" s="139" t="n">
        <v>0.5687779644078776</v>
      </c>
      <c r="AB31" s="132" t="n">
        <v>2.729173414920115</v>
      </c>
      <c r="AC31" s="139" t="n">
        <v>0.1277653699833393</v>
      </c>
      <c r="AD31" s="132" t="n">
        <v>0.8506350982215046</v>
      </c>
      <c r="AE31" s="139" t="n">
        <v>0.394972086144755</v>
      </c>
      <c r="AF31" s="132" t="n"/>
      <c r="AG31" s="139" t="n"/>
      <c r="AH31" s="132" t="n"/>
      <c r="AI31" s="139" t="n"/>
    </row>
    <row r="32">
      <c r="C32" s="126" t="inlineStr">
        <is>
          <t>Ex-Petrobras dynamic</t>
        </is>
      </c>
      <c r="D32" s="126" t="inlineStr">
        <is>
          <t>primary</t>
        </is>
      </c>
      <c r="E32" s="126" t="inlineStr">
        <is>
          <t>Brent</t>
        </is>
      </c>
      <c r="F32" s="112" t="n">
        <v>40269</v>
      </c>
      <c r="G32" s="112" t="n">
        <v>46204</v>
      </c>
      <c r="H32" s="138" t="n">
        <v>94</v>
      </c>
      <c r="I32" s="139" t="n">
        <v>0.2512920951459591</v>
      </c>
      <c r="J32" s="139" t="n">
        <v>0.2087518732792522</v>
      </c>
      <c r="K32" s="138" t="n">
        <v>17</v>
      </c>
      <c r="L32" s="132" t="n">
        <v>1.690184828584704</v>
      </c>
      <c r="M32" s="139" t="n">
        <v>0.03597185899605039</v>
      </c>
      <c r="N32" s="132" t="n">
        <v>0.3200018628480218</v>
      </c>
      <c r="O32" s="139" t="n">
        <v>0.7489669184012493</v>
      </c>
      <c r="P32" s="132" t="n"/>
      <c r="Q32" s="139" t="n"/>
      <c r="R32" s="132" t="n"/>
      <c r="S32" s="139" t="n"/>
      <c r="T32" s="132" t="n">
        <v>-0.8116887374479954</v>
      </c>
      <c r="U32" s="139" t="n">
        <v>-0.1907212958822382</v>
      </c>
      <c r="V32" s="132" t="n">
        <v>-1.884789067925682</v>
      </c>
      <c r="W32" s="139" t="n">
        <v>0.05945832149141772</v>
      </c>
      <c r="X32" s="132" t="n">
        <v>-2.941947848801898</v>
      </c>
      <c r="Y32" s="139" t="n">
        <v>-0.1385648331540321</v>
      </c>
      <c r="Z32" s="132" t="n">
        <v>-0.9012745944355177</v>
      </c>
      <c r="AA32" s="139" t="n">
        <v>0.3674423382222365</v>
      </c>
      <c r="AB32" s="132" t="n">
        <v>2.605278692411078</v>
      </c>
      <c r="AC32" s="139" t="n">
        <v>0.1219652786539236</v>
      </c>
      <c r="AD32" s="132" t="n">
        <v>0.9738954318259743</v>
      </c>
      <c r="AE32" s="139" t="n">
        <v>0.3301084621699992</v>
      </c>
      <c r="AF32" s="132" t="n">
        <v>0.5777489650012007</v>
      </c>
      <c r="AG32" s="139" t="n">
        <v>0.3972832395236488</v>
      </c>
      <c r="AH32" s="132" t="n">
        <v>3.848693652226843</v>
      </c>
      <c r="AI32" s="139" t="n">
        <v>0.0001187494019085911</v>
      </c>
    </row>
    <row r="33">
      <c r="C33" s="126" t="inlineStr">
        <is>
          <t>Ex-Petrobras dynamic</t>
        </is>
      </c>
      <c r="D33" s="126" t="inlineStr">
        <is>
          <t>clean</t>
        </is>
      </c>
      <c r="E33" s="126" t="inlineStr">
        <is>
          <t>BCOM</t>
        </is>
      </c>
      <c r="F33" s="112" t="n">
        <v>40269</v>
      </c>
      <c r="G33" s="112" t="n">
        <v>46204</v>
      </c>
      <c r="H33" s="138" t="n">
        <v>81</v>
      </c>
      <c r="I33" s="139" t="n">
        <v>0.1319401524897255</v>
      </c>
      <c r="J33" s="139" t="n">
        <v>0.07406949598904056</v>
      </c>
      <c r="K33" s="138" t="n">
        <v>17</v>
      </c>
      <c r="L33" s="132" t="n">
        <v>-1.975393751421549</v>
      </c>
      <c r="M33" s="139" t="n">
        <v>-0.02406021681616591</v>
      </c>
      <c r="N33" s="132" t="n">
        <v>-0.1847687473586765</v>
      </c>
      <c r="O33" s="139" t="n">
        <v>0.8534104217492793</v>
      </c>
      <c r="P33" s="132" t="n">
        <v>0.3180970850612646</v>
      </c>
      <c r="Q33" s="139" t="n">
        <v>0.09307108963720967</v>
      </c>
      <c r="R33" s="132" t="n">
        <v>0.6808067045815572</v>
      </c>
      <c r="S33" s="139" t="n">
        <v>0.4959938071389525</v>
      </c>
      <c r="T33" s="132" t="n">
        <v>-1.237709728500016</v>
      </c>
      <c r="U33" s="139" t="n">
        <v>-0.2708416384650404</v>
      </c>
      <c r="V33" s="132" t="n">
        <v>-1.962234220181092</v>
      </c>
      <c r="W33" s="139" t="n">
        <v>0.04973522157991805</v>
      </c>
      <c r="X33" s="132" t="n">
        <v>-2.287901936443585</v>
      </c>
      <c r="Y33" s="139" t="n">
        <v>-0.09240086795004666</v>
      </c>
      <c r="Z33" s="132" t="n">
        <v>-0.7182785660491062</v>
      </c>
      <c r="AA33" s="139" t="n">
        <v>0.4725855433609787</v>
      </c>
      <c r="AB33" s="132" t="n">
        <v>2.848669531459598</v>
      </c>
      <c r="AC33" s="139" t="n">
        <v>0.1019286809160552</v>
      </c>
      <c r="AD33" s="132" t="n">
        <v>0.7021791620341821</v>
      </c>
      <c r="AE33" s="139" t="n">
        <v>0.4825674391316892</v>
      </c>
      <c r="AF33" s="132" t="n"/>
      <c r="AG33" s="139" t="n"/>
      <c r="AH33" s="132" t="n"/>
      <c r="AI33" s="139" t="n"/>
    </row>
    <row r="34">
      <c r="C34" s="126" t="inlineStr">
        <is>
          <t>Ex-Petrobras dynamic</t>
        </is>
      </c>
      <c r="D34" s="126" t="inlineStr">
        <is>
          <t>clean</t>
        </is>
      </c>
      <c r="E34" s="126" t="inlineStr">
        <is>
          <t>Brent</t>
        </is>
      </c>
      <c r="F34" s="112" t="n">
        <v>40269</v>
      </c>
      <c r="G34" s="112" t="n">
        <v>46204</v>
      </c>
      <c r="H34" s="138" t="n">
        <v>81</v>
      </c>
      <c r="I34" s="139" t="n">
        <v>0.2247188637488424</v>
      </c>
      <c r="J34" s="139" t="n">
        <v>0.173033454665432</v>
      </c>
      <c r="K34" s="138" t="n">
        <v>17</v>
      </c>
      <c r="L34" s="132" t="n">
        <v>-1.751311912336692</v>
      </c>
      <c r="M34" s="139" t="n">
        <v>-0.02133090898623716</v>
      </c>
      <c r="N34" s="132" t="n">
        <v>-0.1584744654760347</v>
      </c>
      <c r="O34" s="139" t="n">
        <v>0.8740829399909804</v>
      </c>
      <c r="P34" s="132" t="n"/>
      <c r="Q34" s="139" t="n"/>
      <c r="R34" s="132" t="n"/>
      <c r="S34" s="139" t="n"/>
      <c r="T34" s="132" t="n">
        <v>-0.957050174868232</v>
      </c>
      <c r="U34" s="139" t="n">
        <v>-0.2094263553771216</v>
      </c>
      <c r="V34" s="132" t="n">
        <v>-1.762372743057589</v>
      </c>
      <c r="W34" s="139" t="n">
        <v>0.0780063407562217</v>
      </c>
      <c r="X34" s="132" t="n">
        <v>-3.491505265731371</v>
      </c>
      <c r="Y34" s="139" t="n">
        <v>-0.141010465469175</v>
      </c>
      <c r="Z34" s="132" t="n">
        <v>-0.9890850960532728</v>
      </c>
      <c r="AA34" s="139" t="n">
        <v>0.3226215089346534</v>
      </c>
      <c r="AB34" s="132" t="n">
        <v>2.168506933385726</v>
      </c>
      <c r="AC34" s="139" t="n">
        <v>0.07759167879472276</v>
      </c>
      <c r="AD34" s="132" t="n">
        <v>0.599401316530413</v>
      </c>
      <c r="AE34" s="139" t="n">
        <v>0.548905299268706</v>
      </c>
      <c r="AF34" s="132" t="n">
        <v>0.5207947809766593</v>
      </c>
      <c r="AG34" s="139" t="n">
        <v>0.3449426708842982</v>
      </c>
      <c r="AH34" s="132" t="n">
        <v>3.654227886522769</v>
      </c>
      <c r="AI34" s="139" t="n">
        <v>0.0002579570796181763</v>
      </c>
    </row>
    <row r="35">
      <c r="C35" s="126" t="inlineStr">
        <is>
          <t>Ex-Petrobras dynamic</t>
        </is>
      </c>
      <c r="D35" s="126" t="inlineStr">
        <is>
          <t>audit_clean</t>
        </is>
      </c>
      <c r="E35" s="126" t="inlineStr">
        <is>
          <t>BCOM</t>
        </is>
      </c>
      <c r="F35" s="112" t="n">
        <v>40269</v>
      </c>
      <c r="G35" s="112" t="n">
        <v>46204</v>
      </c>
      <c r="H35" s="138" t="n">
        <v>75</v>
      </c>
      <c r="I35" s="139" t="n">
        <v>0.1377638012556309</v>
      </c>
      <c r="J35" s="139" t="n">
        <v>0.07528291728864767</v>
      </c>
      <c r="K35" s="138" t="n">
        <v>17</v>
      </c>
      <c r="L35" s="132" t="n">
        <v>3.45062141743649</v>
      </c>
      <c r="M35" s="139" t="n">
        <v>0.04482618236948849</v>
      </c>
      <c r="N35" s="132" t="n">
        <v>0.2973404944348538</v>
      </c>
      <c r="O35" s="139" t="n">
        <v>0.7662065687433031</v>
      </c>
      <c r="P35" s="132" t="n">
        <v>0.114367008424475</v>
      </c>
      <c r="Q35" s="139" t="n">
        <v>0.03543770983768425</v>
      </c>
      <c r="R35" s="132" t="n">
        <v>0.1968142833486201</v>
      </c>
      <c r="S35" s="139" t="n">
        <v>0.8439728732393732</v>
      </c>
      <c r="T35" s="132" t="n">
        <v>-1.288137732107492</v>
      </c>
      <c r="U35" s="139" t="n">
        <v>-0.3088949969931254</v>
      </c>
      <c r="V35" s="132" t="n">
        <v>-1.766880555831573</v>
      </c>
      <c r="W35" s="139" t="n">
        <v>0.07724823403147862</v>
      </c>
      <c r="X35" s="132" t="n">
        <v>-3.220070527009302</v>
      </c>
      <c r="Y35" s="139" t="n">
        <v>-0.1397229688844884</v>
      </c>
      <c r="Z35" s="132" t="n">
        <v>-1.037174686949945</v>
      </c>
      <c r="AA35" s="139" t="n">
        <v>0.2996544527776044</v>
      </c>
      <c r="AB35" s="132" t="n">
        <v>2.585633015339805</v>
      </c>
      <c r="AC35" s="139" t="n">
        <v>0.1000699522603462</v>
      </c>
      <c r="AD35" s="132" t="n">
        <v>0.6579505287828861</v>
      </c>
      <c r="AE35" s="139" t="n">
        <v>0.5105699205879373</v>
      </c>
      <c r="AF35" s="132" t="n"/>
      <c r="AG35" s="139" t="n"/>
      <c r="AH35" s="132" t="n"/>
      <c r="AI35" s="139" t="n"/>
    </row>
    <row r="36">
      <c r="C36" s="126" t="inlineStr">
        <is>
          <t>Ex-Petrobras dynamic</t>
        </is>
      </c>
      <c r="D36" s="126" t="inlineStr">
        <is>
          <t>audit_clean</t>
        </is>
      </c>
      <c r="E36" s="126" t="inlineStr">
        <is>
          <t>Brent</t>
        </is>
      </c>
      <c r="F36" s="112" t="n">
        <v>40269</v>
      </c>
      <c r="G36" s="112" t="n">
        <v>46204</v>
      </c>
      <c r="H36" s="138" t="n">
        <v>75</v>
      </c>
      <c r="I36" s="139" t="n">
        <v>0.2124365944158892</v>
      </c>
      <c r="J36" s="139" t="n">
        <v>0.1553667824170407</v>
      </c>
      <c r="K36" s="138" t="n">
        <v>17</v>
      </c>
      <c r="L36" s="132" t="n">
        <v>3.453909190315284</v>
      </c>
      <c r="M36" s="139" t="n">
        <v>0.04486889302615754</v>
      </c>
      <c r="N36" s="132" t="n">
        <v>0.2746207327482011</v>
      </c>
      <c r="O36" s="139" t="n">
        <v>0.7836076361175708</v>
      </c>
      <c r="P36" s="132" t="n"/>
      <c r="Q36" s="139" t="n"/>
      <c r="R36" s="132" t="n"/>
      <c r="S36" s="139" t="n"/>
      <c r="T36" s="132" t="n">
        <v>-0.951531338625503</v>
      </c>
      <c r="U36" s="139" t="n">
        <v>-0.2281768965052425</v>
      </c>
      <c r="V36" s="132" t="n">
        <v>-1.579586265053461</v>
      </c>
      <c r="W36" s="139" t="n">
        <v>0.1142016467232387</v>
      </c>
      <c r="X36" s="132" t="n">
        <v>-4.077087634610254</v>
      </c>
      <c r="Y36" s="139" t="n">
        <v>-0.1769100347125195</v>
      </c>
      <c r="Z36" s="132" t="n">
        <v>-1.190354868196583</v>
      </c>
      <c r="AA36" s="139" t="n">
        <v>0.2339069437452026</v>
      </c>
      <c r="AB36" s="132" t="n">
        <v>1.765239260374048</v>
      </c>
      <c r="AC36" s="139" t="n">
        <v>0.06831882462272165</v>
      </c>
      <c r="AD36" s="132" t="n">
        <v>0.473449673519135</v>
      </c>
      <c r="AE36" s="139" t="n">
        <v>0.6358923978812372</v>
      </c>
      <c r="AF36" s="132" t="n">
        <v>0.4241328143759979</v>
      </c>
      <c r="AG36" s="139" t="n">
        <v>0.3004497672186552</v>
      </c>
      <c r="AH36" s="132" t="n">
        <v>3.411546957472211</v>
      </c>
      <c r="AI36" s="139" t="n">
        <v>0.0006459537431189322</v>
      </c>
    </row>
    <row r="37">
      <c r="C37" s="126" t="inlineStr">
        <is>
          <t>Ex-Petrobras dynamic</t>
        </is>
      </c>
      <c r="D37" s="126" t="inlineStr">
        <is>
          <t>since_2022_ex_seams</t>
        </is>
      </c>
      <c r="E37" s="126" t="inlineStr">
        <is>
          <t>BCOM</t>
        </is>
      </c>
      <c r="F37" s="112" t="n">
        <v>44562</v>
      </c>
      <c r="G37" s="112" t="n">
        <v>46204</v>
      </c>
      <c r="H37" s="138" t="n">
        <v>52</v>
      </c>
      <c r="I37" s="139" t="n">
        <v>0.2076646505410743</v>
      </c>
      <c r="J37" s="139" t="n">
        <v>0.1215412429911911</v>
      </c>
      <c r="K37" s="138" t="n">
        <v>17</v>
      </c>
      <c r="L37" s="132" t="n">
        <v>-7.003160417195841</v>
      </c>
      <c r="M37" s="139" t="n">
        <v>-0.08649810964575279</v>
      </c>
      <c r="N37" s="132" t="n">
        <v>-0.5764599263760042</v>
      </c>
      <c r="O37" s="139" t="n">
        <v>0.5643043489691131</v>
      </c>
      <c r="P37" s="132" t="n">
        <v>0.7922104705327664</v>
      </c>
      <c r="Q37" s="139" t="n">
        <v>0.25415159362928</v>
      </c>
      <c r="R37" s="132" t="n">
        <v>1.213313426855356</v>
      </c>
      <c r="S37" s="139" t="n">
        <v>0.2250100113629541</v>
      </c>
      <c r="T37" s="132" t="n">
        <v>-0.959060175441824</v>
      </c>
      <c r="U37" s="139" t="n">
        <v>-0.2202357078877588</v>
      </c>
      <c r="V37" s="132" t="n">
        <v>-0.7769474879612943</v>
      </c>
      <c r="W37" s="139" t="n">
        <v>0.4371897523494246</v>
      </c>
      <c r="X37" s="132" t="n">
        <v>-3.846538287886737</v>
      </c>
      <c r="Y37" s="139" t="n">
        <v>-0.1938252967158393</v>
      </c>
      <c r="Z37" s="132" t="n">
        <v>-0.9924516238688669</v>
      </c>
      <c r="AA37" s="139" t="n">
        <v>0.3209772668182165</v>
      </c>
      <c r="AB37" s="132" t="n">
        <v>3.986930352424682</v>
      </c>
      <c r="AC37" s="139" t="n">
        <v>0.155462904543371</v>
      </c>
      <c r="AD37" s="132" t="n">
        <v>0.4617549744633775</v>
      </c>
      <c r="AE37" s="139" t="n">
        <v>0.6442570428833891</v>
      </c>
      <c r="AF37" s="132" t="n"/>
      <c r="AG37" s="139" t="n"/>
      <c r="AH37" s="132" t="n"/>
      <c r="AI37" s="139" t="n"/>
    </row>
    <row r="38">
      <c r="C38" s="126" t="inlineStr">
        <is>
          <t>Ex-Petrobras dynamic</t>
        </is>
      </c>
      <c r="D38" s="126" t="inlineStr">
        <is>
          <t>since_2022_ex_seams</t>
        </is>
      </c>
      <c r="E38" s="126" t="inlineStr">
        <is>
          <t>Brent</t>
        </is>
      </c>
      <c r="F38" s="112" t="n">
        <v>44562</v>
      </c>
      <c r="G38" s="112" t="n">
        <v>46204</v>
      </c>
      <c r="H38" s="138" t="n">
        <v>52</v>
      </c>
      <c r="I38" s="139" t="n">
        <v>0.291214473526883</v>
      </c>
      <c r="J38" s="139" t="n">
        <v>0.2141725684754572</v>
      </c>
      <c r="K38" s="138" t="n">
        <v>17</v>
      </c>
      <c r="L38" s="132" t="n">
        <v>-9.409506268671898</v>
      </c>
      <c r="M38" s="139" t="n">
        <v>-0.1162196003595021</v>
      </c>
      <c r="N38" s="132" t="n">
        <v>-0.9697068306458377</v>
      </c>
      <c r="O38" s="139" t="n">
        <v>0.332192644724836</v>
      </c>
      <c r="P38" s="132" t="n"/>
      <c r="Q38" s="139" t="n"/>
      <c r="R38" s="132" t="n"/>
      <c r="S38" s="139" t="n"/>
      <c r="T38" s="132" t="n">
        <v>-1.040216096275328</v>
      </c>
      <c r="U38" s="139" t="n">
        <v>-0.238872110620064</v>
      </c>
      <c r="V38" s="132" t="n">
        <v>-1.132830135547727</v>
      </c>
      <c r="W38" s="139" t="n">
        <v>0.2572855935972143</v>
      </c>
      <c r="X38" s="132" t="n">
        <v>-4.246019242072914</v>
      </c>
      <c r="Y38" s="139" t="n">
        <v>-0.2139549584226535</v>
      </c>
      <c r="Z38" s="132" t="n">
        <v>-1.099017381120408</v>
      </c>
      <c r="AA38" s="139" t="n">
        <v>0.2717604846108821</v>
      </c>
      <c r="AB38" s="132" t="n">
        <v>3.63223314598522</v>
      </c>
      <c r="AC38" s="139" t="n">
        <v>0.1416321492825057</v>
      </c>
      <c r="AD38" s="132" t="n">
        <v>0.5435802468625821</v>
      </c>
      <c r="AE38" s="139" t="n">
        <v>0.5867303557904024</v>
      </c>
      <c r="AF38" s="132" t="n">
        <v>0.4566943332248172</v>
      </c>
      <c r="AG38" s="139" t="n">
        <v>0.3841360990215935</v>
      </c>
      <c r="AH38" s="132" t="n">
        <v>3.576460643873678</v>
      </c>
      <c r="AI38" s="139" t="n">
        <v>0.0003482777220140676</v>
      </c>
    </row>
    <row r="39">
      <c r="C39" s="126" t="inlineStr">
        <is>
          <t>Ex-Petrobras core (PRIO + Brava)</t>
        </is>
      </c>
      <c r="D39" s="126" t="inlineStr">
        <is>
          <t>primary</t>
        </is>
      </c>
      <c r="E39" s="126" t="inlineStr">
        <is>
          <t>BCOM</t>
        </is>
      </c>
      <c r="F39" s="112" t="n">
        <v>44652</v>
      </c>
      <c r="G39" s="112" t="n">
        <v>46204</v>
      </c>
      <c r="H39" s="138" t="n">
        <v>52</v>
      </c>
      <c r="I39" s="139" t="n">
        <v>0.1483976923090158</v>
      </c>
      <c r="J39" s="139" t="n">
        <v>0.05583222408173483</v>
      </c>
      <c r="K39" s="138" t="n">
        <v>0</v>
      </c>
      <c r="L39" s="132" t="n">
        <v>17.23406897578688</v>
      </c>
      <c r="M39" s="139" t="n">
        <v>0.1870634491329781</v>
      </c>
      <c r="N39" s="132" t="n">
        <v>0.9988188239577241</v>
      </c>
      <c r="O39" s="139" t="n">
        <v>0.3178824655002552</v>
      </c>
      <c r="P39" s="132" t="n">
        <v>0.5678293476827569</v>
      </c>
      <c r="Q39" s="139" t="n">
        <v>0.2055894489239026</v>
      </c>
      <c r="R39" s="132" t="n">
        <v>1.140132537083008</v>
      </c>
      <c r="S39" s="139" t="n">
        <v>0.2542310882832588</v>
      </c>
      <c r="T39" s="132" t="n">
        <v>-0.3643156801152829</v>
      </c>
      <c r="U39" s="139" t="n">
        <v>-0.09248036624808292</v>
      </c>
      <c r="V39" s="132" t="n">
        <v>-0.3740847309633283</v>
      </c>
      <c r="W39" s="139" t="n">
        <v>0.7083412782960081</v>
      </c>
      <c r="X39" s="132" t="n">
        <v>-4.567555499560546</v>
      </c>
      <c r="Y39" s="139" t="n">
        <v>-0.2879080993536204</v>
      </c>
      <c r="Z39" s="132" t="n">
        <v>-1.351335821235694</v>
      </c>
      <c r="AA39" s="139" t="n">
        <v>0.1765878822186844</v>
      </c>
      <c r="AB39" s="132" t="n">
        <v>2.700170554755665</v>
      </c>
      <c r="AC39" s="139" t="n">
        <v>0.1306580185065856</v>
      </c>
      <c r="AD39" s="132" t="n">
        <v>0.3878354931166394</v>
      </c>
      <c r="AE39" s="139" t="n">
        <v>0.6981377776629651</v>
      </c>
      <c r="AF39" s="132" t="n"/>
      <c r="AG39" s="139" t="n"/>
      <c r="AH39" s="132" t="n"/>
      <c r="AI39" s="139" t="n"/>
    </row>
    <row r="40">
      <c r="C40" s="126" t="inlineStr">
        <is>
          <t>Ex-Petrobras core (PRIO + Brava)</t>
        </is>
      </c>
      <c r="D40" s="126" t="inlineStr">
        <is>
          <t>primary</t>
        </is>
      </c>
      <c r="E40" s="126" t="inlineStr">
        <is>
          <t>Brent</t>
        </is>
      </c>
      <c r="F40" s="112" t="n">
        <v>44652</v>
      </c>
      <c r="G40" s="112" t="n">
        <v>46204</v>
      </c>
      <c r="H40" s="138" t="n">
        <v>52</v>
      </c>
      <c r="I40" s="139" t="n">
        <v>0.2124525692682444</v>
      </c>
      <c r="J40" s="139" t="n">
        <v>0.1268495876669666</v>
      </c>
      <c r="K40" s="138" t="n">
        <v>0</v>
      </c>
      <c r="L40" s="132" t="n">
        <v>11.22959122197852</v>
      </c>
      <c r="M40" s="139" t="n">
        <v>0.1218891527757042</v>
      </c>
      <c r="N40" s="132" t="n">
        <v>0.6796187918514167</v>
      </c>
      <c r="O40" s="139" t="n">
        <v>0.4967458677812799</v>
      </c>
      <c r="P40" s="132" t="n"/>
      <c r="Q40" s="139" t="n"/>
      <c r="R40" s="132" t="n"/>
      <c r="S40" s="139" t="n"/>
      <c r="T40" s="132" t="n">
        <v>-0.4655095971545192</v>
      </c>
      <c r="U40" s="139" t="n">
        <v>-0.1181681173405002</v>
      </c>
      <c r="V40" s="132" t="n">
        <v>-0.6116576435001522</v>
      </c>
      <c r="W40" s="139" t="n">
        <v>0.5407642913223798</v>
      </c>
      <c r="X40" s="132" t="n">
        <v>-4.83404896194202</v>
      </c>
      <c r="Y40" s="139" t="n">
        <v>-0.3047060619075073</v>
      </c>
      <c r="Z40" s="132" t="n">
        <v>-1.46982600753267</v>
      </c>
      <c r="AA40" s="139" t="n">
        <v>0.1416088834553122</v>
      </c>
      <c r="AB40" s="132" t="n">
        <v>2.576614321378005</v>
      </c>
      <c r="AC40" s="139" t="n">
        <v>0.1246792803861989</v>
      </c>
      <c r="AD40" s="132" t="n">
        <v>0.444860531795005</v>
      </c>
      <c r="AE40" s="139" t="n">
        <v>0.6564205466132704</v>
      </c>
      <c r="AF40" s="132" t="n">
        <v>0.33680982803582</v>
      </c>
      <c r="AG40" s="139" t="n">
        <v>0.332096913646819</v>
      </c>
      <c r="AH40" s="132" t="n">
        <v>2.268999461765086</v>
      </c>
      <c r="AI40" s="139" t="n">
        <v>0.02326835860021337</v>
      </c>
    </row>
    <row r="41">
      <c r="C41" s="126" t="inlineStr">
        <is>
          <t>Ex-Petrobras core (PRIO + Brava)</t>
        </is>
      </c>
      <c r="D41" s="126" t="inlineStr">
        <is>
          <t>clean</t>
        </is>
      </c>
      <c r="E41" s="126" t="inlineStr">
        <is>
          <t>BCOM</t>
        </is>
      </c>
      <c r="F41" s="112" t="n">
        <v>44652</v>
      </c>
      <c r="G41" s="112" t="n">
        <v>46204</v>
      </c>
      <c r="H41" s="138" t="n">
        <v>52</v>
      </c>
      <c r="I41" s="139" t="n">
        <v>0.1483976923090158</v>
      </c>
      <c r="J41" s="139" t="n">
        <v>0.05583222408173483</v>
      </c>
      <c r="K41" s="138" t="n">
        <v>0</v>
      </c>
      <c r="L41" s="132" t="n">
        <v>17.23406897578688</v>
      </c>
      <c r="M41" s="139" t="n">
        <v>0.1870634491329781</v>
      </c>
      <c r="N41" s="132" t="n">
        <v>0.9988188239577241</v>
      </c>
      <c r="O41" s="139" t="n">
        <v>0.3178824655002552</v>
      </c>
      <c r="P41" s="132" t="n">
        <v>0.5678293476827569</v>
      </c>
      <c r="Q41" s="139" t="n">
        <v>0.2055894489239026</v>
      </c>
      <c r="R41" s="132" t="n">
        <v>1.140132537083008</v>
      </c>
      <c r="S41" s="139" t="n">
        <v>0.2542310882832588</v>
      </c>
      <c r="T41" s="132" t="n">
        <v>-0.3643156801152829</v>
      </c>
      <c r="U41" s="139" t="n">
        <v>-0.09248036624808292</v>
      </c>
      <c r="V41" s="132" t="n">
        <v>-0.3740847309633283</v>
      </c>
      <c r="W41" s="139" t="n">
        <v>0.7083412782960081</v>
      </c>
      <c r="X41" s="132" t="n">
        <v>-4.567555499560546</v>
      </c>
      <c r="Y41" s="139" t="n">
        <v>-0.2879080993536204</v>
      </c>
      <c r="Z41" s="132" t="n">
        <v>-1.351335821235694</v>
      </c>
      <c r="AA41" s="139" t="n">
        <v>0.1765878822186844</v>
      </c>
      <c r="AB41" s="132" t="n">
        <v>2.700170554755665</v>
      </c>
      <c r="AC41" s="139" t="n">
        <v>0.1306580185065856</v>
      </c>
      <c r="AD41" s="132" t="n">
        <v>0.3878354931166394</v>
      </c>
      <c r="AE41" s="139" t="n">
        <v>0.6981377776629651</v>
      </c>
      <c r="AF41" s="132" t="n"/>
      <c r="AG41" s="139" t="n"/>
      <c r="AH41" s="132" t="n"/>
      <c r="AI41" s="139" t="n"/>
    </row>
    <row r="42">
      <c r="C42" s="126" t="inlineStr">
        <is>
          <t>Ex-Petrobras core (PRIO + Brava)</t>
        </is>
      </c>
      <c r="D42" s="126" t="inlineStr">
        <is>
          <t>clean</t>
        </is>
      </c>
      <c r="E42" s="126" t="inlineStr">
        <is>
          <t>Brent</t>
        </is>
      </c>
      <c r="F42" s="112" t="n">
        <v>44652</v>
      </c>
      <c r="G42" s="112" t="n">
        <v>46204</v>
      </c>
      <c r="H42" s="138" t="n">
        <v>52</v>
      </c>
      <c r="I42" s="139" t="n">
        <v>0.2124525692682444</v>
      </c>
      <c r="J42" s="139" t="n">
        <v>0.1268495876669666</v>
      </c>
      <c r="K42" s="138" t="n">
        <v>0</v>
      </c>
      <c r="L42" s="132" t="n">
        <v>11.22959122197852</v>
      </c>
      <c r="M42" s="139" t="n">
        <v>0.1218891527757042</v>
      </c>
      <c r="N42" s="132" t="n">
        <v>0.6796187918514167</v>
      </c>
      <c r="O42" s="139" t="n">
        <v>0.4967458677812799</v>
      </c>
      <c r="P42" s="132" t="n"/>
      <c r="Q42" s="139" t="n"/>
      <c r="R42" s="132" t="n"/>
      <c r="S42" s="139" t="n"/>
      <c r="T42" s="132" t="n">
        <v>-0.4655095971545192</v>
      </c>
      <c r="U42" s="139" t="n">
        <v>-0.1181681173405002</v>
      </c>
      <c r="V42" s="132" t="n">
        <v>-0.6116576435001522</v>
      </c>
      <c r="W42" s="139" t="n">
        <v>0.5407642913223798</v>
      </c>
      <c r="X42" s="132" t="n">
        <v>-4.83404896194202</v>
      </c>
      <c r="Y42" s="139" t="n">
        <v>-0.3047060619075073</v>
      </c>
      <c r="Z42" s="132" t="n">
        <v>-1.46982600753267</v>
      </c>
      <c r="AA42" s="139" t="n">
        <v>0.1416088834553122</v>
      </c>
      <c r="AB42" s="132" t="n">
        <v>2.576614321378005</v>
      </c>
      <c r="AC42" s="139" t="n">
        <v>0.1246792803861989</v>
      </c>
      <c r="AD42" s="132" t="n">
        <v>0.444860531795005</v>
      </c>
      <c r="AE42" s="139" t="n">
        <v>0.6564205466132704</v>
      </c>
      <c r="AF42" s="132" t="n">
        <v>0.33680982803582</v>
      </c>
      <c r="AG42" s="139" t="n">
        <v>0.332096913646819</v>
      </c>
      <c r="AH42" s="132" t="n">
        <v>2.268999461765086</v>
      </c>
      <c r="AI42" s="139" t="n">
        <v>0.02326835860021337</v>
      </c>
    </row>
    <row r="43">
      <c r="C43" s="126" t="inlineStr">
        <is>
          <t>Ex-Petrobras core (PRIO + Brava)</t>
        </is>
      </c>
      <c r="D43" s="126" t="inlineStr">
        <is>
          <t>audit_clean</t>
        </is>
      </c>
      <c r="E43" s="126" t="inlineStr">
        <is>
          <t>BCOM</t>
        </is>
      </c>
      <c r="F43" s="112" t="n">
        <v>44652</v>
      </c>
      <c r="G43" s="112" t="n">
        <v>46204</v>
      </c>
      <c r="H43" s="138" t="n">
        <v>49</v>
      </c>
      <c r="I43" s="139" t="n">
        <v>0.1499877116874769</v>
      </c>
      <c r="J43" s="139" t="n">
        <v>0.05114907351160225</v>
      </c>
      <c r="K43" s="138" t="n">
        <v>0</v>
      </c>
      <c r="L43" s="132" t="n">
        <v>17.05327174490413</v>
      </c>
      <c r="M43" s="139" t="n">
        <v>0.1815402915634559</v>
      </c>
      <c r="N43" s="132" t="n">
        <v>0.9620220142482244</v>
      </c>
      <c r="O43" s="139" t="n">
        <v>0.3360385458050001</v>
      </c>
      <c r="P43" s="132" t="n">
        <v>0.6156155088515263</v>
      </c>
      <c r="Q43" s="139" t="n">
        <v>0.2163237772042295</v>
      </c>
      <c r="R43" s="132" t="n">
        <v>1.191325650936018</v>
      </c>
      <c r="S43" s="139" t="n">
        <v>0.2335257677889957</v>
      </c>
      <c r="T43" s="132" t="n">
        <v>-0.3128995537155168</v>
      </c>
      <c r="U43" s="139" t="n">
        <v>-0.07882320250958526</v>
      </c>
      <c r="V43" s="132" t="n">
        <v>-0.3109360238507989</v>
      </c>
      <c r="W43" s="139" t="n">
        <v>0.7558492578472389</v>
      </c>
      <c r="X43" s="132" t="n">
        <v>-4.576133172478288</v>
      </c>
      <c r="Y43" s="139" t="n">
        <v>-0.2862578533227966</v>
      </c>
      <c r="Z43" s="132" t="n">
        <v>-1.33360018143622</v>
      </c>
      <c r="AA43" s="139" t="n">
        <v>0.1823349234681173</v>
      </c>
      <c r="AB43" s="132" t="n">
        <v>2.64588624229823</v>
      </c>
      <c r="AC43" s="139" t="n">
        <v>0.1267056571033573</v>
      </c>
      <c r="AD43" s="132" t="n">
        <v>0.3677741266189677</v>
      </c>
      <c r="AE43" s="139" t="n">
        <v>0.713041662934689</v>
      </c>
      <c r="AF43" s="132" t="n"/>
      <c r="AG43" s="139" t="n"/>
      <c r="AH43" s="132" t="n"/>
      <c r="AI43" s="139" t="n"/>
    </row>
    <row r="44">
      <c r="C44" s="126" t="inlineStr">
        <is>
          <t>Ex-Petrobras core (PRIO + Brava)</t>
        </is>
      </c>
      <c r="D44" s="126" t="inlineStr">
        <is>
          <t>audit_clean</t>
        </is>
      </c>
      <c r="E44" s="126" t="inlineStr">
        <is>
          <t>Brent</t>
        </is>
      </c>
      <c r="F44" s="112" t="n">
        <v>44652</v>
      </c>
      <c r="G44" s="112" t="n">
        <v>46204</v>
      </c>
      <c r="H44" s="138" t="n">
        <v>49</v>
      </c>
      <c r="I44" s="139" t="n">
        <v>0.2123644291189947</v>
      </c>
      <c r="J44" s="139" t="n">
        <v>0.1207788976212034</v>
      </c>
      <c r="K44" s="138" t="n">
        <v>0</v>
      </c>
      <c r="L44" s="132" t="n">
        <v>11.17155805519818</v>
      </c>
      <c r="M44" s="139" t="n">
        <v>0.1189266163640876</v>
      </c>
      <c r="N44" s="132" t="n">
        <v>0.6573687645564406</v>
      </c>
      <c r="O44" s="139" t="n">
        <v>0.5109438308360756</v>
      </c>
      <c r="P44" s="132" t="n"/>
      <c r="Q44" s="139" t="n"/>
      <c r="R44" s="132" t="n"/>
      <c r="S44" s="139" t="n"/>
      <c r="T44" s="132" t="n">
        <v>-0.4575387203693952</v>
      </c>
      <c r="U44" s="139" t="n">
        <v>-0.1152595674343554</v>
      </c>
      <c r="V44" s="132" t="n">
        <v>-0.5829615482688609</v>
      </c>
      <c r="W44" s="139" t="n">
        <v>0.5599191856229979</v>
      </c>
      <c r="X44" s="132" t="n">
        <v>-4.824336546554798</v>
      </c>
      <c r="Y44" s="139" t="n">
        <v>-0.3017840983800723</v>
      </c>
      <c r="Z44" s="132" t="n">
        <v>-1.457893306424741</v>
      </c>
      <c r="AA44" s="139" t="n">
        <v>0.1448699539163978</v>
      </c>
      <c r="AB44" s="132" t="n">
        <v>2.548452458933256</v>
      </c>
      <c r="AC44" s="139" t="n">
        <v>0.1220397680912124</v>
      </c>
      <c r="AD44" s="132" t="n">
        <v>0.4272659594974216</v>
      </c>
      <c r="AE44" s="139" t="n">
        <v>0.6691856236617104</v>
      </c>
      <c r="AF44" s="132" t="n">
        <v>0.3381479253980153</v>
      </c>
      <c r="AG44" s="139" t="n">
        <v>0.3324297631586351</v>
      </c>
      <c r="AH44" s="132" t="n">
        <v>2.260684782961035</v>
      </c>
      <c r="AI44" s="139" t="n">
        <v>0.02377878343351147</v>
      </c>
    </row>
    <row r="45">
      <c r="C45" s="126" t="inlineStr">
        <is>
          <t>Ex-Petrobras core (PRIO + Brava)</t>
        </is>
      </c>
      <c r="D45" s="126" t="inlineStr">
        <is>
          <t>since_2022_ex_seams</t>
        </is>
      </c>
      <c r="E45" s="126" t="inlineStr">
        <is>
          <t>BCOM</t>
        </is>
      </c>
      <c r="F45" s="112" t="n">
        <v>44652</v>
      </c>
      <c r="G45" s="112" t="n">
        <v>46204</v>
      </c>
      <c r="H45" s="138" t="n">
        <v>49</v>
      </c>
      <c r="I45" s="139" t="n">
        <v>0.1499877116874769</v>
      </c>
      <c r="J45" s="139" t="n">
        <v>0.05114907351160225</v>
      </c>
      <c r="K45" s="138" t="n">
        <v>0</v>
      </c>
      <c r="L45" s="132" t="n">
        <v>17.05327174490413</v>
      </c>
      <c r="M45" s="139" t="n">
        <v>0.1815402915634559</v>
      </c>
      <c r="N45" s="132" t="n">
        <v>0.9620220142482244</v>
      </c>
      <c r="O45" s="139" t="n">
        <v>0.3360385458050001</v>
      </c>
      <c r="P45" s="132" t="n">
        <v>0.6156155088515263</v>
      </c>
      <c r="Q45" s="139" t="n">
        <v>0.2163237772042295</v>
      </c>
      <c r="R45" s="132" t="n">
        <v>1.191325650936018</v>
      </c>
      <c r="S45" s="139" t="n">
        <v>0.2335257677889957</v>
      </c>
      <c r="T45" s="132" t="n">
        <v>-0.3128995537155168</v>
      </c>
      <c r="U45" s="139" t="n">
        <v>-0.07882320250958526</v>
      </c>
      <c r="V45" s="132" t="n">
        <v>-0.3109360238507989</v>
      </c>
      <c r="W45" s="139" t="n">
        <v>0.7558492578472389</v>
      </c>
      <c r="X45" s="132" t="n">
        <v>-4.576133172478288</v>
      </c>
      <c r="Y45" s="139" t="n">
        <v>-0.2862578533227966</v>
      </c>
      <c r="Z45" s="132" t="n">
        <v>-1.33360018143622</v>
      </c>
      <c r="AA45" s="139" t="n">
        <v>0.1823349234681173</v>
      </c>
      <c r="AB45" s="132" t="n">
        <v>2.64588624229823</v>
      </c>
      <c r="AC45" s="139" t="n">
        <v>0.1267056571033573</v>
      </c>
      <c r="AD45" s="132" t="n">
        <v>0.3677741266189677</v>
      </c>
      <c r="AE45" s="139" t="n">
        <v>0.713041662934689</v>
      </c>
      <c r="AF45" s="132" t="n"/>
      <c r="AG45" s="139" t="n"/>
      <c r="AH45" s="132" t="n"/>
      <c r="AI45" s="139" t="n"/>
    </row>
    <row r="46">
      <c r="C46" s="126" t="inlineStr">
        <is>
          <t>Ex-Petrobras core (PRIO + Brava)</t>
        </is>
      </c>
      <c r="D46" s="126" t="inlineStr">
        <is>
          <t>since_2022_ex_seams</t>
        </is>
      </c>
      <c r="E46" s="126" t="inlineStr">
        <is>
          <t>Brent</t>
        </is>
      </c>
      <c r="F46" s="112" t="n">
        <v>44652</v>
      </c>
      <c r="G46" s="112" t="n">
        <v>46204</v>
      </c>
      <c r="H46" s="138" t="n">
        <v>49</v>
      </c>
      <c r="I46" s="139" t="n">
        <v>0.2123644291189947</v>
      </c>
      <c r="J46" s="139" t="n">
        <v>0.1207788976212034</v>
      </c>
      <c r="K46" s="138" t="n">
        <v>0</v>
      </c>
      <c r="L46" s="132" t="n">
        <v>11.17155805519818</v>
      </c>
      <c r="M46" s="139" t="n">
        <v>0.1189266163640876</v>
      </c>
      <c r="N46" s="132" t="n">
        <v>0.6573687645564406</v>
      </c>
      <c r="O46" s="139" t="n">
        <v>0.5109438308360756</v>
      </c>
      <c r="P46" s="132" t="n"/>
      <c r="Q46" s="139" t="n"/>
      <c r="R46" s="132" t="n"/>
      <c r="S46" s="139" t="n"/>
      <c r="T46" s="132" t="n">
        <v>-0.4575387203693952</v>
      </c>
      <c r="U46" s="139" t="n">
        <v>-0.1152595674343554</v>
      </c>
      <c r="V46" s="132" t="n">
        <v>-0.5829615482688609</v>
      </c>
      <c r="W46" s="139" t="n">
        <v>0.5599191856229979</v>
      </c>
      <c r="X46" s="132" t="n">
        <v>-4.824336546554798</v>
      </c>
      <c r="Y46" s="139" t="n">
        <v>-0.3017840983800723</v>
      </c>
      <c r="Z46" s="132" t="n">
        <v>-1.457893306424741</v>
      </c>
      <c r="AA46" s="139" t="n">
        <v>0.1448699539163978</v>
      </c>
      <c r="AB46" s="132" t="n">
        <v>2.548452458933256</v>
      </c>
      <c r="AC46" s="139" t="n">
        <v>0.1220397680912124</v>
      </c>
      <c r="AD46" s="132" t="n">
        <v>0.4272659594974216</v>
      </c>
      <c r="AE46" s="139" t="n">
        <v>0.6691856236617104</v>
      </c>
      <c r="AF46" s="132" t="n">
        <v>0.3381479253980153</v>
      </c>
      <c r="AG46" s="139" t="n">
        <v>0.3324297631586351</v>
      </c>
      <c r="AH46" s="132" t="n">
        <v>2.260684782961035</v>
      </c>
      <c r="AI46" s="139" t="n">
        <v>0.02377878343351147</v>
      </c>
    </row>
    <row r="47">
      <c r="C47" s="126" t="inlineStr">
        <is>
          <t>PRIO</t>
        </is>
      </c>
      <c r="D47" s="126" t="inlineStr">
        <is>
          <t>primary</t>
        </is>
      </c>
      <c r="E47" s="126" t="inlineStr">
        <is>
          <t>BCOM</t>
        </is>
      </c>
      <c r="F47" s="112" t="n">
        <v>44166</v>
      </c>
      <c r="G47" s="112" t="n">
        <v>46204</v>
      </c>
      <c r="H47" s="138" t="n">
        <v>68</v>
      </c>
      <c r="I47" s="139" t="n">
        <v>0.138308328209245</v>
      </c>
      <c r="J47" s="139" t="n">
        <v>0.06881706435515178</v>
      </c>
      <c r="K47" s="138" t="n">
        <v>0</v>
      </c>
      <c r="L47" s="132" t="n">
        <v>10.08512925738002</v>
      </c>
      <c r="M47" s="139" t="n">
        <v>0.2947745978423467</v>
      </c>
      <c r="N47" s="132" t="n">
        <v>1.648805699449301</v>
      </c>
      <c r="O47" s="139" t="n">
        <v>0.09918744695760173</v>
      </c>
      <c r="P47" s="132" t="n">
        <v>0.6398453157417556</v>
      </c>
      <c r="Q47" s="139" t="n">
        <v>0.2365365155906477</v>
      </c>
      <c r="R47" s="132" t="n">
        <v>1.234906205360828</v>
      </c>
      <c r="S47" s="139" t="n">
        <v>0.2168654137362678</v>
      </c>
      <c r="T47" s="132" t="n">
        <v>-0.01214217875427415</v>
      </c>
      <c r="U47" s="139" t="n">
        <v>-0.003417033450777873</v>
      </c>
      <c r="V47" s="132" t="n">
        <v>-0.0187942796436719</v>
      </c>
      <c r="W47" s="139" t="n">
        <v>0.9850052172013264</v>
      </c>
      <c r="X47" s="132" t="n">
        <v>-2.330144196653837</v>
      </c>
      <c r="Y47" s="139" t="n">
        <v>-0.1535471080655911</v>
      </c>
      <c r="Z47" s="132" t="n">
        <v>-0.7328796521935453</v>
      </c>
      <c r="AA47" s="139" t="n">
        <v>0.4636318345516921</v>
      </c>
      <c r="AB47" s="132" t="n">
        <v>2.587923299299834</v>
      </c>
      <c r="AC47" s="139" t="n">
        <v>0.1538164784164119</v>
      </c>
      <c r="AD47" s="132" t="n">
        <v>0.5229752141674233</v>
      </c>
      <c r="AE47" s="139" t="n">
        <v>0.600991501707123</v>
      </c>
      <c r="AF47" s="132" t="n"/>
      <c r="AG47" s="139" t="n"/>
      <c r="AH47" s="132" t="n"/>
      <c r="AI47" s="139" t="n"/>
    </row>
    <row r="48">
      <c r="C48" s="126" t="inlineStr">
        <is>
          <t>PRIO</t>
        </is>
      </c>
      <c r="D48" s="126" t="inlineStr">
        <is>
          <t>primary</t>
        </is>
      </c>
      <c r="E48" s="126" t="inlineStr">
        <is>
          <t>Brent</t>
        </is>
      </c>
      <c r="F48" s="112" t="n">
        <v>44166</v>
      </c>
      <c r="G48" s="112" t="n">
        <v>46204</v>
      </c>
      <c r="H48" s="138" t="n">
        <v>68</v>
      </c>
      <c r="I48" s="139" t="n">
        <v>0.2229618228882954</v>
      </c>
      <c r="J48" s="139" t="n">
        <v>0.1602974537663837</v>
      </c>
      <c r="K48" s="138" t="n">
        <v>0</v>
      </c>
      <c r="L48" s="132" t="n">
        <v>7.893511769805429</v>
      </c>
      <c r="M48" s="139" t="n">
        <v>0.2307166024476614</v>
      </c>
      <c r="N48" s="132" t="n">
        <v>1.428327219920362</v>
      </c>
      <c r="O48" s="139" t="n">
        <v>0.1531976966357116</v>
      </c>
      <c r="P48" s="132" t="n"/>
      <c r="Q48" s="139" t="n"/>
      <c r="R48" s="132" t="n"/>
      <c r="S48" s="139" t="n"/>
      <c r="T48" s="132" t="n">
        <v>-0.06106665343509698</v>
      </c>
      <c r="U48" s="139" t="n">
        <v>-0.01718528459658577</v>
      </c>
      <c r="V48" s="132" t="n">
        <v>-0.1247329764068704</v>
      </c>
      <c r="W48" s="139" t="n">
        <v>0.900734949868212</v>
      </c>
      <c r="X48" s="132" t="n">
        <v>-2.736825282597488</v>
      </c>
      <c r="Y48" s="139" t="n">
        <v>-0.1803457520041483</v>
      </c>
      <c r="Z48" s="132" t="n">
        <v>-0.8423700851685241</v>
      </c>
      <c r="AA48" s="139" t="n">
        <v>0.3995808322815455</v>
      </c>
      <c r="AB48" s="132" t="n">
        <v>2.155934968102829</v>
      </c>
      <c r="AC48" s="139" t="n">
        <v>0.1281407082575046</v>
      </c>
      <c r="AD48" s="132" t="n">
        <v>0.5224917818700764</v>
      </c>
      <c r="AE48" s="139" t="n">
        <v>0.6013279669199147</v>
      </c>
      <c r="AF48" s="132" t="n">
        <v>0.4094504771046052</v>
      </c>
      <c r="AG48" s="139" t="n">
        <v>0.3891072915787847</v>
      </c>
      <c r="AH48" s="132" t="n">
        <v>2.600991971720306</v>
      </c>
      <c r="AI48" s="139" t="n">
        <v>0.009295462930224208</v>
      </c>
    </row>
    <row r="49">
      <c r="C49" s="126" t="inlineStr">
        <is>
          <t>PRIO</t>
        </is>
      </c>
      <c r="D49" s="126" t="inlineStr">
        <is>
          <t>clean</t>
        </is>
      </c>
      <c r="E49" s="126" t="inlineStr">
        <is>
          <t>BCOM</t>
        </is>
      </c>
      <c r="F49" s="112" t="n">
        <v>44562</v>
      </c>
      <c r="G49" s="112" t="n">
        <v>46204</v>
      </c>
      <c r="H49" s="138" t="n">
        <v>55</v>
      </c>
      <c r="I49" s="139" t="n">
        <v>0.1258244123235434</v>
      </c>
      <c r="J49" s="139" t="n">
        <v>0.03662282174431308</v>
      </c>
      <c r="K49" s="138" t="n">
        <v>0</v>
      </c>
      <c r="L49" s="132" t="n">
        <v>15.81893773734574</v>
      </c>
      <c r="M49" s="139" t="n">
        <v>0.2209601168956896</v>
      </c>
      <c r="N49" s="132" t="n">
        <v>1.884258307755172</v>
      </c>
      <c r="O49" s="139" t="n">
        <v>0.05953004396769912</v>
      </c>
      <c r="P49" s="132" t="n">
        <v>0.4547275087737859</v>
      </c>
      <c r="Q49" s="139" t="n">
        <v>0.1681681291294783</v>
      </c>
      <c r="R49" s="132" t="n">
        <v>0.8438962073571534</v>
      </c>
      <c r="S49" s="139" t="n">
        <v>0.3987274077227259</v>
      </c>
      <c r="T49" s="132" t="n">
        <v>-0.217479570743305</v>
      </c>
      <c r="U49" s="139" t="n">
        <v>-0.05617573037891162</v>
      </c>
      <c r="V49" s="132" t="n">
        <v>-0.2797861322055629</v>
      </c>
      <c r="W49" s="139" t="n">
        <v>0.7796415918633846</v>
      </c>
      <c r="X49" s="132" t="n">
        <v>-4.132671195306902</v>
      </c>
      <c r="Y49" s="139" t="n">
        <v>-0.235201205130453</v>
      </c>
      <c r="Z49" s="132" t="n">
        <v>-1.42045143247966</v>
      </c>
      <c r="AA49" s="139" t="n">
        <v>0.1554762984200859</v>
      </c>
      <c r="AB49" s="132" t="n">
        <v>0.08503241682445561</v>
      </c>
      <c r="AC49" s="139" t="n">
        <v>0.003757065185534739</v>
      </c>
      <c r="AD49" s="132" t="n">
        <v>0.01387696106983152</v>
      </c>
      <c r="AE49" s="139" t="n">
        <v>0.9889281423640199</v>
      </c>
      <c r="AF49" s="132" t="n"/>
      <c r="AG49" s="139" t="n"/>
      <c r="AH49" s="132" t="n"/>
      <c r="AI49" s="139" t="n"/>
    </row>
    <row r="50">
      <c r="C50" s="126" t="inlineStr">
        <is>
          <t>PRIO</t>
        </is>
      </c>
      <c r="D50" s="126" t="inlineStr">
        <is>
          <t>clean</t>
        </is>
      </c>
      <c r="E50" s="126" t="inlineStr">
        <is>
          <t>Brent</t>
        </is>
      </c>
      <c r="F50" s="112" t="n">
        <v>44562</v>
      </c>
      <c r="G50" s="112" t="n">
        <v>46204</v>
      </c>
      <c r="H50" s="138" t="n">
        <v>55</v>
      </c>
      <c r="I50" s="139" t="n">
        <v>0.2024359091730376</v>
      </c>
      <c r="J50" s="139" t="n">
        <v>0.1210518182723271</v>
      </c>
      <c r="K50" s="138" t="n">
        <v>0</v>
      </c>
      <c r="L50" s="132" t="n">
        <v>13.57209385596114</v>
      </c>
      <c r="M50" s="139" t="n">
        <v>0.1895760318881944</v>
      </c>
      <c r="N50" s="132" t="n">
        <v>1.62041823002379</v>
      </c>
      <c r="O50" s="139" t="n">
        <v>0.1051424664486176</v>
      </c>
      <c r="P50" s="132" t="n"/>
      <c r="Q50" s="139" t="n"/>
      <c r="R50" s="132" t="n"/>
      <c r="S50" s="139" t="n"/>
      <c r="T50" s="132" t="n">
        <v>-0.1160076915869155</v>
      </c>
      <c r="U50" s="139" t="n">
        <v>-0.02996519067144186</v>
      </c>
      <c r="V50" s="132" t="n">
        <v>-0.2190573324796541</v>
      </c>
      <c r="W50" s="139" t="n">
        <v>0.8266053872788008</v>
      </c>
      <c r="X50" s="132" t="n">
        <v>-4.539384596700003</v>
      </c>
      <c r="Y50" s="139" t="n">
        <v>-0.258348336278701</v>
      </c>
      <c r="Z50" s="132" t="n">
        <v>-1.496512535890978</v>
      </c>
      <c r="AA50" s="139" t="n">
        <v>0.1345201436260193</v>
      </c>
      <c r="AB50" s="132" t="n">
        <v>-0.6535256054762839</v>
      </c>
      <c r="AC50" s="139" t="n">
        <v>-0.02887532063517931</v>
      </c>
      <c r="AD50" s="132" t="n">
        <v>-0.1329002830650229</v>
      </c>
      <c r="AE50" s="139" t="n">
        <v>0.8942722430368466</v>
      </c>
      <c r="AF50" s="132" t="n">
        <v>0.3594472380851013</v>
      </c>
      <c r="AG50" s="139" t="n">
        <v>0.3401715728001491</v>
      </c>
      <c r="AH50" s="132" t="n">
        <v>2.127155462937372</v>
      </c>
      <c r="AI50" s="139" t="n">
        <v>0.03340716823533252</v>
      </c>
    </row>
    <row r="51">
      <c r="C51" s="126" t="inlineStr">
        <is>
          <t>PRIO</t>
        </is>
      </c>
      <c r="D51" s="126" t="inlineStr">
        <is>
          <t>audit_clean</t>
        </is>
      </c>
      <c r="E51" s="126" t="inlineStr">
        <is>
          <t>BCOM</t>
        </is>
      </c>
      <c r="F51" s="112" t="n">
        <v>44562</v>
      </c>
      <c r="G51" s="112" t="n">
        <v>46204</v>
      </c>
      <c r="H51" s="138" t="n">
        <v>52</v>
      </c>
      <c r="I51" s="139" t="n">
        <v>0.1278447124535044</v>
      </c>
      <c r="J51" s="139" t="n">
        <v>0.03304522467671145</v>
      </c>
      <c r="K51" s="138" t="n">
        <v>0</v>
      </c>
      <c r="L51" s="132" t="n">
        <v>15.68232481176911</v>
      </c>
      <c r="M51" s="139" t="n">
        <v>0.2174632162170367</v>
      </c>
      <c r="N51" s="132" t="n">
        <v>1.838637024698894</v>
      </c>
      <c r="O51" s="139" t="n">
        <v>0.06596859172815028</v>
      </c>
      <c r="P51" s="132" t="n">
        <v>0.5427554365975613</v>
      </c>
      <c r="Q51" s="139" t="n">
        <v>0.1954876211468334</v>
      </c>
      <c r="R51" s="132" t="n">
        <v>0.9733241488454748</v>
      </c>
      <c r="S51" s="139" t="n">
        <v>0.3303922240140822</v>
      </c>
      <c r="T51" s="132" t="n">
        <v>-0.111368358359659</v>
      </c>
      <c r="U51" s="139" t="n">
        <v>-0.02871220297006179</v>
      </c>
      <c r="V51" s="132" t="n">
        <v>-0.1434238267593657</v>
      </c>
      <c r="W51" s="139" t="n">
        <v>0.8859554664688971</v>
      </c>
      <c r="X51" s="132" t="n">
        <v>-4.076894942116888</v>
      </c>
      <c r="Y51" s="139" t="n">
        <v>-0.2306389957291904</v>
      </c>
      <c r="Z51" s="132" t="n">
        <v>-1.32791529029102</v>
      </c>
      <c r="AA51" s="139" t="n">
        <v>0.1842060928792688</v>
      </c>
      <c r="AB51" s="132" t="n">
        <v>-0.1232385964342735</v>
      </c>
      <c r="AC51" s="139" t="n">
        <v>-0.005395077556483427</v>
      </c>
      <c r="AD51" s="132" t="n">
        <v>-0.01963373958192931</v>
      </c>
      <c r="AE51" s="139" t="n">
        <v>0.9843355487217376</v>
      </c>
      <c r="AF51" s="132" t="n"/>
      <c r="AG51" s="139" t="n"/>
      <c r="AH51" s="132" t="n"/>
      <c r="AI51" s="139" t="n"/>
    </row>
    <row r="52">
      <c r="C52" s="126" t="inlineStr">
        <is>
          <t>PRIO</t>
        </is>
      </c>
      <c r="D52" s="126" t="inlineStr">
        <is>
          <t>audit_clean</t>
        </is>
      </c>
      <c r="E52" s="126" t="inlineStr">
        <is>
          <t>Brent</t>
        </is>
      </c>
      <c r="F52" s="112" t="n">
        <v>44562</v>
      </c>
      <c r="G52" s="112" t="n">
        <v>46204</v>
      </c>
      <c r="H52" s="138" t="n">
        <v>52</v>
      </c>
      <c r="I52" s="139" t="n">
        <v>0.2037467700769257</v>
      </c>
      <c r="J52" s="139" t="n">
        <v>0.1171975059548523</v>
      </c>
      <c r="K52" s="138" t="n">
        <v>0</v>
      </c>
      <c r="L52" s="132" t="n">
        <v>13.62216856226577</v>
      </c>
      <c r="M52" s="139" t="n">
        <v>0.188895500058626</v>
      </c>
      <c r="N52" s="132" t="n">
        <v>1.601106377502713</v>
      </c>
      <c r="O52" s="139" t="n">
        <v>0.1093533599288445</v>
      </c>
      <c r="P52" s="132" t="n"/>
      <c r="Q52" s="139" t="n"/>
      <c r="R52" s="132" t="n"/>
      <c r="S52" s="139" t="n"/>
      <c r="T52" s="132" t="n">
        <v>-0.07959501001985814</v>
      </c>
      <c r="U52" s="139" t="n">
        <v>-0.02052062288386931</v>
      </c>
      <c r="V52" s="132" t="n">
        <v>-0.1501638680892087</v>
      </c>
      <c r="W52" s="139" t="n">
        <v>0.8806353317006324</v>
      </c>
      <c r="X52" s="132" t="n">
        <v>-4.429799593650705</v>
      </c>
      <c r="Y52" s="139" t="n">
        <v>-0.2506035951543742</v>
      </c>
      <c r="Z52" s="132" t="n">
        <v>-1.396507225589884</v>
      </c>
      <c r="AA52" s="139" t="n">
        <v>0.1625618062619851</v>
      </c>
      <c r="AB52" s="132" t="n">
        <v>-0.7389354569495032</v>
      </c>
      <c r="AC52" s="139" t="n">
        <v>-0.03234874637349891</v>
      </c>
      <c r="AD52" s="132" t="n">
        <v>-0.1476793420605684</v>
      </c>
      <c r="AE52" s="139" t="n">
        <v>0.8825958355026191</v>
      </c>
      <c r="AF52" s="132" t="n">
        <v>0.3681664833521321</v>
      </c>
      <c r="AG52" s="139" t="n">
        <v>0.347669480376992</v>
      </c>
      <c r="AH52" s="132" t="n">
        <v>2.160632140800362</v>
      </c>
      <c r="AI52" s="139" t="n">
        <v>0.03072376659930431</v>
      </c>
    </row>
    <row r="53">
      <c r="C53" s="126" t="inlineStr">
        <is>
          <t>PRIO</t>
        </is>
      </c>
      <c r="D53" s="126" t="inlineStr">
        <is>
          <t>since_2022_ex_seams</t>
        </is>
      </c>
      <c r="E53" s="126" t="inlineStr">
        <is>
          <t>BCOM</t>
        </is>
      </c>
      <c r="F53" s="112" t="n">
        <v>44562</v>
      </c>
      <c r="G53" s="112" t="n">
        <v>46204</v>
      </c>
      <c r="H53" s="138" t="n">
        <v>52</v>
      </c>
      <c r="I53" s="139" t="n">
        <v>0.1278447124535044</v>
      </c>
      <c r="J53" s="139" t="n">
        <v>0.03304522467671145</v>
      </c>
      <c r="K53" s="138" t="n">
        <v>0</v>
      </c>
      <c r="L53" s="132" t="n">
        <v>15.68232481176911</v>
      </c>
      <c r="M53" s="139" t="n">
        <v>0.2174632162170367</v>
      </c>
      <c r="N53" s="132" t="n">
        <v>1.838637024698894</v>
      </c>
      <c r="O53" s="139" t="n">
        <v>0.06596859172815028</v>
      </c>
      <c r="P53" s="132" t="n">
        <v>0.5427554365975613</v>
      </c>
      <c r="Q53" s="139" t="n">
        <v>0.1954876211468334</v>
      </c>
      <c r="R53" s="132" t="n">
        <v>0.9733241488454748</v>
      </c>
      <c r="S53" s="139" t="n">
        <v>0.3303922240140822</v>
      </c>
      <c r="T53" s="132" t="n">
        <v>-0.111368358359659</v>
      </c>
      <c r="U53" s="139" t="n">
        <v>-0.02871220297006179</v>
      </c>
      <c r="V53" s="132" t="n">
        <v>-0.1434238267593657</v>
      </c>
      <c r="W53" s="139" t="n">
        <v>0.8859554664688971</v>
      </c>
      <c r="X53" s="132" t="n">
        <v>-4.076894942116888</v>
      </c>
      <c r="Y53" s="139" t="n">
        <v>-0.2306389957291904</v>
      </c>
      <c r="Z53" s="132" t="n">
        <v>-1.32791529029102</v>
      </c>
      <c r="AA53" s="139" t="n">
        <v>0.1842060928792688</v>
      </c>
      <c r="AB53" s="132" t="n">
        <v>-0.1232385964342735</v>
      </c>
      <c r="AC53" s="139" t="n">
        <v>-0.005395077556483427</v>
      </c>
      <c r="AD53" s="132" t="n">
        <v>-0.01963373958192931</v>
      </c>
      <c r="AE53" s="139" t="n">
        <v>0.9843355487217376</v>
      </c>
      <c r="AF53" s="132" t="n"/>
      <c r="AG53" s="139" t="n"/>
      <c r="AH53" s="132" t="n"/>
      <c r="AI53" s="139" t="n"/>
    </row>
    <row r="54">
      <c r="C54" s="126" t="inlineStr">
        <is>
          <t>PRIO</t>
        </is>
      </c>
      <c r="D54" s="126" t="inlineStr">
        <is>
          <t>since_2022_ex_seams</t>
        </is>
      </c>
      <c r="E54" s="126" t="inlineStr">
        <is>
          <t>Brent</t>
        </is>
      </c>
      <c r="F54" s="112" t="n">
        <v>44562</v>
      </c>
      <c r="G54" s="112" t="n">
        <v>46204</v>
      </c>
      <c r="H54" s="138" t="n">
        <v>52</v>
      </c>
      <c r="I54" s="139" t="n">
        <v>0.2037467700769257</v>
      </c>
      <c r="J54" s="139" t="n">
        <v>0.1171975059548523</v>
      </c>
      <c r="K54" s="138" t="n">
        <v>0</v>
      </c>
      <c r="L54" s="132" t="n">
        <v>13.62216856226577</v>
      </c>
      <c r="M54" s="139" t="n">
        <v>0.188895500058626</v>
      </c>
      <c r="N54" s="132" t="n">
        <v>1.601106377502713</v>
      </c>
      <c r="O54" s="139" t="n">
        <v>0.1093533599288445</v>
      </c>
      <c r="P54" s="132" t="n"/>
      <c r="Q54" s="139" t="n"/>
      <c r="R54" s="132" t="n"/>
      <c r="S54" s="139" t="n"/>
      <c r="T54" s="132" t="n">
        <v>-0.07959501001985814</v>
      </c>
      <c r="U54" s="139" t="n">
        <v>-0.02052062288386931</v>
      </c>
      <c r="V54" s="132" t="n">
        <v>-0.1501638680892087</v>
      </c>
      <c r="W54" s="139" t="n">
        <v>0.8806353317006324</v>
      </c>
      <c r="X54" s="132" t="n">
        <v>-4.429799593650705</v>
      </c>
      <c r="Y54" s="139" t="n">
        <v>-0.2506035951543742</v>
      </c>
      <c r="Z54" s="132" t="n">
        <v>-1.396507225589884</v>
      </c>
      <c r="AA54" s="139" t="n">
        <v>0.1625618062619851</v>
      </c>
      <c r="AB54" s="132" t="n">
        <v>-0.7389354569495032</v>
      </c>
      <c r="AC54" s="139" t="n">
        <v>-0.03234874637349891</v>
      </c>
      <c r="AD54" s="132" t="n">
        <v>-0.1476793420605684</v>
      </c>
      <c r="AE54" s="139" t="n">
        <v>0.8825958355026191</v>
      </c>
      <c r="AF54" s="132" t="n">
        <v>0.3681664833521321</v>
      </c>
      <c r="AG54" s="139" t="n">
        <v>0.347669480376992</v>
      </c>
      <c r="AH54" s="132" t="n">
        <v>2.160632140800362</v>
      </c>
      <c r="AI54" s="139" t="n">
        <v>0.03072376659930431</v>
      </c>
    </row>
    <row r="55">
      <c r="C55" s="126" t="inlineStr">
        <is>
          <t>Brava Energia</t>
        </is>
      </c>
      <c r="D55" s="126" t="inlineStr">
        <is>
          <t>primary</t>
        </is>
      </c>
      <c r="E55" s="126" t="inlineStr">
        <is>
          <t>BCOM</t>
        </is>
      </c>
      <c r="F55" s="112" t="n">
        <v>44652</v>
      </c>
      <c r="G55" s="112" t="n">
        <v>46204</v>
      </c>
      <c r="H55" s="138" t="n">
        <v>52</v>
      </c>
      <c r="I55" s="139" t="n">
        <v>0.1401196060474384</v>
      </c>
      <c r="J55" s="139" t="n">
        <v>0.04665434583520345</v>
      </c>
      <c r="K55" s="138" t="n">
        <v>0</v>
      </c>
      <c r="L55" s="132" t="n">
        <v>7.395749509475807</v>
      </c>
      <c r="M55" s="139" t="n">
        <v>0.0684750869699268</v>
      </c>
      <c r="N55" s="132" t="n">
        <v>0.3049596499435687</v>
      </c>
      <c r="O55" s="139" t="n">
        <v>0.7603968840319193</v>
      </c>
      <c r="P55" s="132" t="n">
        <v>0.4784598966836047</v>
      </c>
      <c r="Q55" s="139" t="n">
        <v>0.1477671230544388</v>
      </c>
      <c r="R55" s="132" t="n">
        <v>0.748592830483124</v>
      </c>
      <c r="S55" s="139" t="n">
        <v>0.4541026546785829</v>
      </c>
      <c r="T55" s="132" t="n">
        <v>-0.1372639550233413</v>
      </c>
      <c r="U55" s="139" t="n">
        <v>-0.02972196194085847</v>
      </c>
      <c r="V55" s="132" t="n">
        <v>-0.1369830172235576</v>
      </c>
      <c r="W55" s="139" t="n">
        <v>0.8910442188543128</v>
      </c>
      <c r="X55" s="132" t="n">
        <v>-4.392106660746537</v>
      </c>
      <c r="Y55" s="139" t="n">
        <v>-0.2361523196401175</v>
      </c>
      <c r="Z55" s="132" t="n">
        <v>-1.006932019071148</v>
      </c>
      <c r="AA55" s="139" t="n">
        <v>0.3139674438080919</v>
      </c>
      <c r="AB55" s="132" t="n">
        <v>8.215369492052508</v>
      </c>
      <c r="AC55" s="139" t="n">
        <v>0.3390949013224395</v>
      </c>
      <c r="AD55" s="132" t="n">
        <v>1.062557635676015</v>
      </c>
      <c r="AE55" s="139" t="n">
        <v>0.2879826075472613</v>
      </c>
      <c r="AF55" s="132" t="n"/>
      <c r="AG55" s="139" t="n"/>
      <c r="AH55" s="132" t="n"/>
      <c r="AI55" s="139" t="n"/>
    </row>
    <row r="56">
      <c r="C56" s="126" t="inlineStr">
        <is>
          <t>Brava Energia</t>
        </is>
      </c>
      <c r="D56" s="126" t="inlineStr">
        <is>
          <t>primary</t>
        </is>
      </c>
      <c r="E56" s="126" t="inlineStr">
        <is>
          <t>Brent</t>
        </is>
      </c>
      <c r="F56" s="112" t="n">
        <v>44652</v>
      </c>
      <c r="G56" s="112" t="n">
        <v>46204</v>
      </c>
      <c r="H56" s="138" t="n">
        <v>52</v>
      </c>
      <c r="I56" s="139" t="n">
        <v>0.1413718902303301</v>
      </c>
      <c r="J56" s="139" t="n">
        <v>0.04804274786406171</v>
      </c>
      <c r="K56" s="138" t="n">
        <v>0</v>
      </c>
      <c r="L56" s="132" t="n">
        <v>4.835532683635501</v>
      </c>
      <c r="M56" s="139" t="n">
        <v>0.04477078633255821</v>
      </c>
      <c r="N56" s="132" t="n">
        <v>0.1978601344997414</v>
      </c>
      <c r="O56" s="139" t="n">
        <v>0.8431544955540053</v>
      </c>
      <c r="P56" s="132" t="n"/>
      <c r="Q56" s="139" t="n"/>
      <c r="R56" s="132" t="n"/>
      <c r="S56" s="139" t="n"/>
      <c r="T56" s="132" t="n">
        <v>-0.3688045815348872</v>
      </c>
      <c r="U56" s="139" t="n">
        <v>-0.07985778738584376</v>
      </c>
      <c r="V56" s="132" t="n">
        <v>-0.4846023405947646</v>
      </c>
      <c r="W56" s="139" t="n">
        <v>0.627958453077057</v>
      </c>
      <c r="X56" s="132" t="n">
        <v>-4.428128812405303</v>
      </c>
      <c r="Y56" s="139" t="n">
        <v>-0.2380891384220185</v>
      </c>
      <c r="Z56" s="132" t="n">
        <v>-1.037093112931913</v>
      </c>
      <c r="AA56" s="139" t="n">
        <v>0.2996924645567411</v>
      </c>
      <c r="AB56" s="132" t="n">
        <v>8.812667565563517</v>
      </c>
      <c r="AC56" s="139" t="n">
        <v>0.3637487810405984</v>
      </c>
      <c r="AD56" s="132" t="n">
        <v>1.336629305260644</v>
      </c>
      <c r="AE56" s="139" t="n">
        <v>0.1813436683389233</v>
      </c>
      <c r="AF56" s="132" t="n">
        <v>0.1629821004531689</v>
      </c>
      <c r="AG56" s="139" t="n">
        <v>0.1370784807825402</v>
      </c>
      <c r="AH56" s="132" t="n">
        <v>0.868720301754661</v>
      </c>
      <c r="AI56" s="139" t="n">
        <v>0.3850001342995233</v>
      </c>
    </row>
    <row r="57">
      <c r="C57" s="126" t="inlineStr">
        <is>
          <t>Brava Energia</t>
        </is>
      </c>
      <c r="D57" s="126" t="inlineStr">
        <is>
          <t>clean</t>
        </is>
      </c>
      <c r="E57" s="126" t="inlineStr">
        <is>
          <t>BCOM</t>
        </is>
      </c>
      <c r="F57" s="112" t="n">
        <v>44652</v>
      </c>
      <c r="G57" s="112" t="n">
        <v>46204</v>
      </c>
      <c r="H57" s="138" t="n">
        <v>52</v>
      </c>
      <c r="I57" s="139" t="n">
        <v>0.1401196060474384</v>
      </c>
      <c r="J57" s="139" t="n">
        <v>0.04665434583520345</v>
      </c>
      <c r="K57" s="138" t="n">
        <v>0</v>
      </c>
      <c r="L57" s="132" t="n">
        <v>7.395749509475807</v>
      </c>
      <c r="M57" s="139" t="n">
        <v>0.0684750869699268</v>
      </c>
      <c r="N57" s="132" t="n">
        <v>0.3049596499435687</v>
      </c>
      <c r="O57" s="139" t="n">
        <v>0.7603968840319193</v>
      </c>
      <c r="P57" s="132" t="n">
        <v>0.4784598966836047</v>
      </c>
      <c r="Q57" s="139" t="n">
        <v>0.1477671230544388</v>
      </c>
      <c r="R57" s="132" t="n">
        <v>0.748592830483124</v>
      </c>
      <c r="S57" s="139" t="n">
        <v>0.4541026546785829</v>
      </c>
      <c r="T57" s="132" t="n">
        <v>-0.1372639550233413</v>
      </c>
      <c r="U57" s="139" t="n">
        <v>-0.02972196194085847</v>
      </c>
      <c r="V57" s="132" t="n">
        <v>-0.1369830172235576</v>
      </c>
      <c r="W57" s="139" t="n">
        <v>0.8910442188543128</v>
      </c>
      <c r="X57" s="132" t="n">
        <v>-4.392106660746537</v>
      </c>
      <c r="Y57" s="139" t="n">
        <v>-0.2361523196401175</v>
      </c>
      <c r="Z57" s="132" t="n">
        <v>-1.006932019071148</v>
      </c>
      <c r="AA57" s="139" t="n">
        <v>0.3139674438080919</v>
      </c>
      <c r="AB57" s="132" t="n">
        <v>8.215369492052508</v>
      </c>
      <c r="AC57" s="139" t="n">
        <v>0.3390949013224395</v>
      </c>
      <c r="AD57" s="132" t="n">
        <v>1.062557635676015</v>
      </c>
      <c r="AE57" s="139" t="n">
        <v>0.2879826075472613</v>
      </c>
      <c r="AF57" s="132" t="n"/>
      <c r="AG57" s="139" t="n"/>
      <c r="AH57" s="132" t="n"/>
      <c r="AI57" s="139" t="n"/>
    </row>
    <row r="58">
      <c r="C58" s="126" t="inlineStr">
        <is>
          <t>Brava Energia</t>
        </is>
      </c>
      <c r="D58" s="126" t="inlineStr">
        <is>
          <t>clean</t>
        </is>
      </c>
      <c r="E58" s="126" t="inlineStr">
        <is>
          <t>Brent</t>
        </is>
      </c>
      <c r="F58" s="112" t="n">
        <v>44652</v>
      </c>
      <c r="G58" s="112" t="n">
        <v>46204</v>
      </c>
      <c r="H58" s="138" t="n">
        <v>52</v>
      </c>
      <c r="I58" s="139" t="n">
        <v>0.1413718902303301</v>
      </c>
      <c r="J58" s="139" t="n">
        <v>0.04804274786406171</v>
      </c>
      <c r="K58" s="138" t="n">
        <v>0</v>
      </c>
      <c r="L58" s="132" t="n">
        <v>4.835532683635501</v>
      </c>
      <c r="M58" s="139" t="n">
        <v>0.04477078633255821</v>
      </c>
      <c r="N58" s="132" t="n">
        <v>0.1978601344997414</v>
      </c>
      <c r="O58" s="139" t="n">
        <v>0.8431544955540053</v>
      </c>
      <c r="P58" s="132" t="n"/>
      <c r="Q58" s="139" t="n"/>
      <c r="R58" s="132" t="n"/>
      <c r="S58" s="139" t="n"/>
      <c r="T58" s="132" t="n">
        <v>-0.3688045815348872</v>
      </c>
      <c r="U58" s="139" t="n">
        <v>-0.07985778738584376</v>
      </c>
      <c r="V58" s="132" t="n">
        <v>-0.4846023405947646</v>
      </c>
      <c r="W58" s="139" t="n">
        <v>0.627958453077057</v>
      </c>
      <c r="X58" s="132" t="n">
        <v>-4.428128812405303</v>
      </c>
      <c r="Y58" s="139" t="n">
        <v>-0.2380891384220185</v>
      </c>
      <c r="Z58" s="132" t="n">
        <v>-1.037093112931913</v>
      </c>
      <c r="AA58" s="139" t="n">
        <v>0.2996924645567411</v>
      </c>
      <c r="AB58" s="132" t="n">
        <v>8.812667565563517</v>
      </c>
      <c r="AC58" s="139" t="n">
        <v>0.3637487810405984</v>
      </c>
      <c r="AD58" s="132" t="n">
        <v>1.336629305260644</v>
      </c>
      <c r="AE58" s="139" t="n">
        <v>0.1813436683389233</v>
      </c>
      <c r="AF58" s="132" t="n">
        <v>0.1629821004531689</v>
      </c>
      <c r="AG58" s="139" t="n">
        <v>0.1370784807825402</v>
      </c>
      <c r="AH58" s="132" t="n">
        <v>0.868720301754661</v>
      </c>
      <c r="AI58" s="139" t="n">
        <v>0.3850001342995233</v>
      </c>
    </row>
    <row r="59">
      <c r="C59" s="126" t="inlineStr">
        <is>
          <t>Brava Energia</t>
        </is>
      </c>
      <c r="D59" s="126" t="inlineStr">
        <is>
          <t>audit_clean</t>
        </is>
      </c>
      <c r="E59" s="126" t="inlineStr">
        <is>
          <t>BCOM</t>
        </is>
      </c>
      <c r="F59" s="112" t="n">
        <v>44652</v>
      </c>
      <c r="G59" s="112" t="n">
        <v>46204</v>
      </c>
      <c r="H59" s="138" t="n">
        <v>49</v>
      </c>
      <c r="I59" s="139" t="n">
        <v>0.1390564411869344</v>
      </c>
      <c r="J59" s="139" t="n">
        <v>0.03894672504588037</v>
      </c>
      <c r="K59" s="138" t="n">
        <v>0</v>
      </c>
      <c r="L59" s="132" t="n">
        <v>6.522217322210858</v>
      </c>
      <c r="M59" s="139" t="n">
        <v>0.05939289242756879</v>
      </c>
      <c r="N59" s="132" t="n">
        <v>0.2630328347813025</v>
      </c>
      <c r="O59" s="139" t="n">
        <v>0.7925252714277984</v>
      </c>
      <c r="P59" s="132" t="n">
        <v>0.4473262575229091</v>
      </c>
      <c r="Q59" s="139" t="n">
        <v>0.1344599641489199</v>
      </c>
      <c r="R59" s="132" t="n">
        <v>0.6512011286124008</v>
      </c>
      <c r="S59" s="139" t="n">
        <v>0.5149166619059817</v>
      </c>
      <c r="T59" s="132" t="n">
        <v>-0.2151694984596451</v>
      </c>
      <c r="U59" s="139" t="n">
        <v>-0.04636643806457444</v>
      </c>
      <c r="V59" s="132" t="n">
        <v>-0.2026006961501183</v>
      </c>
      <c r="W59" s="139" t="n">
        <v>0.8394471458373916</v>
      </c>
      <c r="X59" s="132" t="n">
        <v>-4.541307334373823</v>
      </c>
      <c r="Y59" s="139" t="n">
        <v>-0.2430040679213262</v>
      </c>
      <c r="Z59" s="132" t="n">
        <v>-1.089320750545959</v>
      </c>
      <c r="AA59" s="139" t="n">
        <v>0.2760124652594271</v>
      </c>
      <c r="AB59" s="132" t="n">
        <v>8.529291108331394</v>
      </c>
      <c r="AC59" s="139" t="n">
        <v>0.3493909640671813</v>
      </c>
      <c r="AD59" s="132" t="n">
        <v>1.072587855827789</v>
      </c>
      <c r="AE59" s="139" t="n">
        <v>0.2834560759232572</v>
      </c>
      <c r="AF59" s="132" t="n"/>
      <c r="AG59" s="139" t="n"/>
      <c r="AH59" s="132" t="n"/>
      <c r="AI59" s="139" t="n"/>
    </row>
    <row r="60">
      <c r="C60" s="126" t="inlineStr">
        <is>
          <t>Brava Energia</t>
        </is>
      </c>
      <c r="D60" s="126" t="inlineStr">
        <is>
          <t>audit_clean</t>
        </is>
      </c>
      <c r="E60" s="126" t="inlineStr">
        <is>
          <t>Brent</t>
        </is>
      </c>
      <c r="F60" s="112" t="n">
        <v>44652</v>
      </c>
      <c r="G60" s="112" t="n">
        <v>46204</v>
      </c>
      <c r="H60" s="138" t="n">
        <v>49</v>
      </c>
      <c r="I60" s="139" t="n">
        <v>0.1417923287452107</v>
      </c>
      <c r="J60" s="139" t="n">
        <v>0.04200073906442126</v>
      </c>
      <c r="K60" s="138" t="n">
        <v>0</v>
      </c>
      <c r="L60" s="132" t="n">
        <v>4.082898538416744</v>
      </c>
      <c r="M60" s="139" t="n">
        <v>0.03717986410220719</v>
      </c>
      <c r="N60" s="132" t="n">
        <v>0.164029456666281</v>
      </c>
      <c r="O60" s="139" t="n">
        <v>0.8697079548006232</v>
      </c>
      <c r="P60" s="132" t="n"/>
      <c r="Q60" s="139" t="n"/>
      <c r="R60" s="132" t="n"/>
      <c r="S60" s="139" t="n"/>
      <c r="T60" s="132" t="n">
        <v>-0.4340657980454814</v>
      </c>
      <c r="U60" s="139" t="n">
        <v>-0.09353595693211311</v>
      </c>
      <c r="V60" s="132" t="n">
        <v>-0.5592036017854236</v>
      </c>
      <c r="W60" s="139" t="n">
        <v>0.5760227753055953</v>
      </c>
      <c r="X60" s="132" t="n">
        <v>-4.591854106839886</v>
      </c>
      <c r="Y60" s="139" t="n">
        <v>-0.2457088113850809</v>
      </c>
      <c r="Z60" s="132" t="n">
        <v>-1.136355287548038</v>
      </c>
      <c r="AA60" s="139" t="n">
        <v>0.2558079006655871</v>
      </c>
      <c r="AB60" s="132" t="n">
        <v>8.995165880006988</v>
      </c>
      <c r="AC60" s="139" t="n">
        <v>0.36847489889165</v>
      </c>
      <c r="AD60" s="132" t="n">
        <v>1.319035842008632</v>
      </c>
      <c r="AE60" s="139" t="n">
        <v>0.1871571302335606</v>
      </c>
      <c r="AF60" s="132" t="n">
        <v>0.1552189327544173</v>
      </c>
      <c r="AG60" s="139" t="n">
        <v>0.1305304274696163</v>
      </c>
      <c r="AH60" s="132" t="n">
        <v>0.8367862547262788</v>
      </c>
      <c r="AI60" s="139" t="n">
        <v>0.4027127249628577</v>
      </c>
    </row>
    <row r="61">
      <c r="C61" s="126" t="inlineStr">
        <is>
          <t>Brava Energia</t>
        </is>
      </c>
      <c r="D61" s="126" t="inlineStr">
        <is>
          <t>since_2022_ex_seams</t>
        </is>
      </c>
      <c r="E61" s="126" t="inlineStr">
        <is>
          <t>BCOM</t>
        </is>
      </c>
      <c r="F61" s="112" t="n">
        <v>44652</v>
      </c>
      <c r="G61" s="112" t="n">
        <v>46204</v>
      </c>
      <c r="H61" s="138" t="n">
        <v>49</v>
      </c>
      <c r="I61" s="139" t="n">
        <v>0.1390564411869344</v>
      </c>
      <c r="J61" s="139" t="n">
        <v>0.03894672504588037</v>
      </c>
      <c r="K61" s="138" t="n">
        <v>0</v>
      </c>
      <c r="L61" s="132" t="n">
        <v>6.522217322210858</v>
      </c>
      <c r="M61" s="139" t="n">
        <v>0.05939289242756879</v>
      </c>
      <c r="N61" s="132" t="n">
        <v>0.2630328347813025</v>
      </c>
      <c r="O61" s="139" t="n">
        <v>0.7925252714277984</v>
      </c>
      <c r="P61" s="132" t="n">
        <v>0.4473262575229091</v>
      </c>
      <c r="Q61" s="139" t="n">
        <v>0.1344599641489199</v>
      </c>
      <c r="R61" s="132" t="n">
        <v>0.6512011286124008</v>
      </c>
      <c r="S61" s="139" t="n">
        <v>0.5149166619059817</v>
      </c>
      <c r="T61" s="132" t="n">
        <v>-0.2151694984596451</v>
      </c>
      <c r="U61" s="139" t="n">
        <v>-0.04636643806457444</v>
      </c>
      <c r="V61" s="132" t="n">
        <v>-0.2026006961501183</v>
      </c>
      <c r="W61" s="139" t="n">
        <v>0.8394471458373916</v>
      </c>
      <c r="X61" s="132" t="n">
        <v>-4.541307334373823</v>
      </c>
      <c r="Y61" s="139" t="n">
        <v>-0.2430040679213262</v>
      </c>
      <c r="Z61" s="132" t="n">
        <v>-1.089320750545959</v>
      </c>
      <c r="AA61" s="139" t="n">
        <v>0.2760124652594271</v>
      </c>
      <c r="AB61" s="132" t="n">
        <v>8.529291108331394</v>
      </c>
      <c r="AC61" s="139" t="n">
        <v>0.3493909640671813</v>
      </c>
      <c r="AD61" s="132" t="n">
        <v>1.072587855827789</v>
      </c>
      <c r="AE61" s="139" t="n">
        <v>0.2834560759232572</v>
      </c>
      <c r="AF61" s="132" t="n"/>
      <c r="AG61" s="139" t="n"/>
      <c r="AH61" s="132" t="n"/>
      <c r="AI61" s="139" t="n"/>
    </row>
    <row r="62">
      <c r="C62" s="126" t="inlineStr">
        <is>
          <t>Brava Energia</t>
        </is>
      </c>
      <c r="D62" s="126" t="inlineStr">
        <is>
          <t>since_2022_ex_seams</t>
        </is>
      </c>
      <c r="E62" s="126" t="inlineStr">
        <is>
          <t>Brent</t>
        </is>
      </c>
      <c r="F62" s="112" t="n">
        <v>44652</v>
      </c>
      <c r="G62" s="112" t="n">
        <v>46204</v>
      </c>
      <c r="H62" s="138" t="n">
        <v>49</v>
      </c>
      <c r="I62" s="139" t="n">
        <v>0.1417923287452107</v>
      </c>
      <c r="J62" s="139" t="n">
        <v>0.04200073906442126</v>
      </c>
      <c r="K62" s="138" t="n">
        <v>0</v>
      </c>
      <c r="L62" s="132" t="n">
        <v>4.082898538416744</v>
      </c>
      <c r="M62" s="139" t="n">
        <v>0.03717986410220719</v>
      </c>
      <c r="N62" s="132" t="n">
        <v>0.164029456666281</v>
      </c>
      <c r="O62" s="139" t="n">
        <v>0.8697079548006232</v>
      </c>
      <c r="P62" s="132" t="n"/>
      <c r="Q62" s="139" t="n"/>
      <c r="R62" s="132" t="n"/>
      <c r="S62" s="139" t="n"/>
      <c r="T62" s="132" t="n">
        <v>-0.4340657980454814</v>
      </c>
      <c r="U62" s="139" t="n">
        <v>-0.09353595693211311</v>
      </c>
      <c r="V62" s="132" t="n">
        <v>-0.5592036017854236</v>
      </c>
      <c r="W62" s="139" t="n">
        <v>0.5760227753055953</v>
      </c>
      <c r="X62" s="132" t="n">
        <v>-4.591854106839886</v>
      </c>
      <c r="Y62" s="139" t="n">
        <v>-0.2457088113850809</v>
      </c>
      <c r="Z62" s="132" t="n">
        <v>-1.136355287548038</v>
      </c>
      <c r="AA62" s="139" t="n">
        <v>0.2558079006655871</v>
      </c>
      <c r="AB62" s="132" t="n">
        <v>8.995165880006988</v>
      </c>
      <c r="AC62" s="139" t="n">
        <v>0.36847489889165</v>
      </c>
      <c r="AD62" s="132" t="n">
        <v>1.319035842008632</v>
      </c>
      <c r="AE62" s="139" t="n">
        <v>0.1871571302335606</v>
      </c>
      <c r="AF62" s="132" t="n">
        <v>0.1552189327544173</v>
      </c>
      <c r="AG62" s="139" t="n">
        <v>0.1305304274696163</v>
      </c>
      <c r="AH62" s="132" t="n">
        <v>0.8367862547262788</v>
      </c>
      <c r="AI62" s="139" t="n">
        <v>0.4027127249628577</v>
      </c>
    </row>
    <row r="63">
      <c r="C63" s="126" t="inlineStr">
        <is>
          <t>PetroReconcavo</t>
        </is>
      </c>
      <c r="D63" s="126" t="inlineStr">
        <is>
          <t>primary</t>
        </is>
      </c>
      <c r="E63" s="126" t="inlineStr">
        <is>
          <t>BCOM</t>
        </is>
      </c>
      <c r="F63" s="112" t="n">
        <v>45261</v>
      </c>
      <c r="G63" s="112" t="n">
        <v>46204</v>
      </c>
      <c r="H63" s="138" t="n">
        <v>32</v>
      </c>
      <c r="I63" s="139" t="n">
        <v>0.228095261433222</v>
      </c>
      <c r="J63" s="139" t="n">
        <v>0.07965204247807245</v>
      </c>
      <c r="K63" s="138" t="n">
        <v>0</v>
      </c>
      <c r="L63" s="132" t="n">
        <v>17.08219678766569</v>
      </c>
      <c r="M63" s="139" t="n">
        <v>0.118908088979655</v>
      </c>
      <c r="N63" s="132" t="n">
        <v>0.8358546472095248</v>
      </c>
      <c r="O63" s="139" t="n">
        <v>0.4032366791727284</v>
      </c>
      <c r="P63" s="132" t="n">
        <v>0.21564127565048</v>
      </c>
      <c r="Q63" s="139" t="n">
        <v>0.06413226535816965</v>
      </c>
      <c r="R63" s="132" t="n">
        <v>0.2598823059235728</v>
      </c>
      <c r="S63" s="139" t="n">
        <v>0.7949545602811803</v>
      </c>
      <c r="T63" s="132" t="n">
        <v>-1.8454988310231</v>
      </c>
      <c r="U63" s="139" t="n">
        <v>-0.4024815392515662</v>
      </c>
      <c r="V63" s="132" t="n">
        <v>-1.297770353430031</v>
      </c>
      <c r="W63" s="139" t="n">
        <v>0.1943662599018179</v>
      </c>
      <c r="X63" s="132" t="n">
        <v>5.455026005820351</v>
      </c>
      <c r="Y63" s="139" t="n">
        <v>0.1213552324931422</v>
      </c>
      <c r="Z63" s="132" t="n">
        <v>0.4112952369337416</v>
      </c>
      <c r="AA63" s="139" t="n">
        <v>0.6808560617380537</v>
      </c>
      <c r="AB63" s="132" t="n">
        <v>11.88420052345445</v>
      </c>
      <c r="AC63" s="139" t="n">
        <v>0.5304409817239453</v>
      </c>
      <c r="AD63" s="132" t="n">
        <v>1.539962655998186</v>
      </c>
      <c r="AE63" s="139" t="n">
        <v>0.1235694564753045</v>
      </c>
      <c r="AF63" s="132" t="n"/>
      <c r="AG63" s="139" t="n"/>
      <c r="AH63" s="132" t="n"/>
      <c r="AI63" s="139" t="n"/>
    </row>
    <row r="64">
      <c r="C64" s="126" t="inlineStr">
        <is>
          <t>PetroReconcavo</t>
        </is>
      </c>
      <c r="D64" s="126" t="inlineStr">
        <is>
          <t>primary</t>
        </is>
      </c>
      <c r="E64" s="126" t="inlineStr">
        <is>
          <t>Brent</t>
        </is>
      </c>
      <c r="F64" s="112" t="n">
        <v>45261</v>
      </c>
      <c r="G64" s="112" t="n">
        <v>46204</v>
      </c>
      <c r="H64" s="138" t="n">
        <v>32</v>
      </c>
      <c r="I64" s="139" t="n">
        <v>0.2557720517980364</v>
      </c>
      <c r="J64" s="139" t="n">
        <v>0.112651292528428</v>
      </c>
      <c r="K64" s="138" t="n">
        <v>0</v>
      </c>
      <c r="L64" s="132" t="n">
        <v>12.75942330124314</v>
      </c>
      <c r="M64" s="139" t="n">
        <v>0.08881753676604548</v>
      </c>
      <c r="N64" s="132" t="n">
        <v>0.6795455605774869</v>
      </c>
      <c r="O64" s="139" t="n">
        <v>0.4967922499573645</v>
      </c>
      <c r="P64" s="132" t="n"/>
      <c r="Q64" s="139" t="n"/>
      <c r="R64" s="132" t="n"/>
      <c r="S64" s="139" t="n"/>
      <c r="T64" s="132" t="n">
        <v>-1.495652789034356</v>
      </c>
      <c r="U64" s="139" t="n">
        <v>-0.3261842416788336</v>
      </c>
      <c r="V64" s="132" t="n">
        <v>-1.312560020049485</v>
      </c>
      <c r="W64" s="139" t="n">
        <v>0.1893312488978562</v>
      </c>
      <c r="X64" s="132" t="n">
        <v>9.160060503678825</v>
      </c>
      <c r="Y64" s="139" t="n">
        <v>0.2037792800417669</v>
      </c>
      <c r="Z64" s="132" t="n">
        <v>0.7422762870265268</v>
      </c>
      <c r="AA64" s="139" t="n">
        <v>0.4579199559714233</v>
      </c>
      <c r="AB64" s="132" t="n">
        <v>9.694934960669357</v>
      </c>
      <c r="AC64" s="139" t="n">
        <v>0.4327250123504671</v>
      </c>
      <c r="AD64" s="132" t="n">
        <v>1.641979519576173</v>
      </c>
      <c r="AE64" s="139" t="n">
        <v>0.1005942485362108</v>
      </c>
      <c r="AF64" s="132" t="n">
        <v>0.2342138065238615</v>
      </c>
      <c r="AG64" s="139" t="n">
        <v>0.2276647005664567</v>
      </c>
      <c r="AH64" s="132" t="n">
        <v>1.463211008676693</v>
      </c>
      <c r="AI64" s="139" t="n">
        <v>0.1434096494061703</v>
      </c>
    </row>
    <row r="65">
      <c r="C65" s="126" t="inlineStr">
        <is>
          <t>PetroReconcavo</t>
        </is>
      </c>
      <c r="D65" s="126" t="inlineStr">
        <is>
          <t>clean</t>
        </is>
      </c>
      <c r="E65" s="126" t="inlineStr">
        <is>
          <t>BCOM</t>
        </is>
      </c>
      <c r="F65" s="112" t="n">
        <v>45261</v>
      </c>
      <c r="G65" s="112" t="n">
        <v>46204</v>
      </c>
      <c r="H65" s="138" t="n">
        <v>32</v>
      </c>
      <c r="I65" s="139" t="n">
        <v>0.228095261433222</v>
      </c>
      <c r="J65" s="139" t="n">
        <v>0.07965204247807245</v>
      </c>
      <c r="K65" s="138" t="n">
        <v>0</v>
      </c>
      <c r="L65" s="132" t="n">
        <v>17.08219678766569</v>
      </c>
      <c r="M65" s="139" t="n">
        <v>0.118908088979655</v>
      </c>
      <c r="N65" s="132" t="n">
        <v>0.8358546472095248</v>
      </c>
      <c r="O65" s="139" t="n">
        <v>0.4032366791727284</v>
      </c>
      <c r="P65" s="132" t="n">
        <v>0.21564127565048</v>
      </c>
      <c r="Q65" s="139" t="n">
        <v>0.06413226535816965</v>
      </c>
      <c r="R65" s="132" t="n">
        <v>0.2598823059235728</v>
      </c>
      <c r="S65" s="139" t="n">
        <v>0.7949545602811803</v>
      </c>
      <c r="T65" s="132" t="n">
        <v>-1.8454988310231</v>
      </c>
      <c r="U65" s="139" t="n">
        <v>-0.4024815392515662</v>
      </c>
      <c r="V65" s="132" t="n">
        <v>-1.297770353430031</v>
      </c>
      <c r="W65" s="139" t="n">
        <v>0.1943662599018179</v>
      </c>
      <c r="X65" s="132" t="n">
        <v>5.455026005820351</v>
      </c>
      <c r="Y65" s="139" t="n">
        <v>0.1213552324931422</v>
      </c>
      <c r="Z65" s="132" t="n">
        <v>0.4112952369337416</v>
      </c>
      <c r="AA65" s="139" t="n">
        <v>0.6808560617380537</v>
      </c>
      <c r="AB65" s="132" t="n">
        <v>11.88420052345445</v>
      </c>
      <c r="AC65" s="139" t="n">
        <v>0.5304409817239453</v>
      </c>
      <c r="AD65" s="132" t="n">
        <v>1.539962655998186</v>
      </c>
      <c r="AE65" s="139" t="n">
        <v>0.1235694564753045</v>
      </c>
      <c r="AF65" s="132" t="n"/>
      <c r="AG65" s="139" t="n"/>
      <c r="AH65" s="132" t="n"/>
      <c r="AI65" s="139" t="n"/>
    </row>
    <row r="66">
      <c r="C66" s="126" t="inlineStr">
        <is>
          <t>PetroReconcavo</t>
        </is>
      </c>
      <c r="D66" s="126" t="inlineStr">
        <is>
          <t>clean</t>
        </is>
      </c>
      <c r="E66" s="126" t="inlineStr">
        <is>
          <t>Brent</t>
        </is>
      </c>
      <c r="F66" s="112" t="n">
        <v>45261</v>
      </c>
      <c r="G66" s="112" t="n">
        <v>46204</v>
      </c>
      <c r="H66" s="138" t="n">
        <v>32</v>
      </c>
      <c r="I66" s="139" t="n">
        <v>0.2557720517980364</v>
      </c>
      <c r="J66" s="139" t="n">
        <v>0.112651292528428</v>
      </c>
      <c r="K66" s="138" t="n">
        <v>0</v>
      </c>
      <c r="L66" s="132" t="n">
        <v>12.75942330124314</v>
      </c>
      <c r="M66" s="139" t="n">
        <v>0.08881753676604548</v>
      </c>
      <c r="N66" s="132" t="n">
        <v>0.6795455605774869</v>
      </c>
      <c r="O66" s="139" t="n">
        <v>0.4967922499573645</v>
      </c>
      <c r="P66" s="132" t="n"/>
      <c r="Q66" s="139" t="n"/>
      <c r="R66" s="132" t="n"/>
      <c r="S66" s="139" t="n"/>
      <c r="T66" s="132" t="n">
        <v>-1.495652789034356</v>
      </c>
      <c r="U66" s="139" t="n">
        <v>-0.3261842416788336</v>
      </c>
      <c r="V66" s="132" t="n">
        <v>-1.312560020049485</v>
      </c>
      <c r="W66" s="139" t="n">
        <v>0.1893312488978562</v>
      </c>
      <c r="X66" s="132" t="n">
        <v>9.160060503678825</v>
      </c>
      <c r="Y66" s="139" t="n">
        <v>0.2037792800417669</v>
      </c>
      <c r="Z66" s="132" t="n">
        <v>0.7422762870265268</v>
      </c>
      <c r="AA66" s="139" t="n">
        <v>0.4579199559714233</v>
      </c>
      <c r="AB66" s="132" t="n">
        <v>9.694934960669357</v>
      </c>
      <c r="AC66" s="139" t="n">
        <v>0.4327250123504671</v>
      </c>
      <c r="AD66" s="132" t="n">
        <v>1.641979519576173</v>
      </c>
      <c r="AE66" s="139" t="n">
        <v>0.1005942485362108</v>
      </c>
      <c r="AF66" s="132" t="n">
        <v>0.2342138065238615</v>
      </c>
      <c r="AG66" s="139" t="n">
        <v>0.2276647005664567</v>
      </c>
      <c r="AH66" s="132" t="n">
        <v>1.463211008676693</v>
      </c>
      <c r="AI66" s="139" t="n">
        <v>0.1434096494061703</v>
      </c>
    </row>
    <row r="67">
      <c r="C67" s="126" t="inlineStr">
        <is>
          <t>PetroReconcavo</t>
        </is>
      </c>
      <c r="D67" s="126" t="inlineStr">
        <is>
          <t>audit_clean</t>
        </is>
      </c>
      <c r="E67" s="126" t="inlineStr">
        <is>
          <t>BCOM</t>
        </is>
      </c>
      <c r="F67" s="112" t="n">
        <v>45261</v>
      </c>
      <c r="G67" s="112" t="n">
        <v>46204</v>
      </c>
      <c r="H67" s="138" t="n">
        <v>32</v>
      </c>
      <c r="I67" s="139" t="n">
        <v>0.228095261433222</v>
      </c>
      <c r="J67" s="139" t="n">
        <v>0.07965204247807245</v>
      </c>
      <c r="K67" s="138" t="n">
        <v>0</v>
      </c>
      <c r="L67" s="132" t="n">
        <v>17.08219678766569</v>
      </c>
      <c r="M67" s="139" t="n">
        <v>0.118908088979655</v>
      </c>
      <c r="N67" s="132" t="n">
        <v>0.8358546472095248</v>
      </c>
      <c r="O67" s="139" t="n">
        <v>0.4032366791727284</v>
      </c>
      <c r="P67" s="132" t="n">
        <v>0.21564127565048</v>
      </c>
      <c r="Q67" s="139" t="n">
        <v>0.06413226535816965</v>
      </c>
      <c r="R67" s="132" t="n">
        <v>0.2598823059235728</v>
      </c>
      <c r="S67" s="139" t="n">
        <v>0.7949545602811803</v>
      </c>
      <c r="T67" s="132" t="n">
        <v>-1.8454988310231</v>
      </c>
      <c r="U67" s="139" t="n">
        <v>-0.4024815392515662</v>
      </c>
      <c r="V67" s="132" t="n">
        <v>-1.297770353430031</v>
      </c>
      <c r="W67" s="139" t="n">
        <v>0.1943662599018179</v>
      </c>
      <c r="X67" s="132" t="n">
        <v>5.455026005820351</v>
      </c>
      <c r="Y67" s="139" t="n">
        <v>0.1213552324931422</v>
      </c>
      <c r="Z67" s="132" t="n">
        <v>0.4112952369337416</v>
      </c>
      <c r="AA67" s="139" t="n">
        <v>0.6808560617380537</v>
      </c>
      <c r="AB67" s="132" t="n">
        <v>11.88420052345445</v>
      </c>
      <c r="AC67" s="139" t="n">
        <v>0.5304409817239453</v>
      </c>
      <c r="AD67" s="132" t="n">
        <v>1.539962655998186</v>
      </c>
      <c r="AE67" s="139" t="n">
        <v>0.1235694564753045</v>
      </c>
      <c r="AF67" s="132" t="n"/>
      <c r="AG67" s="139" t="n"/>
      <c r="AH67" s="132" t="n"/>
      <c r="AI67" s="139" t="n"/>
    </row>
    <row r="68">
      <c r="C68" s="126" t="inlineStr">
        <is>
          <t>PetroReconcavo</t>
        </is>
      </c>
      <c r="D68" s="126" t="inlineStr">
        <is>
          <t>audit_clean</t>
        </is>
      </c>
      <c r="E68" s="126" t="inlineStr">
        <is>
          <t>Brent</t>
        </is>
      </c>
      <c r="F68" s="112" t="n">
        <v>45261</v>
      </c>
      <c r="G68" s="112" t="n">
        <v>46204</v>
      </c>
      <c r="H68" s="138" t="n">
        <v>32</v>
      </c>
      <c r="I68" s="139" t="n">
        <v>0.2557720517980364</v>
      </c>
      <c r="J68" s="139" t="n">
        <v>0.112651292528428</v>
      </c>
      <c r="K68" s="138" t="n">
        <v>0</v>
      </c>
      <c r="L68" s="132" t="n">
        <v>12.75942330124314</v>
      </c>
      <c r="M68" s="139" t="n">
        <v>0.08881753676604548</v>
      </c>
      <c r="N68" s="132" t="n">
        <v>0.6795455605774869</v>
      </c>
      <c r="O68" s="139" t="n">
        <v>0.4967922499573645</v>
      </c>
      <c r="P68" s="132" t="n"/>
      <c r="Q68" s="139" t="n"/>
      <c r="R68" s="132" t="n"/>
      <c r="S68" s="139" t="n"/>
      <c r="T68" s="132" t="n">
        <v>-1.495652789034356</v>
      </c>
      <c r="U68" s="139" t="n">
        <v>-0.3261842416788336</v>
      </c>
      <c r="V68" s="132" t="n">
        <v>-1.312560020049485</v>
      </c>
      <c r="W68" s="139" t="n">
        <v>0.1893312488978562</v>
      </c>
      <c r="X68" s="132" t="n">
        <v>9.160060503678825</v>
      </c>
      <c r="Y68" s="139" t="n">
        <v>0.2037792800417669</v>
      </c>
      <c r="Z68" s="132" t="n">
        <v>0.7422762870265268</v>
      </c>
      <c r="AA68" s="139" t="n">
        <v>0.4579199559714233</v>
      </c>
      <c r="AB68" s="132" t="n">
        <v>9.694934960669357</v>
      </c>
      <c r="AC68" s="139" t="n">
        <v>0.4327250123504671</v>
      </c>
      <c r="AD68" s="132" t="n">
        <v>1.641979519576173</v>
      </c>
      <c r="AE68" s="139" t="n">
        <v>0.1005942485362108</v>
      </c>
      <c r="AF68" s="132" t="n">
        <v>0.2342138065238615</v>
      </c>
      <c r="AG68" s="139" t="n">
        <v>0.2276647005664567</v>
      </c>
      <c r="AH68" s="132" t="n">
        <v>1.463211008676693</v>
      </c>
      <c r="AI68" s="139" t="n">
        <v>0.1434096494061703</v>
      </c>
    </row>
    <row r="69">
      <c r="C69" s="126" t="inlineStr">
        <is>
          <t>PetroReconcavo</t>
        </is>
      </c>
      <c r="D69" s="126" t="inlineStr">
        <is>
          <t>since_2022_ex_seams</t>
        </is>
      </c>
      <c r="E69" s="126" t="inlineStr">
        <is>
          <t>BCOM</t>
        </is>
      </c>
      <c r="F69" s="112" t="n">
        <v>45261</v>
      </c>
      <c r="G69" s="112" t="n">
        <v>46204</v>
      </c>
      <c r="H69" s="138" t="n">
        <v>32</v>
      </c>
      <c r="I69" s="139" t="n">
        <v>0.228095261433222</v>
      </c>
      <c r="J69" s="139" t="n">
        <v>0.07965204247807245</v>
      </c>
      <c r="K69" s="138" t="n">
        <v>0</v>
      </c>
      <c r="L69" s="132" t="n">
        <v>17.08219678766569</v>
      </c>
      <c r="M69" s="139" t="n">
        <v>0.118908088979655</v>
      </c>
      <c r="N69" s="132" t="n">
        <v>0.8358546472095248</v>
      </c>
      <c r="O69" s="139" t="n">
        <v>0.4032366791727284</v>
      </c>
      <c r="P69" s="132" t="n">
        <v>0.21564127565048</v>
      </c>
      <c r="Q69" s="139" t="n">
        <v>0.06413226535816965</v>
      </c>
      <c r="R69" s="132" t="n">
        <v>0.2598823059235728</v>
      </c>
      <c r="S69" s="139" t="n">
        <v>0.7949545602811803</v>
      </c>
      <c r="T69" s="132" t="n">
        <v>-1.8454988310231</v>
      </c>
      <c r="U69" s="139" t="n">
        <v>-0.4024815392515662</v>
      </c>
      <c r="V69" s="132" t="n">
        <v>-1.297770353430031</v>
      </c>
      <c r="W69" s="139" t="n">
        <v>0.1943662599018179</v>
      </c>
      <c r="X69" s="132" t="n">
        <v>5.455026005820351</v>
      </c>
      <c r="Y69" s="139" t="n">
        <v>0.1213552324931422</v>
      </c>
      <c r="Z69" s="132" t="n">
        <v>0.4112952369337416</v>
      </c>
      <c r="AA69" s="139" t="n">
        <v>0.6808560617380537</v>
      </c>
      <c r="AB69" s="132" t="n">
        <v>11.88420052345445</v>
      </c>
      <c r="AC69" s="139" t="n">
        <v>0.5304409817239453</v>
      </c>
      <c r="AD69" s="132" t="n">
        <v>1.539962655998186</v>
      </c>
      <c r="AE69" s="139" t="n">
        <v>0.1235694564753045</v>
      </c>
      <c r="AF69" s="132" t="n"/>
      <c r="AG69" s="139" t="n"/>
      <c r="AH69" s="132" t="n"/>
      <c r="AI69" s="139" t="n"/>
    </row>
    <row r="70">
      <c r="C70" s="126" t="inlineStr">
        <is>
          <t>PetroReconcavo</t>
        </is>
      </c>
      <c r="D70" s="126" t="inlineStr">
        <is>
          <t>since_2022_ex_seams</t>
        </is>
      </c>
      <c r="E70" s="126" t="inlineStr">
        <is>
          <t>Brent</t>
        </is>
      </c>
      <c r="F70" s="112" t="n">
        <v>45261</v>
      </c>
      <c r="G70" s="112" t="n">
        <v>46204</v>
      </c>
      <c r="H70" s="138" t="n">
        <v>32</v>
      </c>
      <c r="I70" s="139" t="n">
        <v>0.2557720517980364</v>
      </c>
      <c r="J70" s="139" t="n">
        <v>0.112651292528428</v>
      </c>
      <c r="K70" s="138" t="n">
        <v>0</v>
      </c>
      <c r="L70" s="132" t="n">
        <v>12.75942330124314</v>
      </c>
      <c r="M70" s="139" t="n">
        <v>0.08881753676604548</v>
      </c>
      <c r="N70" s="132" t="n">
        <v>0.6795455605774869</v>
      </c>
      <c r="O70" s="139" t="n">
        <v>0.4967922499573645</v>
      </c>
      <c r="P70" s="132" t="n"/>
      <c r="Q70" s="139" t="n"/>
      <c r="R70" s="132" t="n"/>
      <c r="S70" s="139" t="n"/>
      <c r="T70" s="132" t="n">
        <v>-1.495652789034356</v>
      </c>
      <c r="U70" s="139" t="n">
        <v>-0.3261842416788336</v>
      </c>
      <c r="V70" s="132" t="n">
        <v>-1.312560020049485</v>
      </c>
      <c r="W70" s="139" t="n">
        <v>0.1893312488978562</v>
      </c>
      <c r="X70" s="132" t="n">
        <v>9.160060503678825</v>
      </c>
      <c r="Y70" s="139" t="n">
        <v>0.2037792800417669</v>
      </c>
      <c r="Z70" s="132" t="n">
        <v>0.7422762870265268</v>
      </c>
      <c r="AA70" s="139" t="n">
        <v>0.4579199559714233</v>
      </c>
      <c r="AB70" s="132" t="n">
        <v>9.694934960669357</v>
      </c>
      <c r="AC70" s="139" t="n">
        <v>0.4327250123504671</v>
      </c>
      <c r="AD70" s="132" t="n">
        <v>1.641979519576173</v>
      </c>
      <c r="AE70" s="139" t="n">
        <v>0.1005942485362108</v>
      </c>
      <c r="AF70" s="132" t="n">
        <v>0.2342138065238615</v>
      </c>
      <c r="AG70" s="139" t="n">
        <v>0.2276647005664567</v>
      </c>
      <c r="AH70" s="132" t="n">
        <v>1.463211008676693</v>
      </c>
      <c r="AI70" s="139" t="n">
        <v>0.1434096494061703</v>
      </c>
    </row>
    <row r="71">
      <c r="C71" s="126" t="inlineStr">
        <is>
          <t>Oleo e Gas Participacoes</t>
        </is>
      </c>
      <c r="D71" s="126" t="inlineStr">
        <is>
          <t>primary</t>
        </is>
      </c>
      <c r="E71" s="126" t="inlineStr">
        <is>
          <t>BCOM</t>
        </is>
      </c>
      <c r="F71" s="112" t="n">
        <v>40269</v>
      </c>
      <c r="G71" s="112" t="n">
        <v>41030</v>
      </c>
      <c r="H71" s="138" t="n">
        <v>26</v>
      </c>
      <c r="I71" s="139" t="n">
        <v>0.178719679732927</v>
      </c>
      <c r="J71" s="139" t="n">
        <v>-0.02660040033384137</v>
      </c>
      <c r="K71" s="138" t="n">
        <v>17</v>
      </c>
      <c r="L71" s="132" t="n">
        <v>20.26651220011713</v>
      </c>
      <c r="M71" s="139" t="n">
        <v>0.205915598695004</v>
      </c>
      <c r="N71" s="132" t="n">
        <v>0.9118383899869391</v>
      </c>
      <c r="O71" s="139" t="n">
        <v>0.3618537979387328</v>
      </c>
      <c r="P71" s="132" t="n">
        <v>-0.0763638672092366</v>
      </c>
      <c r="Q71" s="139" t="n">
        <v>-0.01854062301219397</v>
      </c>
      <c r="R71" s="132" t="n">
        <v>-0.07371059414225398</v>
      </c>
      <c r="S71" s="139" t="n">
        <v>0.9412406688169661</v>
      </c>
      <c r="T71" s="132" t="n">
        <v>-2.637427057378639</v>
      </c>
      <c r="U71" s="139" t="n">
        <v>-0.5363877294993329</v>
      </c>
      <c r="V71" s="132" t="n">
        <v>-2.06947647172143</v>
      </c>
      <c r="W71" s="139" t="n">
        <v>0.0385013969744783</v>
      </c>
      <c r="X71" s="132" t="n">
        <v>8.712550207170109</v>
      </c>
      <c r="Y71" s="139" t="n">
        <v>0.1866186966461014</v>
      </c>
      <c r="Z71" s="132" t="n">
        <v>1.056513265889619</v>
      </c>
      <c r="AA71" s="139" t="n">
        <v>0.2907337833177484</v>
      </c>
      <c r="AB71" s="132" t="n">
        <v>-8.873985364437278</v>
      </c>
      <c r="AC71" s="139" t="n">
        <v>-0.2638049370939931</v>
      </c>
      <c r="AD71" s="132" t="n">
        <v>-0.7897742705474607</v>
      </c>
      <c r="AE71" s="139" t="n">
        <v>0.4296596077876096</v>
      </c>
      <c r="AF71" s="132" t="n"/>
      <c r="AG71" s="139" t="n"/>
      <c r="AH71" s="132" t="n"/>
      <c r="AI71" s="139" t="n"/>
    </row>
    <row r="72">
      <c r="C72" s="126" t="inlineStr">
        <is>
          <t>Oleo e Gas Participacoes</t>
        </is>
      </c>
      <c r="D72" s="126" t="inlineStr">
        <is>
          <t>primary</t>
        </is>
      </c>
      <c r="E72" s="126" t="inlineStr">
        <is>
          <t>Brent</t>
        </is>
      </c>
      <c r="F72" s="112" t="n">
        <v>40269</v>
      </c>
      <c r="G72" s="112" t="n">
        <v>41030</v>
      </c>
      <c r="H72" s="138" t="n">
        <v>26</v>
      </c>
      <c r="I72" s="139" t="n">
        <v>0.3312630346609048</v>
      </c>
      <c r="J72" s="139" t="n">
        <v>0.164078793326131</v>
      </c>
      <c r="K72" s="138" t="n">
        <v>17</v>
      </c>
      <c r="L72" s="132" t="n">
        <v>40.95348749131703</v>
      </c>
      <c r="M72" s="139" t="n">
        <v>0.4161032649403867</v>
      </c>
      <c r="N72" s="132" t="n">
        <v>1.490184101329317</v>
      </c>
      <c r="O72" s="139" t="n">
        <v>0.1361758355470011</v>
      </c>
      <c r="P72" s="132" t="n"/>
      <c r="Q72" s="139" t="n"/>
      <c r="R72" s="132" t="n"/>
      <c r="S72" s="139" t="n"/>
      <c r="T72" s="132" t="n">
        <v>-1.502014175915781</v>
      </c>
      <c r="U72" s="139" t="n">
        <v>-0.3054727034976406</v>
      </c>
      <c r="V72" s="132" t="n">
        <v>-1.381500227173312</v>
      </c>
      <c r="W72" s="139" t="n">
        <v>0.1671252080212817</v>
      </c>
      <c r="X72" s="132" t="n">
        <v>9.910275563794524</v>
      </c>
      <c r="Y72" s="139" t="n">
        <v>0.2122734061947807</v>
      </c>
      <c r="Z72" s="132" t="n">
        <v>1.409498805300935</v>
      </c>
      <c r="AA72" s="139" t="n">
        <v>0.1586877264757041</v>
      </c>
      <c r="AB72" s="132" t="n">
        <v>-13.74408207190069</v>
      </c>
      <c r="AC72" s="139" t="n">
        <v>-0.4085826781868213</v>
      </c>
      <c r="AD72" s="132" t="n">
        <v>-1.154600281236158</v>
      </c>
      <c r="AE72" s="139" t="n">
        <v>0.2482541514645289</v>
      </c>
      <c r="AF72" s="132" t="n">
        <v>1.578323996798837</v>
      </c>
      <c r="AG72" s="139" t="n">
        <v>0.547029122509086</v>
      </c>
      <c r="AH72" s="132" t="n">
        <v>1.676249566656884</v>
      </c>
      <c r="AI72" s="139" t="n">
        <v>0.09368931900241773</v>
      </c>
    </row>
    <row r="73">
      <c r="C73" s="126" t="inlineStr">
        <is>
          <t>Oleo e Gas Participacoes</t>
        </is>
      </c>
      <c r="D73" s="126" t="inlineStr">
        <is>
          <t>clean</t>
        </is>
      </c>
      <c r="E73" s="126" t="inlineStr">
        <is>
          <t>BCOM</t>
        </is>
      </c>
      <c r="F73" s="112" t="n">
        <v>40269</v>
      </c>
      <c r="G73" s="112" t="n">
        <v>41030</v>
      </c>
      <c r="H73" s="138" t="n">
        <v>26</v>
      </c>
      <c r="I73" s="139" t="n">
        <v>0.178719679732927</v>
      </c>
      <c r="J73" s="139" t="n">
        <v>-0.02660040033384137</v>
      </c>
      <c r="K73" s="138" t="n">
        <v>17</v>
      </c>
      <c r="L73" s="132" t="n">
        <v>20.26651220011713</v>
      </c>
      <c r="M73" s="139" t="n">
        <v>0.205915598695004</v>
      </c>
      <c r="N73" s="132" t="n">
        <v>0.9118383899869391</v>
      </c>
      <c r="O73" s="139" t="n">
        <v>0.3618537979387328</v>
      </c>
      <c r="P73" s="132" t="n">
        <v>-0.0763638672092366</v>
      </c>
      <c r="Q73" s="139" t="n">
        <v>-0.01854062301219397</v>
      </c>
      <c r="R73" s="132" t="n">
        <v>-0.07371059414225398</v>
      </c>
      <c r="S73" s="139" t="n">
        <v>0.9412406688169661</v>
      </c>
      <c r="T73" s="132" t="n">
        <v>-2.637427057378639</v>
      </c>
      <c r="U73" s="139" t="n">
        <v>-0.5363877294993329</v>
      </c>
      <c r="V73" s="132" t="n">
        <v>-2.06947647172143</v>
      </c>
      <c r="W73" s="139" t="n">
        <v>0.0385013969744783</v>
      </c>
      <c r="X73" s="132" t="n">
        <v>8.712550207170109</v>
      </c>
      <c r="Y73" s="139" t="n">
        <v>0.1866186966461014</v>
      </c>
      <c r="Z73" s="132" t="n">
        <v>1.056513265889619</v>
      </c>
      <c r="AA73" s="139" t="n">
        <v>0.2907337833177484</v>
      </c>
      <c r="AB73" s="132" t="n">
        <v>-8.873985364437278</v>
      </c>
      <c r="AC73" s="139" t="n">
        <v>-0.2638049370939931</v>
      </c>
      <c r="AD73" s="132" t="n">
        <v>-0.7897742705474607</v>
      </c>
      <c r="AE73" s="139" t="n">
        <v>0.4296596077876096</v>
      </c>
      <c r="AF73" s="132" t="n"/>
      <c r="AG73" s="139" t="n"/>
      <c r="AH73" s="132" t="n"/>
      <c r="AI73" s="139" t="n"/>
    </row>
    <row r="74">
      <c r="C74" s="128" t="inlineStr">
        <is>
          <t>Oleo e Gas Participacoes</t>
        </is>
      </c>
      <c r="D74" s="128" t="inlineStr">
        <is>
          <t>clean</t>
        </is>
      </c>
      <c r="E74" s="128" t="inlineStr">
        <is>
          <t>Brent</t>
        </is>
      </c>
      <c r="F74" s="115" t="n">
        <v>40269</v>
      </c>
      <c r="G74" s="115" t="n">
        <v>41030</v>
      </c>
      <c r="H74" s="140" t="n">
        <v>26</v>
      </c>
      <c r="I74" s="141" t="n">
        <v>0.3312630346609048</v>
      </c>
      <c r="J74" s="141" t="n">
        <v>0.164078793326131</v>
      </c>
      <c r="K74" s="140" t="n">
        <v>17</v>
      </c>
      <c r="L74" s="134" t="n">
        <v>40.95348749131703</v>
      </c>
      <c r="M74" s="141" t="n">
        <v>0.4161032649403867</v>
      </c>
      <c r="N74" s="134" t="n">
        <v>1.490184101329317</v>
      </c>
      <c r="O74" s="141" t="n">
        <v>0.1361758355470011</v>
      </c>
      <c r="P74" s="134" t="n"/>
      <c r="Q74" s="141" t="n"/>
      <c r="R74" s="134" t="n"/>
      <c r="S74" s="141" t="n"/>
      <c r="T74" s="134" t="n">
        <v>-1.502014175915781</v>
      </c>
      <c r="U74" s="141" t="n">
        <v>-0.3054727034976406</v>
      </c>
      <c r="V74" s="134" t="n">
        <v>-1.381500227173312</v>
      </c>
      <c r="W74" s="141" t="n">
        <v>0.1671252080212817</v>
      </c>
      <c r="X74" s="134" t="n">
        <v>9.910275563794524</v>
      </c>
      <c r="Y74" s="141" t="n">
        <v>0.2122734061947807</v>
      </c>
      <c r="Z74" s="134" t="n">
        <v>1.409498805300935</v>
      </c>
      <c r="AA74" s="141" t="n">
        <v>0.1586877264757041</v>
      </c>
      <c r="AB74" s="134" t="n">
        <v>-13.74408207190069</v>
      </c>
      <c r="AC74" s="141" t="n">
        <v>-0.4085826781868213</v>
      </c>
      <c r="AD74" s="134" t="n">
        <v>-1.154600281236158</v>
      </c>
      <c r="AE74" s="141" t="n">
        <v>0.2482541514645289</v>
      </c>
      <c r="AF74" s="134" t="n">
        <v>1.578323996798837</v>
      </c>
      <c r="AG74" s="141" t="n">
        <v>0.547029122509086</v>
      </c>
      <c r="AH74" s="134" t="n">
        <v>1.676249566656884</v>
      </c>
      <c r="AI74" s="141" t="n">
        <v>0.09368931900241773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2:M186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13" customWidth="1" min="3" max="3"/>
    <col width="13" customWidth="1" min="4" max="4"/>
    <col width="24" customWidth="1" min="5" max="5"/>
    <col width="13" customWidth="1" min="6" max="6"/>
  </cols>
  <sheetData>
    <row r="2">
      <c r="C2" s="2" t="inlineStr">
        <is>
          <t>Diagnóstico das emendas das séries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</row>
    <row r="3">
      <c r="C3" s="4" t="inlineStr">
        <is>
          <t>Revisions de três meses que atravessam as mudanças entre arquivos-fonte.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</row>
    <row r="6" ht="36" customHeight="1">
      <c r="C6" s="11" t="inlineStr">
        <is>
          <t>seam_start</t>
        </is>
      </c>
      <c r="D6" s="11" t="inlineStr">
        <is>
          <t>revision_month</t>
        </is>
      </c>
      <c r="E6" s="11" t="inlineStr">
        <is>
          <t>target</t>
        </is>
      </c>
      <c r="F6" s="11" t="inlineStr">
        <is>
          <t>revision_3m_log_pct</t>
        </is>
      </c>
      <c r="G6" s="99" t="n"/>
      <c r="H6" s="99" t="n"/>
      <c r="I6" s="99" t="n"/>
      <c r="J6" s="99" t="n"/>
      <c r="K6" s="99" t="n"/>
      <c r="L6" s="99" t="n"/>
      <c r="M6" s="99" t="n"/>
    </row>
    <row r="7">
      <c r="C7" s="109" t="n">
        <v>40544</v>
      </c>
      <c r="D7" s="109" t="n">
        <v>40544</v>
      </c>
      <c r="E7" s="124" t="inlineStr">
        <is>
          <t>IBOV</t>
        </is>
      </c>
      <c r="F7" s="130" t="n">
        <v>12.81955151489702</v>
      </c>
      <c r="G7" s="99" t="n"/>
      <c r="H7" s="99" t="n"/>
      <c r="I7" s="99" t="n"/>
      <c r="J7" s="99" t="n"/>
      <c r="K7" s="99" t="n"/>
      <c r="L7" s="99" t="n"/>
      <c r="M7" s="99" t="n"/>
    </row>
    <row r="8">
      <c r="C8" s="112" t="n">
        <v>40544</v>
      </c>
      <c r="D8" s="112" t="n">
        <v>40544</v>
      </c>
      <c r="E8" s="126" t="inlineStr">
        <is>
          <t>Communication Services</t>
        </is>
      </c>
      <c r="F8" s="132" t="n">
        <v>12.05487420976502</v>
      </c>
      <c r="G8" s="99" t="n"/>
      <c r="H8" s="99" t="n"/>
      <c r="I8" s="99" t="n"/>
      <c r="J8" s="99" t="n"/>
      <c r="K8" s="99" t="n"/>
      <c r="L8" s="99" t="n"/>
      <c r="M8" s="99" t="n"/>
    </row>
    <row r="9">
      <c r="C9" s="112" t="n">
        <v>40544</v>
      </c>
      <c r="D9" s="112" t="n">
        <v>40544</v>
      </c>
      <c r="E9" s="126" t="inlineStr">
        <is>
          <t>Consumer Discretionary</t>
        </is>
      </c>
      <c r="F9" s="132" t="n">
        <v>8.748804703218724</v>
      </c>
      <c r="G9" s="99" t="n"/>
      <c r="H9" s="99" t="n"/>
      <c r="I9" s="99" t="n"/>
      <c r="J9" s="99" t="n"/>
      <c r="K9" s="99" t="n"/>
      <c r="L9" s="99" t="n"/>
      <c r="M9" s="99" t="n"/>
    </row>
    <row r="10">
      <c r="C10" s="112" t="n">
        <v>40544</v>
      </c>
      <c r="D10" s="112" t="n">
        <v>40544</v>
      </c>
      <c r="E10" s="126" t="inlineStr">
        <is>
          <t>Consumer Staples</t>
        </is>
      </c>
      <c r="F10" s="132" t="n">
        <v>-1.769530954753853</v>
      </c>
      <c r="G10" s="99" t="n"/>
      <c r="H10" s="99" t="n"/>
      <c r="I10" s="99" t="n"/>
      <c r="J10" s="99" t="n"/>
      <c r="K10" s="99" t="n"/>
      <c r="L10" s="99" t="n"/>
      <c r="M10" s="99" t="n"/>
    </row>
    <row r="11">
      <c r="C11" s="112" t="n">
        <v>40544</v>
      </c>
      <c r="D11" s="112" t="n">
        <v>40544</v>
      </c>
      <c r="E11" s="126" t="inlineStr">
        <is>
          <t>Energy</t>
        </is>
      </c>
      <c r="F11" s="132" t="n">
        <v>5.929174799869321</v>
      </c>
      <c r="G11" s="99" t="n"/>
      <c r="H11" s="99" t="n"/>
      <c r="I11" s="99" t="n"/>
      <c r="J11" s="99" t="n"/>
      <c r="K11" s="99" t="n"/>
      <c r="L11" s="99" t="n"/>
      <c r="M11" s="99" t="n"/>
    </row>
    <row r="12">
      <c r="C12" s="112" t="n">
        <v>40544</v>
      </c>
      <c r="D12" s="112" t="n">
        <v>40544</v>
      </c>
      <c r="E12" s="126" t="inlineStr">
        <is>
          <t>Financials</t>
        </is>
      </c>
      <c r="F12" s="132" t="n">
        <v>7.330807423454227</v>
      </c>
      <c r="G12" s="99" t="n"/>
      <c r="H12" s="99" t="n"/>
      <c r="I12" s="99" t="n"/>
      <c r="J12" s="99" t="n"/>
      <c r="K12" s="99" t="n"/>
      <c r="L12" s="99" t="n"/>
      <c r="M12" s="99" t="n"/>
    </row>
    <row r="13">
      <c r="C13" s="112" t="n">
        <v>40544</v>
      </c>
      <c r="D13" s="112" t="n">
        <v>40544</v>
      </c>
      <c r="E13" s="126" t="inlineStr">
        <is>
          <t>Health Care</t>
        </is>
      </c>
      <c r="F13" s="132" t="n"/>
      <c r="G13" s="99" t="n"/>
      <c r="H13" s="99" t="n"/>
      <c r="I13" s="99" t="n"/>
      <c r="J13" s="99" t="n"/>
      <c r="K13" s="99" t="n"/>
      <c r="L13" s="99" t="n"/>
      <c r="M13" s="99" t="n"/>
    </row>
    <row r="14">
      <c r="C14" s="112" t="n">
        <v>40544</v>
      </c>
      <c r="D14" s="112" t="n">
        <v>40544</v>
      </c>
      <c r="E14" s="126" t="inlineStr">
        <is>
          <t>Industrials</t>
        </is>
      </c>
      <c r="F14" s="132" t="n">
        <v>18.98266866093595</v>
      </c>
      <c r="G14" s="99" t="n"/>
      <c r="H14" s="99" t="n"/>
      <c r="I14" s="99" t="n"/>
      <c r="J14" s="99" t="n"/>
      <c r="K14" s="99" t="n"/>
      <c r="L14" s="99" t="n"/>
      <c r="M14" s="99" t="n"/>
    </row>
    <row r="15">
      <c r="C15" s="112" t="n">
        <v>40544</v>
      </c>
      <c r="D15" s="112" t="n">
        <v>40544</v>
      </c>
      <c r="E15" s="126" t="inlineStr">
        <is>
          <t>Information Technology</t>
        </is>
      </c>
      <c r="F15" s="132" t="n"/>
      <c r="G15" s="99" t="n"/>
      <c r="H15" s="99" t="n"/>
      <c r="I15" s="99" t="n"/>
      <c r="J15" s="99" t="n"/>
      <c r="K15" s="99" t="n"/>
      <c r="L15" s="99" t="n"/>
      <c r="M15" s="99" t="n"/>
    </row>
    <row r="16">
      <c r="C16" s="112" t="n">
        <v>40544</v>
      </c>
      <c r="D16" s="112" t="n">
        <v>40544</v>
      </c>
      <c r="E16" s="126" t="inlineStr">
        <is>
          <t>Materials</t>
        </is>
      </c>
      <c r="F16" s="132" t="n">
        <v>8.738170177403697</v>
      </c>
      <c r="G16" s="99" t="n"/>
      <c r="H16" s="99" t="n"/>
      <c r="I16" s="99" t="n"/>
      <c r="J16" s="99" t="n"/>
      <c r="K16" s="99" t="n"/>
      <c r="L16" s="99" t="n"/>
      <c r="M16" s="99" t="n"/>
    </row>
    <row r="17">
      <c r="C17" s="112" t="n">
        <v>40544</v>
      </c>
      <c r="D17" s="112" t="n">
        <v>40544</v>
      </c>
      <c r="E17" s="126" t="inlineStr">
        <is>
          <t>Real Estate</t>
        </is>
      </c>
      <c r="F17" s="132" t="n"/>
      <c r="G17" s="99" t="n"/>
      <c r="H17" s="99" t="n"/>
      <c r="I17" s="99" t="n"/>
      <c r="J17" s="99" t="n"/>
      <c r="K17" s="99" t="n"/>
      <c r="L17" s="99" t="n"/>
      <c r="M17" s="99" t="n"/>
    </row>
    <row r="18">
      <c r="C18" s="112" t="n">
        <v>40544</v>
      </c>
      <c r="D18" s="112" t="n">
        <v>40544</v>
      </c>
      <c r="E18" s="126" t="inlineStr">
        <is>
          <t>Utilities</t>
        </is>
      </c>
      <c r="F18" s="132" t="n">
        <v>-6.152738939869089</v>
      </c>
      <c r="G18" s="99" t="n"/>
      <c r="H18" s="99" t="n"/>
      <c r="I18" s="99" t="n"/>
      <c r="J18" s="99" t="n"/>
      <c r="K18" s="99" t="n"/>
      <c r="L18" s="99" t="n"/>
      <c r="M18" s="99" t="n"/>
    </row>
    <row r="19">
      <c r="C19" s="112" t="n">
        <v>40544</v>
      </c>
      <c r="D19" s="112" t="n">
        <v>40575</v>
      </c>
      <c r="E19" s="126" t="inlineStr">
        <is>
          <t>IBOV</t>
        </is>
      </c>
      <c r="F19" s="132" t="n">
        <v>11.10955672610653</v>
      </c>
      <c r="G19" s="99" t="n"/>
      <c r="H19" s="99" t="n"/>
      <c r="I19" s="99" t="n"/>
      <c r="J19" s="99" t="n"/>
      <c r="K19" s="99" t="n"/>
      <c r="L19" s="99" t="n"/>
      <c r="M19" s="99" t="n"/>
    </row>
    <row r="20">
      <c r="C20" s="112" t="n">
        <v>40544</v>
      </c>
      <c r="D20" s="112" t="n">
        <v>40575</v>
      </c>
      <c r="E20" s="126" t="inlineStr">
        <is>
          <t>Communication Services</t>
        </is>
      </c>
      <c r="F20" s="132" t="n">
        <v>8.306323772162667</v>
      </c>
      <c r="G20" s="99" t="n"/>
      <c r="H20" s="99" t="n"/>
      <c r="I20" s="99" t="n"/>
      <c r="J20" s="99" t="n"/>
      <c r="K20" s="99" t="n"/>
      <c r="L20" s="99" t="n"/>
      <c r="M20" s="99" t="n"/>
    </row>
    <row r="21">
      <c r="C21" s="112" t="n">
        <v>40544</v>
      </c>
      <c r="D21" s="112" t="n">
        <v>40575</v>
      </c>
      <c r="E21" s="126" t="inlineStr">
        <is>
          <t>Consumer Discretionary</t>
        </is>
      </c>
      <c r="F21" s="132" t="n">
        <v>6.851631333271214</v>
      </c>
      <c r="G21" s="99" t="n"/>
      <c r="H21" s="99" t="n"/>
      <c r="I21" s="99" t="n"/>
      <c r="J21" s="99" t="n"/>
      <c r="K21" s="99" t="n"/>
      <c r="L21" s="99" t="n"/>
      <c r="M21" s="99" t="n"/>
    </row>
    <row r="22">
      <c r="C22" s="112" t="n">
        <v>40544</v>
      </c>
      <c r="D22" s="112" t="n">
        <v>40575</v>
      </c>
      <c r="E22" s="126" t="inlineStr">
        <is>
          <t>Consumer Staples</t>
        </is>
      </c>
      <c r="F22" s="132" t="n">
        <v>-4.700290839229417</v>
      </c>
      <c r="G22" s="99" t="n"/>
      <c r="H22" s="99" t="n"/>
      <c r="I22" s="99" t="n"/>
      <c r="J22" s="99" t="n"/>
      <c r="K22" s="99" t="n"/>
      <c r="L22" s="99" t="n"/>
      <c r="M22" s="99" t="n"/>
    </row>
    <row r="23">
      <c r="C23" s="112" t="n">
        <v>40544</v>
      </c>
      <c r="D23" s="112" t="n">
        <v>40575</v>
      </c>
      <c r="E23" s="126" t="inlineStr">
        <is>
          <t>Energy</t>
        </is>
      </c>
      <c r="F23" s="132" t="n">
        <v>1.315392153439019</v>
      </c>
      <c r="G23" s="99" t="n"/>
      <c r="H23" s="99" t="n"/>
      <c r="I23" s="99" t="n"/>
      <c r="J23" s="99" t="n"/>
      <c r="K23" s="99" t="n"/>
      <c r="L23" s="99" t="n"/>
      <c r="M23" s="99" t="n"/>
    </row>
    <row r="24">
      <c r="C24" s="112" t="n">
        <v>40544</v>
      </c>
      <c r="D24" s="112" t="n">
        <v>40575</v>
      </c>
      <c r="E24" s="126" t="inlineStr">
        <is>
          <t>Financials</t>
        </is>
      </c>
      <c r="F24" s="132" t="n">
        <v>7.738909335817437</v>
      </c>
      <c r="G24" s="99" t="n"/>
      <c r="H24" s="99" t="n"/>
      <c r="I24" s="99" t="n"/>
      <c r="J24" s="99" t="n"/>
      <c r="K24" s="99" t="n"/>
      <c r="L24" s="99" t="n"/>
      <c r="M24" s="99" t="n"/>
    </row>
    <row r="25">
      <c r="C25" s="112" t="n">
        <v>40544</v>
      </c>
      <c r="D25" s="112" t="n">
        <v>40575</v>
      </c>
      <c r="E25" s="126" t="inlineStr">
        <is>
          <t>Health Care</t>
        </is>
      </c>
      <c r="F25" s="132" t="n"/>
      <c r="G25" s="99" t="n"/>
      <c r="H25" s="99" t="n"/>
      <c r="I25" s="99" t="n"/>
      <c r="J25" s="99" t="n"/>
      <c r="K25" s="99" t="n"/>
      <c r="L25" s="99" t="n"/>
      <c r="M25" s="99" t="n"/>
    </row>
    <row r="26">
      <c r="C26" s="112" t="n">
        <v>40544</v>
      </c>
      <c r="D26" s="112" t="n">
        <v>40575</v>
      </c>
      <c r="E26" s="126" t="inlineStr">
        <is>
          <t>Industrials</t>
        </is>
      </c>
      <c r="F26" s="132" t="n">
        <v>14.36327094056305</v>
      </c>
      <c r="G26" s="99" t="n"/>
      <c r="H26" s="99" t="n"/>
      <c r="I26" s="99" t="n"/>
      <c r="J26" s="99" t="n"/>
      <c r="K26" s="99" t="n"/>
      <c r="L26" s="99" t="n"/>
      <c r="M26" s="99" t="n"/>
    </row>
    <row r="27">
      <c r="C27" s="112" t="n">
        <v>40544</v>
      </c>
      <c r="D27" s="112" t="n">
        <v>40575</v>
      </c>
      <c r="E27" s="126" t="inlineStr">
        <is>
          <t>Information Technology</t>
        </is>
      </c>
      <c r="F27" s="132" t="n"/>
      <c r="G27" s="99" t="n"/>
      <c r="H27" s="99" t="n"/>
      <c r="I27" s="99" t="n"/>
      <c r="J27" s="99" t="n"/>
      <c r="K27" s="99" t="n"/>
      <c r="L27" s="99" t="n"/>
      <c r="M27" s="99" t="n"/>
    </row>
    <row r="28">
      <c r="C28" s="112" t="n">
        <v>40544</v>
      </c>
      <c r="D28" s="112" t="n">
        <v>40575</v>
      </c>
      <c r="E28" s="126" t="inlineStr">
        <is>
          <t>Materials</t>
        </is>
      </c>
      <c r="F28" s="132" t="n">
        <v>5.525230954974147</v>
      </c>
      <c r="G28" s="99" t="n"/>
      <c r="H28" s="99" t="n"/>
      <c r="I28" s="99" t="n"/>
      <c r="J28" s="99" t="n"/>
      <c r="K28" s="99" t="n"/>
      <c r="L28" s="99" t="n"/>
      <c r="M28" s="99" t="n"/>
    </row>
    <row r="29">
      <c r="C29" s="112" t="n">
        <v>40544</v>
      </c>
      <c r="D29" s="112" t="n">
        <v>40575</v>
      </c>
      <c r="E29" s="126" t="inlineStr">
        <is>
          <t>Real Estate</t>
        </is>
      </c>
      <c r="F29" s="132" t="n"/>
      <c r="G29" s="99" t="n"/>
      <c r="H29" s="99" t="n"/>
      <c r="I29" s="99" t="n"/>
      <c r="J29" s="99" t="n"/>
      <c r="K29" s="99" t="n"/>
      <c r="L29" s="99" t="n"/>
      <c r="M29" s="99" t="n"/>
    </row>
    <row r="30">
      <c r="C30" s="112" t="n">
        <v>40544</v>
      </c>
      <c r="D30" s="112" t="n">
        <v>40575</v>
      </c>
      <c r="E30" s="126" t="inlineStr">
        <is>
          <t>Utilities</t>
        </is>
      </c>
      <c r="F30" s="132" t="n">
        <v>1.181028348061617</v>
      </c>
      <c r="G30" s="99" t="n"/>
      <c r="H30" s="99" t="n"/>
      <c r="I30" s="99" t="n"/>
      <c r="J30" s="99" t="n"/>
      <c r="K30" s="99" t="n"/>
      <c r="L30" s="99" t="n"/>
      <c r="M30" s="99" t="n"/>
    </row>
    <row r="31">
      <c r="C31" s="112" t="n">
        <v>40544</v>
      </c>
      <c r="D31" s="112" t="n">
        <v>40603</v>
      </c>
      <c r="E31" s="126" t="inlineStr">
        <is>
          <t>IBOV</t>
        </is>
      </c>
      <c r="F31" s="132" t="n">
        <v>4.767769110936255</v>
      </c>
      <c r="G31" s="99" t="n"/>
      <c r="H31" s="99" t="n"/>
      <c r="I31" s="99" t="n"/>
      <c r="J31" s="99" t="n"/>
      <c r="K31" s="99" t="n"/>
      <c r="L31" s="99" t="n"/>
      <c r="M31" s="99" t="n"/>
    </row>
    <row r="32">
      <c r="C32" s="112" t="n">
        <v>40544</v>
      </c>
      <c r="D32" s="112" t="n">
        <v>40603</v>
      </c>
      <c r="E32" s="126" t="inlineStr">
        <is>
          <t>Communication Services</t>
        </is>
      </c>
      <c r="F32" s="132" t="n">
        <v>9.0151179793596</v>
      </c>
      <c r="G32" s="99" t="n"/>
      <c r="H32" s="99" t="n"/>
      <c r="I32" s="99" t="n"/>
      <c r="J32" s="99" t="n"/>
      <c r="K32" s="99" t="n"/>
      <c r="L32" s="99" t="n"/>
      <c r="M32" s="99" t="n"/>
    </row>
    <row r="33">
      <c r="C33" s="112" t="n">
        <v>40544</v>
      </c>
      <c r="D33" s="112" t="n">
        <v>40603</v>
      </c>
      <c r="E33" s="126" t="inlineStr">
        <is>
          <t>Consumer Discretionary</t>
        </is>
      </c>
      <c r="F33" s="132" t="n">
        <v>2.394586860039959</v>
      </c>
      <c r="G33" s="99" t="n"/>
      <c r="H33" s="99" t="n"/>
      <c r="I33" s="99" t="n"/>
      <c r="J33" s="99" t="n"/>
      <c r="K33" s="99" t="n"/>
      <c r="L33" s="99" t="n"/>
      <c r="M33" s="99" t="n"/>
    </row>
    <row r="34">
      <c r="C34" s="112" t="n">
        <v>40544</v>
      </c>
      <c r="D34" s="112" t="n">
        <v>40603</v>
      </c>
      <c r="E34" s="126" t="inlineStr">
        <is>
          <t>Consumer Staples</t>
        </is>
      </c>
      <c r="F34" s="132" t="n">
        <v>-5.892524201005509</v>
      </c>
      <c r="G34" s="99" t="n"/>
      <c r="H34" s="99" t="n"/>
      <c r="I34" s="99" t="n"/>
      <c r="J34" s="99" t="n"/>
      <c r="K34" s="99" t="n"/>
      <c r="L34" s="99" t="n"/>
      <c r="M34" s="99" t="n"/>
    </row>
    <row r="35">
      <c r="C35" s="112" t="n">
        <v>40544</v>
      </c>
      <c r="D35" s="112" t="n">
        <v>40603</v>
      </c>
      <c r="E35" s="126" t="inlineStr">
        <is>
          <t>Energy</t>
        </is>
      </c>
      <c r="F35" s="132" t="n">
        <v>-3.292999303025594</v>
      </c>
      <c r="G35" s="99" t="n"/>
      <c r="H35" s="99" t="n"/>
      <c r="I35" s="99" t="n"/>
      <c r="J35" s="99" t="n"/>
      <c r="K35" s="99" t="n"/>
      <c r="L35" s="99" t="n"/>
      <c r="M35" s="99" t="n"/>
    </row>
    <row r="36">
      <c r="C36" s="112" t="n">
        <v>40544</v>
      </c>
      <c r="D36" s="112" t="n">
        <v>40603</v>
      </c>
      <c r="E36" s="126" t="inlineStr">
        <is>
          <t>Financials</t>
        </is>
      </c>
      <c r="F36" s="132" t="n">
        <v>6.383376418793177</v>
      </c>
      <c r="G36" s="99" t="n"/>
      <c r="H36" s="99" t="n"/>
      <c r="I36" s="99" t="n"/>
      <c r="J36" s="99" t="n"/>
      <c r="K36" s="99" t="n"/>
      <c r="L36" s="99" t="n"/>
      <c r="M36" s="99" t="n"/>
    </row>
    <row r="37">
      <c r="C37" s="112" t="n">
        <v>40544</v>
      </c>
      <c r="D37" s="112" t="n">
        <v>40603</v>
      </c>
      <c r="E37" s="126" t="inlineStr">
        <is>
          <t>Health Care</t>
        </is>
      </c>
      <c r="F37" s="132" t="n"/>
      <c r="G37" s="99" t="n"/>
      <c r="H37" s="99" t="n"/>
      <c r="I37" s="99" t="n"/>
      <c r="J37" s="99" t="n"/>
      <c r="K37" s="99" t="n"/>
      <c r="L37" s="99" t="n"/>
      <c r="M37" s="99" t="n"/>
    </row>
    <row r="38">
      <c r="C38" s="112" t="n">
        <v>40544</v>
      </c>
      <c r="D38" s="112" t="n">
        <v>40603</v>
      </c>
      <c r="E38" s="126" t="inlineStr">
        <is>
          <t>Industrials</t>
        </is>
      </c>
      <c r="F38" s="132" t="n">
        <v>2.636308645295728</v>
      </c>
      <c r="G38" s="99" t="n"/>
      <c r="H38" s="99" t="n"/>
      <c r="I38" s="99" t="n"/>
      <c r="J38" s="99" t="n"/>
      <c r="K38" s="99" t="n"/>
      <c r="L38" s="99" t="n"/>
      <c r="M38" s="99" t="n"/>
    </row>
    <row r="39">
      <c r="C39" s="112" t="n">
        <v>40544</v>
      </c>
      <c r="D39" s="112" t="n">
        <v>40603</v>
      </c>
      <c r="E39" s="126" t="inlineStr">
        <is>
          <t>Information Technology</t>
        </is>
      </c>
      <c r="F39" s="132" t="n"/>
      <c r="G39" s="99" t="n"/>
      <c r="H39" s="99" t="n"/>
      <c r="I39" s="99" t="n"/>
      <c r="J39" s="99" t="n"/>
      <c r="K39" s="99" t="n"/>
      <c r="L39" s="99" t="n"/>
      <c r="M39" s="99" t="n"/>
    </row>
    <row r="40">
      <c r="C40" s="112" t="n">
        <v>40544</v>
      </c>
      <c r="D40" s="112" t="n">
        <v>40603</v>
      </c>
      <c r="E40" s="126" t="inlineStr">
        <is>
          <t>Materials</t>
        </is>
      </c>
      <c r="F40" s="132" t="n">
        <v>2.514345541234433</v>
      </c>
      <c r="G40" s="99" t="n"/>
      <c r="H40" s="99" t="n"/>
      <c r="I40" s="99" t="n"/>
      <c r="J40" s="99" t="n"/>
      <c r="K40" s="99" t="n"/>
      <c r="L40" s="99" t="n"/>
      <c r="M40" s="99" t="n"/>
    </row>
    <row r="41">
      <c r="C41" s="112" t="n">
        <v>40544</v>
      </c>
      <c r="D41" s="112" t="n">
        <v>40603</v>
      </c>
      <c r="E41" s="126" t="inlineStr">
        <is>
          <t>Real Estate</t>
        </is>
      </c>
      <c r="F41" s="132" t="n"/>
      <c r="G41" s="99" t="n"/>
      <c r="H41" s="99" t="n"/>
      <c r="I41" s="99" t="n"/>
      <c r="J41" s="99" t="n"/>
      <c r="K41" s="99" t="n"/>
      <c r="L41" s="99" t="n"/>
      <c r="M41" s="99" t="n"/>
    </row>
    <row r="42">
      <c r="C42" s="112" t="n">
        <v>40544</v>
      </c>
      <c r="D42" s="112" t="n">
        <v>40603</v>
      </c>
      <c r="E42" s="126" t="inlineStr">
        <is>
          <t>Utilities</t>
        </is>
      </c>
      <c r="F42" s="132" t="n">
        <v>5.741267119729973</v>
      </c>
      <c r="G42" s="99" t="n"/>
      <c r="H42" s="99" t="n"/>
      <c r="I42" s="99" t="n"/>
      <c r="J42" s="99" t="n"/>
      <c r="K42" s="99" t="n"/>
      <c r="L42" s="99" t="n"/>
      <c r="M42" s="99" t="n"/>
    </row>
    <row r="43">
      <c r="C43" s="112" t="n">
        <v>41640</v>
      </c>
      <c r="D43" s="112" t="n">
        <v>41640</v>
      </c>
      <c r="E43" s="126" t="inlineStr">
        <is>
          <t>IBOV</t>
        </is>
      </c>
      <c r="F43" s="132" t="n">
        <v>19.26918511595792</v>
      </c>
      <c r="G43" s="99" t="n"/>
      <c r="H43" s="99" t="n"/>
      <c r="I43" s="99" t="n"/>
      <c r="J43" s="99" t="n"/>
      <c r="K43" s="99" t="n"/>
      <c r="L43" s="99" t="n"/>
      <c r="M43" s="99" t="n"/>
    </row>
    <row r="44">
      <c r="C44" s="112" t="n">
        <v>41640</v>
      </c>
      <c r="D44" s="112" t="n">
        <v>41640</v>
      </c>
      <c r="E44" s="126" t="inlineStr">
        <is>
          <t>Communication Services</t>
        </is>
      </c>
      <c r="F44" s="132" t="n">
        <v>24.01427666500227</v>
      </c>
      <c r="G44" s="99" t="n"/>
      <c r="H44" s="99" t="n"/>
      <c r="I44" s="99" t="n"/>
      <c r="J44" s="99" t="n"/>
      <c r="K44" s="99" t="n"/>
      <c r="L44" s="99" t="n"/>
      <c r="M44" s="99" t="n"/>
    </row>
    <row r="45">
      <c r="C45" s="112" t="n">
        <v>41640</v>
      </c>
      <c r="D45" s="112" t="n">
        <v>41640</v>
      </c>
      <c r="E45" s="126" t="inlineStr">
        <is>
          <t>Consumer Discretionary</t>
        </is>
      </c>
      <c r="F45" s="132" t="n">
        <v>18.90130673587929</v>
      </c>
      <c r="G45" s="99" t="n"/>
      <c r="H45" s="99" t="n"/>
      <c r="I45" s="99" t="n"/>
      <c r="J45" s="99" t="n"/>
      <c r="K45" s="99" t="n"/>
      <c r="L45" s="99" t="n"/>
      <c r="M45" s="99" t="n"/>
    </row>
    <row r="46">
      <c r="C46" s="112" t="n">
        <v>41640</v>
      </c>
      <c r="D46" s="112" t="n">
        <v>41640</v>
      </c>
      <c r="E46" s="126" t="inlineStr">
        <is>
          <t>Consumer Staples</t>
        </is>
      </c>
      <c r="F46" s="132" t="n">
        <v>35.29450984517295</v>
      </c>
      <c r="G46" s="99" t="n"/>
      <c r="H46" s="99" t="n"/>
      <c r="I46" s="99" t="n"/>
      <c r="J46" s="99" t="n"/>
      <c r="K46" s="99" t="n"/>
      <c r="L46" s="99" t="n"/>
      <c r="M46" s="99" t="n"/>
    </row>
    <row r="47">
      <c r="C47" s="112" t="n">
        <v>41640</v>
      </c>
      <c r="D47" s="112" t="n">
        <v>41640</v>
      </c>
      <c r="E47" s="126" t="inlineStr">
        <is>
          <t>Energy</t>
        </is>
      </c>
      <c r="F47" s="132" t="n">
        <v>22.18563805953628</v>
      </c>
      <c r="G47" s="99" t="n"/>
      <c r="H47" s="99" t="n"/>
      <c r="I47" s="99" t="n"/>
      <c r="J47" s="99" t="n"/>
      <c r="K47" s="99" t="n"/>
      <c r="L47" s="99" t="n"/>
      <c r="M47" s="99" t="n"/>
    </row>
    <row r="48">
      <c r="C48" s="112" t="n">
        <v>41640</v>
      </c>
      <c r="D48" s="112" t="n">
        <v>41640</v>
      </c>
      <c r="E48" s="126" t="inlineStr">
        <is>
          <t>Financials</t>
        </is>
      </c>
      <c r="F48" s="132" t="n">
        <v>6.641935344230705</v>
      </c>
      <c r="G48" s="99" t="n"/>
      <c r="H48" s="99" t="n"/>
      <c r="I48" s="99" t="n"/>
      <c r="J48" s="99" t="n"/>
      <c r="K48" s="99" t="n"/>
      <c r="L48" s="99" t="n"/>
      <c r="M48" s="99" t="n"/>
    </row>
    <row r="49">
      <c r="C49" s="112" t="n">
        <v>41640</v>
      </c>
      <c r="D49" s="112" t="n">
        <v>41640</v>
      </c>
      <c r="E49" s="126" t="inlineStr">
        <is>
          <t>Health Care</t>
        </is>
      </c>
      <c r="F49" s="132" t="n">
        <v>-11.5433059470462</v>
      </c>
      <c r="G49" s="99" t="n"/>
      <c r="H49" s="99" t="n"/>
      <c r="I49" s="99" t="n"/>
      <c r="J49" s="99" t="n"/>
      <c r="K49" s="99" t="n"/>
      <c r="L49" s="99" t="n"/>
      <c r="M49" s="99" t="n"/>
    </row>
    <row r="50">
      <c r="C50" s="112" t="n">
        <v>41640</v>
      </c>
      <c r="D50" s="112" t="n">
        <v>41640</v>
      </c>
      <c r="E50" s="126" t="inlineStr">
        <is>
          <t>Industrials</t>
        </is>
      </c>
      <c r="F50" s="132" t="n">
        <v>16.26884399417713</v>
      </c>
      <c r="G50" s="99" t="n"/>
      <c r="H50" s="99" t="n"/>
      <c r="I50" s="99" t="n"/>
      <c r="J50" s="99" t="n"/>
      <c r="K50" s="99" t="n"/>
      <c r="L50" s="99" t="n"/>
      <c r="M50" s="99" t="n"/>
    </row>
    <row r="51">
      <c r="C51" s="112" t="n">
        <v>41640</v>
      </c>
      <c r="D51" s="112" t="n">
        <v>41640</v>
      </c>
      <c r="E51" s="126" t="inlineStr">
        <is>
          <t>Information Technology</t>
        </is>
      </c>
      <c r="F51" s="132" t="n"/>
      <c r="G51" s="99" t="n"/>
      <c r="H51" s="99" t="n"/>
      <c r="I51" s="99" t="n"/>
      <c r="J51" s="99" t="n"/>
      <c r="K51" s="99" t="n"/>
      <c r="L51" s="99" t="n"/>
      <c r="M51" s="99" t="n"/>
    </row>
    <row r="52">
      <c r="C52" s="112" t="n">
        <v>41640</v>
      </c>
      <c r="D52" s="112" t="n">
        <v>41640</v>
      </c>
      <c r="E52" s="126" t="inlineStr">
        <is>
          <t>Materials</t>
        </is>
      </c>
      <c r="F52" s="132" t="n">
        <v>28.18046329734276</v>
      </c>
      <c r="G52" s="99" t="n"/>
      <c r="H52" s="99" t="n"/>
      <c r="I52" s="99" t="n"/>
      <c r="J52" s="99" t="n"/>
      <c r="K52" s="99" t="n"/>
      <c r="L52" s="99" t="n"/>
      <c r="M52" s="99" t="n"/>
    </row>
    <row r="53">
      <c r="C53" s="112" t="n">
        <v>41640</v>
      </c>
      <c r="D53" s="112" t="n">
        <v>41640</v>
      </c>
      <c r="E53" s="126" t="inlineStr">
        <is>
          <t>Real Estate</t>
        </is>
      </c>
      <c r="F53" s="132" t="n">
        <v>-2.262035292142143</v>
      </c>
      <c r="G53" s="99" t="n"/>
      <c r="H53" s="99" t="n"/>
      <c r="I53" s="99" t="n"/>
      <c r="J53" s="99" t="n"/>
      <c r="K53" s="99" t="n"/>
      <c r="L53" s="99" t="n"/>
      <c r="M53" s="99" t="n"/>
    </row>
    <row r="54">
      <c r="C54" s="112" t="n">
        <v>41640</v>
      </c>
      <c r="D54" s="112" t="n">
        <v>41640</v>
      </c>
      <c r="E54" s="126" t="inlineStr">
        <is>
          <t>Utilities</t>
        </is>
      </c>
      <c r="F54" s="132" t="n">
        <v>7.983914408622837</v>
      </c>
      <c r="G54" s="99" t="n"/>
      <c r="H54" s="99" t="n"/>
      <c r="I54" s="99" t="n"/>
      <c r="J54" s="99" t="n"/>
      <c r="K54" s="99" t="n"/>
      <c r="L54" s="99" t="n"/>
      <c r="M54" s="99" t="n"/>
    </row>
    <row r="55">
      <c r="C55" s="112" t="n">
        <v>41640</v>
      </c>
      <c r="D55" s="112" t="n">
        <v>41671</v>
      </c>
      <c r="E55" s="126" t="inlineStr">
        <is>
          <t>IBOV</t>
        </is>
      </c>
      <c r="F55" s="132" t="n">
        <v>12.49946728893671</v>
      </c>
      <c r="G55" s="99" t="n"/>
      <c r="H55" s="99" t="n"/>
      <c r="I55" s="99" t="n"/>
      <c r="J55" s="99" t="n"/>
      <c r="K55" s="99" t="n"/>
      <c r="L55" s="99" t="n"/>
      <c r="M55" s="99" t="n"/>
    </row>
    <row r="56">
      <c r="C56" s="112" t="n">
        <v>41640</v>
      </c>
      <c r="D56" s="112" t="n">
        <v>41671</v>
      </c>
      <c r="E56" s="126" t="inlineStr">
        <is>
          <t>Communication Services</t>
        </is>
      </c>
      <c r="F56" s="132" t="n">
        <v>32.0350342781713</v>
      </c>
      <c r="G56" s="99" t="n"/>
      <c r="H56" s="99" t="n"/>
      <c r="I56" s="99" t="n"/>
      <c r="J56" s="99" t="n"/>
      <c r="K56" s="99" t="n"/>
      <c r="L56" s="99" t="n"/>
      <c r="M56" s="99" t="n"/>
    </row>
    <row r="57">
      <c r="C57" s="112" t="n">
        <v>41640</v>
      </c>
      <c r="D57" s="112" t="n">
        <v>41671</v>
      </c>
      <c r="E57" s="126" t="inlineStr">
        <is>
          <t>Consumer Discretionary</t>
        </is>
      </c>
      <c r="F57" s="132" t="n">
        <v>21.70895533327743</v>
      </c>
      <c r="G57" s="99" t="n"/>
      <c r="H57" s="99" t="n"/>
      <c r="I57" s="99" t="n"/>
      <c r="J57" s="99" t="n"/>
      <c r="K57" s="99" t="n"/>
      <c r="L57" s="99" t="n"/>
      <c r="M57" s="99" t="n"/>
    </row>
    <row r="58">
      <c r="C58" s="112" t="n">
        <v>41640</v>
      </c>
      <c r="D58" s="112" t="n">
        <v>41671</v>
      </c>
      <c r="E58" s="126" t="inlineStr">
        <is>
          <t>Consumer Staples</t>
        </is>
      </c>
      <c r="F58" s="132" t="n">
        <v>33.48998010251326</v>
      </c>
      <c r="G58" s="99" t="n"/>
      <c r="H58" s="99" t="n"/>
      <c r="I58" s="99" t="n"/>
      <c r="J58" s="99" t="n"/>
      <c r="K58" s="99" t="n"/>
      <c r="L58" s="99" t="n"/>
      <c r="M58" s="99" t="n"/>
    </row>
    <row r="59">
      <c r="C59" s="112" t="n">
        <v>41640</v>
      </c>
      <c r="D59" s="112" t="n">
        <v>41671</v>
      </c>
      <c r="E59" s="126" t="inlineStr">
        <is>
          <t>Energy</t>
        </is>
      </c>
      <c r="F59" s="132" t="n">
        <v>-1.202602844139323</v>
      </c>
      <c r="G59" s="99" t="n"/>
      <c r="H59" s="99" t="n"/>
      <c r="I59" s="99" t="n"/>
      <c r="J59" s="99" t="n"/>
      <c r="K59" s="99" t="n"/>
      <c r="L59" s="99" t="n"/>
      <c r="M59" s="99" t="n"/>
    </row>
    <row r="60">
      <c r="C60" s="112" t="n">
        <v>41640</v>
      </c>
      <c r="D60" s="112" t="n">
        <v>41671</v>
      </c>
      <c r="E60" s="126" t="inlineStr">
        <is>
          <t>Financials</t>
        </is>
      </c>
      <c r="F60" s="132" t="n">
        <v>9.453279036706739</v>
      </c>
      <c r="G60" s="99" t="n"/>
      <c r="H60" s="99" t="n"/>
      <c r="I60" s="99" t="n"/>
      <c r="J60" s="99" t="n"/>
      <c r="K60" s="99" t="n"/>
      <c r="L60" s="99" t="n"/>
      <c r="M60" s="99" t="n"/>
    </row>
    <row r="61">
      <c r="C61" s="112" t="n">
        <v>41640</v>
      </c>
      <c r="D61" s="112" t="n">
        <v>41671</v>
      </c>
      <c r="E61" s="126" t="inlineStr">
        <is>
          <t>Health Care</t>
        </is>
      </c>
      <c r="F61" s="132" t="n">
        <v>-5.599468225411134</v>
      </c>
      <c r="G61" s="99" t="n"/>
      <c r="H61" s="99" t="n"/>
      <c r="I61" s="99" t="n"/>
      <c r="J61" s="99" t="n"/>
      <c r="K61" s="99" t="n"/>
      <c r="L61" s="99" t="n"/>
      <c r="M61" s="99" t="n"/>
    </row>
    <row r="62">
      <c r="C62" s="112" t="n">
        <v>41640</v>
      </c>
      <c r="D62" s="112" t="n">
        <v>41671</v>
      </c>
      <c r="E62" s="126" t="inlineStr">
        <is>
          <t>Industrials</t>
        </is>
      </c>
      <c r="F62" s="132" t="n">
        <v>10.08358241515226</v>
      </c>
      <c r="G62" s="99" t="n"/>
      <c r="H62" s="99" t="n"/>
      <c r="I62" s="99" t="n"/>
      <c r="J62" s="99" t="n"/>
      <c r="K62" s="99" t="n"/>
      <c r="L62" s="99" t="n"/>
      <c r="M62" s="99" t="n"/>
    </row>
    <row r="63">
      <c r="C63" s="112" t="n">
        <v>41640</v>
      </c>
      <c r="D63" s="112" t="n">
        <v>41671</v>
      </c>
      <c r="E63" s="126" t="inlineStr">
        <is>
          <t>Information Technology</t>
        </is>
      </c>
      <c r="F63" s="132" t="n"/>
      <c r="G63" s="99" t="n"/>
      <c r="H63" s="99" t="n"/>
      <c r="I63" s="99" t="n"/>
      <c r="J63" s="99" t="n"/>
      <c r="K63" s="99" t="n"/>
      <c r="L63" s="99" t="n"/>
      <c r="M63" s="99" t="n"/>
    </row>
    <row r="64">
      <c r="C64" s="112" t="n">
        <v>41640</v>
      </c>
      <c r="D64" s="112" t="n">
        <v>41671</v>
      </c>
      <c r="E64" s="126" t="inlineStr">
        <is>
          <t>Materials</t>
        </is>
      </c>
      <c r="F64" s="132" t="n">
        <v>22.94495352691995</v>
      </c>
      <c r="G64" s="99" t="n"/>
      <c r="H64" s="99" t="n"/>
      <c r="I64" s="99" t="n"/>
      <c r="J64" s="99" t="n"/>
      <c r="K64" s="99" t="n"/>
      <c r="L64" s="99" t="n"/>
      <c r="M64" s="99" t="n"/>
    </row>
    <row r="65">
      <c r="C65" s="112" t="n">
        <v>41640</v>
      </c>
      <c r="D65" s="112" t="n">
        <v>41671</v>
      </c>
      <c r="E65" s="126" t="inlineStr">
        <is>
          <t>Real Estate</t>
        </is>
      </c>
      <c r="F65" s="132" t="n">
        <v>-6.692803521846331</v>
      </c>
      <c r="G65" s="99" t="n"/>
      <c r="H65" s="99" t="n"/>
      <c r="I65" s="99" t="n"/>
      <c r="J65" s="99" t="n"/>
      <c r="K65" s="99" t="n"/>
      <c r="L65" s="99" t="n"/>
      <c r="M65" s="99" t="n"/>
    </row>
    <row r="66">
      <c r="C66" s="112" t="n">
        <v>41640</v>
      </c>
      <c r="D66" s="112" t="n">
        <v>41671</v>
      </c>
      <c r="E66" s="126" t="inlineStr">
        <is>
          <t>Utilities</t>
        </is>
      </c>
      <c r="F66" s="132" t="n">
        <v>11.19633854963919</v>
      </c>
      <c r="G66" s="99" t="n"/>
      <c r="H66" s="99" t="n"/>
      <c r="I66" s="99" t="n"/>
      <c r="J66" s="99" t="n"/>
      <c r="K66" s="99" t="n"/>
      <c r="L66" s="99" t="n"/>
      <c r="M66" s="99" t="n"/>
    </row>
    <row r="67">
      <c r="C67" s="112" t="n">
        <v>41640</v>
      </c>
      <c r="D67" s="112" t="n">
        <v>41699</v>
      </c>
      <c r="E67" s="126" t="inlineStr">
        <is>
          <t>IBOV</t>
        </is>
      </c>
      <c r="F67" s="132" t="n">
        <v>17.4822050643899</v>
      </c>
      <c r="G67" s="99" t="n"/>
      <c r="H67" s="99" t="n"/>
      <c r="I67" s="99" t="n"/>
      <c r="J67" s="99" t="n"/>
      <c r="K67" s="99" t="n"/>
      <c r="L67" s="99" t="n"/>
      <c r="M67" s="99" t="n"/>
    </row>
    <row r="68">
      <c r="C68" s="112" t="n">
        <v>41640</v>
      </c>
      <c r="D68" s="112" t="n">
        <v>41699</v>
      </c>
      <c r="E68" s="126" t="inlineStr">
        <is>
          <t>Communication Services</t>
        </is>
      </c>
      <c r="F68" s="132" t="n">
        <v>35.66336176509582</v>
      </c>
      <c r="G68" s="99" t="n"/>
      <c r="H68" s="99" t="n"/>
      <c r="I68" s="99" t="n"/>
      <c r="J68" s="99" t="n"/>
      <c r="K68" s="99" t="n"/>
      <c r="L68" s="99" t="n"/>
      <c r="M68" s="99" t="n"/>
    </row>
    <row r="69">
      <c r="C69" s="112" t="n">
        <v>41640</v>
      </c>
      <c r="D69" s="112" t="n">
        <v>41699</v>
      </c>
      <c r="E69" s="126" t="inlineStr">
        <is>
          <t>Consumer Discretionary</t>
        </is>
      </c>
      <c r="F69" s="132" t="n">
        <v>29.42915650765469</v>
      </c>
      <c r="G69" s="99" t="n"/>
      <c r="H69" s="99" t="n"/>
      <c r="I69" s="99" t="n"/>
      <c r="J69" s="99" t="n"/>
      <c r="K69" s="99" t="n"/>
      <c r="L69" s="99" t="n"/>
      <c r="M69" s="99" t="n"/>
    </row>
    <row r="70">
      <c r="C70" s="112" t="n">
        <v>41640</v>
      </c>
      <c r="D70" s="112" t="n">
        <v>41699</v>
      </c>
      <c r="E70" s="126" t="inlineStr">
        <is>
          <t>Consumer Staples</t>
        </is>
      </c>
      <c r="F70" s="132" t="n">
        <v>31.29376231995806</v>
      </c>
      <c r="G70" s="99" t="n"/>
      <c r="H70" s="99" t="n"/>
      <c r="I70" s="99" t="n"/>
      <c r="J70" s="99" t="n"/>
      <c r="K70" s="99" t="n"/>
      <c r="L70" s="99" t="n"/>
      <c r="M70" s="99" t="n"/>
    </row>
    <row r="71">
      <c r="C71" s="112" t="n">
        <v>41640</v>
      </c>
      <c r="D71" s="112" t="n">
        <v>41699</v>
      </c>
      <c r="E71" s="126" t="inlineStr">
        <is>
          <t>Energy</t>
        </is>
      </c>
      <c r="F71" s="132" t="n">
        <v>-0.5937784011851444</v>
      </c>
      <c r="G71" s="99" t="n"/>
      <c r="H71" s="99" t="n"/>
      <c r="I71" s="99" t="n"/>
      <c r="J71" s="99" t="n"/>
      <c r="K71" s="99" t="n"/>
      <c r="L71" s="99" t="n"/>
      <c r="M71" s="99" t="n"/>
    </row>
    <row r="72">
      <c r="C72" s="112" t="n">
        <v>41640</v>
      </c>
      <c r="D72" s="112" t="n">
        <v>41699</v>
      </c>
      <c r="E72" s="126" t="inlineStr">
        <is>
          <t>Financials</t>
        </is>
      </c>
      <c r="F72" s="132" t="n">
        <v>9.590989443434163</v>
      </c>
      <c r="G72" s="99" t="n"/>
      <c r="H72" s="99" t="n"/>
      <c r="I72" s="99" t="n"/>
      <c r="J72" s="99" t="n"/>
      <c r="K72" s="99" t="n"/>
      <c r="L72" s="99" t="n"/>
      <c r="M72" s="99" t="n"/>
    </row>
    <row r="73">
      <c r="C73" s="112" t="n">
        <v>41640</v>
      </c>
      <c r="D73" s="112" t="n">
        <v>41699</v>
      </c>
      <c r="E73" s="126" t="inlineStr">
        <is>
          <t>Health Care</t>
        </is>
      </c>
      <c r="F73" s="132" t="n">
        <v>5.02632532554829</v>
      </c>
      <c r="G73" s="99" t="n"/>
      <c r="H73" s="99" t="n"/>
      <c r="I73" s="99" t="n"/>
      <c r="J73" s="99" t="n"/>
      <c r="K73" s="99" t="n"/>
      <c r="L73" s="99" t="n"/>
      <c r="M73" s="99" t="n"/>
    </row>
    <row r="74">
      <c r="C74" s="112" t="n">
        <v>41640</v>
      </c>
      <c r="D74" s="112" t="n">
        <v>41699</v>
      </c>
      <c r="E74" s="126" t="inlineStr">
        <is>
          <t>Industrials</t>
        </is>
      </c>
      <c r="F74" s="132" t="n">
        <v>9.616259556312775</v>
      </c>
      <c r="G74" s="99" t="n"/>
      <c r="H74" s="99" t="n"/>
      <c r="I74" s="99" t="n"/>
      <c r="J74" s="99" t="n"/>
      <c r="K74" s="99" t="n"/>
      <c r="L74" s="99" t="n"/>
      <c r="M74" s="99" t="n"/>
    </row>
    <row r="75">
      <c r="C75" s="112" t="n">
        <v>41640</v>
      </c>
      <c r="D75" s="112" t="n">
        <v>41699</v>
      </c>
      <c r="E75" s="126" t="inlineStr">
        <is>
          <t>Information Technology</t>
        </is>
      </c>
      <c r="F75" s="132" t="n"/>
      <c r="G75" s="99" t="n"/>
      <c r="H75" s="99" t="n"/>
      <c r="I75" s="99" t="n"/>
      <c r="J75" s="99" t="n"/>
      <c r="K75" s="99" t="n"/>
      <c r="L75" s="99" t="n"/>
      <c r="M75" s="99" t="n"/>
    </row>
    <row r="76">
      <c r="C76" s="112" t="n">
        <v>41640</v>
      </c>
      <c r="D76" s="112" t="n">
        <v>41699</v>
      </c>
      <c r="E76" s="126" t="inlineStr">
        <is>
          <t>Materials</t>
        </is>
      </c>
      <c r="F76" s="132" t="n">
        <v>28.40457174704547</v>
      </c>
      <c r="G76" s="99" t="n"/>
      <c r="H76" s="99" t="n"/>
      <c r="I76" s="99" t="n"/>
      <c r="J76" s="99" t="n"/>
      <c r="K76" s="99" t="n"/>
      <c r="L76" s="99" t="n"/>
      <c r="M76" s="99" t="n"/>
    </row>
    <row r="77">
      <c r="C77" s="112" t="n">
        <v>41640</v>
      </c>
      <c r="D77" s="112" t="n">
        <v>41699</v>
      </c>
      <c r="E77" s="126" t="inlineStr">
        <is>
          <t>Real Estate</t>
        </is>
      </c>
      <c r="F77" s="132" t="n">
        <v>-8.648559046380459</v>
      </c>
      <c r="G77" s="99" t="n"/>
      <c r="H77" s="99" t="n"/>
      <c r="I77" s="99" t="n"/>
      <c r="J77" s="99" t="n"/>
      <c r="K77" s="99" t="n"/>
      <c r="L77" s="99" t="n"/>
      <c r="M77" s="99" t="n"/>
    </row>
    <row r="78">
      <c r="C78" s="112" t="n">
        <v>41640</v>
      </c>
      <c r="D78" s="112" t="n">
        <v>41699</v>
      </c>
      <c r="E78" s="126" t="inlineStr">
        <is>
          <t>Utilities</t>
        </is>
      </c>
      <c r="F78" s="132" t="n">
        <v>5.552810243108789</v>
      </c>
      <c r="G78" s="99" t="n"/>
      <c r="H78" s="99" t="n"/>
      <c r="I78" s="99" t="n"/>
      <c r="J78" s="99" t="n"/>
      <c r="K78" s="99" t="n"/>
      <c r="L78" s="99" t="n"/>
      <c r="M78" s="99" t="n"/>
    </row>
    <row r="79">
      <c r="C79" s="112" t="n">
        <v>42736</v>
      </c>
      <c r="D79" s="112" t="n">
        <v>42736</v>
      </c>
      <c r="E79" s="126" t="inlineStr">
        <is>
          <t>IBOV</t>
        </is>
      </c>
      <c r="F79" s="132" t="n">
        <v>14.44466648667605</v>
      </c>
      <c r="G79" s="99" t="n"/>
      <c r="H79" s="99" t="n"/>
      <c r="I79" s="99" t="n"/>
      <c r="J79" s="99" t="n"/>
      <c r="K79" s="99" t="n"/>
      <c r="L79" s="99" t="n"/>
      <c r="M79" s="99" t="n"/>
    </row>
    <row r="80">
      <c r="C80" s="112" t="n">
        <v>42736</v>
      </c>
      <c r="D80" s="112" t="n">
        <v>42736</v>
      </c>
      <c r="E80" s="126" t="inlineStr">
        <is>
          <t>Communication Services</t>
        </is>
      </c>
      <c r="F80" s="132" t="n">
        <v>6.704366531562314</v>
      </c>
      <c r="G80" s="99" t="n"/>
      <c r="H80" s="99" t="n"/>
      <c r="I80" s="99" t="n"/>
      <c r="J80" s="99" t="n"/>
      <c r="K80" s="99" t="n"/>
      <c r="L80" s="99" t="n"/>
      <c r="M80" s="99" t="n"/>
    </row>
    <row r="81">
      <c r="C81" s="112" t="n">
        <v>42736</v>
      </c>
      <c r="D81" s="112" t="n">
        <v>42736</v>
      </c>
      <c r="E81" s="126" t="inlineStr">
        <is>
          <t>Consumer Discretionary</t>
        </is>
      </c>
      <c r="F81" s="132" t="n">
        <v>-1.597045043685112</v>
      </c>
      <c r="G81" s="99" t="n"/>
      <c r="H81" s="99" t="n"/>
      <c r="I81" s="99" t="n"/>
      <c r="J81" s="99" t="n"/>
      <c r="K81" s="99" t="n"/>
      <c r="L81" s="99" t="n"/>
      <c r="M81" s="99" t="n"/>
    </row>
    <row r="82">
      <c r="C82" s="112" t="n">
        <v>42736</v>
      </c>
      <c r="D82" s="112" t="n">
        <v>42736</v>
      </c>
      <c r="E82" s="126" t="inlineStr">
        <is>
          <t>Consumer Staples</t>
        </is>
      </c>
      <c r="F82" s="132" t="n">
        <v>-1.371124670100336</v>
      </c>
      <c r="G82" s="99" t="n"/>
      <c r="H82" s="99" t="n"/>
      <c r="I82" s="99" t="n"/>
      <c r="J82" s="99" t="n"/>
      <c r="K82" s="99" t="n"/>
      <c r="L82" s="99" t="n"/>
      <c r="M82" s="99" t="n"/>
    </row>
    <row r="83">
      <c r="C83" s="112" t="n">
        <v>42736</v>
      </c>
      <c r="D83" s="112" t="n">
        <v>42736</v>
      </c>
      <c r="E83" s="126" t="inlineStr">
        <is>
          <t>Energy</t>
        </is>
      </c>
      <c r="F83" s="132" t="n">
        <v>21.71893034937997</v>
      </c>
      <c r="G83" s="99" t="n"/>
      <c r="H83" s="99" t="n"/>
      <c r="I83" s="99" t="n"/>
      <c r="J83" s="99" t="n"/>
      <c r="K83" s="99" t="n"/>
      <c r="L83" s="99" t="n"/>
      <c r="M83" s="99" t="n"/>
    </row>
    <row r="84">
      <c r="C84" s="112" t="n">
        <v>42736</v>
      </c>
      <c r="D84" s="112" t="n">
        <v>42736</v>
      </c>
      <c r="E84" s="126" t="inlineStr">
        <is>
          <t>Financials</t>
        </is>
      </c>
      <c r="F84" s="132" t="n">
        <v>7.622121708526877</v>
      </c>
      <c r="G84" s="99" t="n"/>
      <c r="H84" s="99" t="n"/>
      <c r="I84" s="99" t="n"/>
      <c r="J84" s="99" t="n"/>
      <c r="K84" s="99" t="n"/>
      <c r="L84" s="99" t="n"/>
      <c r="M84" s="99" t="n"/>
    </row>
    <row r="85">
      <c r="C85" s="112" t="n">
        <v>42736</v>
      </c>
      <c r="D85" s="112" t="n">
        <v>42736</v>
      </c>
      <c r="E85" s="126" t="inlineStr">
        <is>
          <t>Health Care</t>
        </is>
      </c>
      <c r="F85" s="132" t="n">
        <v>6.655407311364717</v>
      </c>
      <c r="G85" s="99" t="n"/>
      <c r="H85" s="99" t="n"/>
      <c r="I85" s="99" t="n"/>
      <c r="J85" s="99" t="n"/>
      <c r="K85" s="99" t="n"/>
      <c r="L85" s="99" t="n"/>
      <c r="M85" s="99" t="n"/>
    </row>
    <row r="86">
      <c r="C86" s="112" t="n">
        <v>42736</v>
      </c>
      <c r="D86" s="112" t="n">
        <v>42736</v>
      </c>
      <c r="E86" s="126" t="inlineStr">
        <is>
          <t>Industrials</t>
        </is>
      </c>
      <c r="F86" s="132" t="n">
        <v>1.080438731694207</v>
      </c>
      <c r="G86" s="99" t="n"/>
      <c r="H86" s="99" t="n"/>
      <c r="I86" s="99" t="n"/>
      <c r="J86" s="99" t="n"/>
      <c r="K86" s="99" t="n"/>
      <c r="L86" s="99" t="n"/>
      <c r="M86" s="99" t="n"/>
    </row>
    <row r="87">
      <c r="C87" s="112" t="n">
        <v>42736</v>
      </c>
      <c r="D87" s="112" t="n">
        <v>42736</v>
      </c>
      <c r="E87" s="126" t="inlineStr">
        <is>
          <t>Information Technology</t>
        </is>
      </c>
      <c r="F87" s="132" t="n"/>
      <c r="G87" s="99" t="n"/>
      <c r="H87" s="99" t="n"/>
      <c r="I87" s="99" t="n"/>
      <c r="J87" s="99" t="n"/>
      <c r="K87" s="99" t="n"/>
      <c r="L87" s="99" t="n"/>
      <c r="M87" s="99" t="n"/>
    </row>
    <row r="88">
      <c r="C88" s="112" t="n">
        <v>42736</v>
      </c>
      <c r="D88" s="112" t="n">
        <v>42736</v>
      </c>
      <c r="E88" s="126" t="inlineStr">
        <is>
          <t>Materials</t>
        </is>
      </c>
      <c r="F88" s="132" t="n">
        <v>82.71562621940016</v>
      </c>
      <c r="G88" s="99" t="n"/>
      <c r="H88" s="99" t="n"/>
      <c r="I88" s="99" t="n"/>
      <c r="J88" s="99" t="n"/>
      <c r="K88" s="99" t="n"/>
      <c r="L88" s="99" t="n"/>
      <c r="M88" s="99" t="n"/>
    </row>
    <row r="89">
      <c r="C89" s="112" t="n">
        <v>42736</v>
      </c>
      <c r="D89" s="112" t="n">
        <v>42736</v>
      </c>
      <c r="E89" s="126" t="inlineStr">
        <is>
          <t>Real Estate</t>
        </is>
      </c>
      <c r="F89" s="132" t="n">
        <v>4.554537266060925</v>
      </c>
      <c r="G89" s="99" t="n"/>
      <c r="H89" s="99" t="n"/>
      <c r="I89" s="99" t="n"/>
      <c r="J89" s="99" t="n"/>
      <c r="K89" s="99" t="n"/>
      <c r="L89" s="99" t="n"/>
      <c r="M89" s="99" t="n"/>
    </row>
    <row r="90">
      <c r="C90" s="112" t="n">
        <v>42736</v>
      </c>
      <c r="D90" s="112" t="n">
        <v>42736</v>
      </c>
      <c r="E90" s="126" t="inlineStr">
        <is>
          <t>Utilities</t>
        </is>
      </c>
      <c r="F90" s="132" t="n">
        <v>0.3455646358198114</v>
      </c>
      <c r="G90" s="99" t="n"/>
      <c r="H90" s="99" t="n"/>
      <c r="I90" s="99" t="n"/>
      <c r="J90" s="99" t="n"/>
      <c r="K90" s="99" t="n"/>
      <c r="L90" s="99" t="n"/>
      <c r="M90" s="99" t="n"/>
    </row>
    <row r="91">
      <c r="C91" s="112" t="n">
        <v>42736</v>
      </c>
      <c r="D91" s="112" t="n">
        <v>42767</v>
      </c>
      <c r="E91" s="126" t="inlineStr">
        <is>
          <t>IBOV</t>
        </is>
      </c>
      <c r="F91" s="132" t="n">
        <v>16.27081053329744</v>
      </c>
      <c r="G91" s="99" t="n"/>
      <c r="H91" s="99" t="n"/>
      <c r="I91" s="99" t="n"/>
      <c r="J91" s="99" t="n"/>
      <c r="K91" s="99" t="n"/>
      <c r="L91" s="99" t="n"/>
      <c r="M91" s="99" t="n"/>
    </row>
    <row r="92">
      <c r="C92" s="112" t="n">
        <v>42736</v>
      </c>
      <c r="D92" s="112" t="n">
        <v>42767</v>
      </c>
      <c r="E92" s="126" t="inlineStr">
        <is>
          <t>Communication Services</t>
        </is>
      </c>
      <c r="F92" s="132" t="n">
        <v>2.622180965807734</v>
      </c>
      <c r="G92" s="99" t="n"/>
      <c r="H92" s="99" t="n"/>
      <c r="I92" s="99" t="n"/>
      <c r="J92" s="99" t="n"/>
      <c r="K92" s="99" t="n"/>
      <c r="L92" s="99" t="n"/>
      <c r="M92" s="99" t="n"/>
    </row>
    <row r="93">
      <c r="C93" s="112" t="n">
        <v>42736</v>
      </c>
      <c r="D93" s="112" t="n">
        <v>42767</v>
      </c>
      <c r="E93" s="126" t="inlineStr">
        <is>
          <t>Consumer Discretionary</t>
        </is>
      </c>
      <c r="F93" s="132" t="n">
        <v>-3.723407226794383</v>
      </c>
      <c r="G93" s="99" t="n"/>
      <c r="H93" s="99" t="n"/>
      <c r="I93" s="99" t="n"/>
      <c r="J93" s="99" t="n"/>
      <c r="K93" s="99" t="n"/>
      <c r="L93" s="99" t="n"/>
      <c r="M93" s="99" t="n"/>
    </row>
    <row r="94">
      <c r="C94" s="112" t="n">
        <v>42736</v>
      </c>
      <c r="D94" s="112" t="n">
        <v>42767</v>
      </c>
      <c r="E94" s="126" t="inlineStr">
        <is>
          <t>Consumer Staples</t>
        </is>
      </c>
      <c r="F94" s="132" t="n">
        <v>6.345772903256854</v>
      </c>
      <c r="G94" s="99" t="n"/>
      <c r="H94" s="99" t="n"/>
      <c r="I94" s="99" t="n"/>
      <c r="J94" s="99" t="n"/>
      <c r="K94" s="99" t="n"/>
      <c r="L94" s="99" t="n"/>
      <c r="M94" s="99" t="n"/>
    </row>
    <row r="95">
      <c r="C95" s="112" t="n">
        <v>42736</v>
      </c>
      <c r="D95" s="112" t="n">
        <v>42767</v>
      </c>
      <c r="E95" s="126" t="inlineStr">
        <is>
          <t>Energy</t>
        </is>
      </c>
      <c r="F95" s="132" t="n">
        <v>27.33475680772287</v>
      </c>
      <c r="G95" s="99" t="n"/>
      <c r="H95" s="99" t="n"/>
      <c r="I95" s="99" t="n"/>
      <c r="J95" s="99" t="n"/>
      <c r="K95" s="99" t="n"/>
      <c r="L95" s="99" t="n"/>
      <c r="M95" s="99" t="n"/>
    </row>
    <row r="96">
      <c r="C96" s="112" t="n">
        <v>42736</v>
      </c>
      <c r="D96" s="112" t="n">
        <v>42767</v>
      </c>
      <c r="E96" s="126" t="inlineStr">
        <is>
          <t>Financials</t>
        </is>
      </c>
      <c r="F96" s="132" t="n">
        <v>4.49870351809088</v>
      </c>
      <c r="G96" s="99" t="n"/>
      <c r="H96" s="99" t="n"/>
      <c r="I96" s="99" t="n"/>
      <c r="J96" s="99" t="n"/>
      <c r="K96" s="99" t="n"/>
      <c r="L96" s="99" t="n"/>
      <c r="M96" s="99" t="n"/>
    </row>
    <row r="97">
      <c r="C97" s="112" t="n">
        <v>42736</v>
      </c>
      <c r="D97" s="112" t="n">
        <v>42767</v>
      </c>
      <c r="E97" s="126" t="inlineStr">
        <is>
          <t>Health Care</t>
        </is>
      </c>
      <c r="F97" s="132" t="n">
        <v>4.835011038313522</v>
      </c>
      <c r="G97" s="99" t="n"/>
      <c r="H97" s="99" t="n"/>
      <c r="I97" s="99" t="n"/>
      <c r="J97" s="99" t="n"/>
      <c r="K97" s="99" t="n"/>
      <c r="L97" s="99" t="n"/>
      <c r="M97" s="99" t="n"/>
    </row>
    <row r="98">
      <c r="C98" s="112" t="n">
        <v>42736</v>
      </c>
      <c r="D98" s="112" t="n">
        <v>42767</v>
      </c>
      <c r="E98" s="126" t="inlineStr">
        <is>
          <t>Industrials</t>
        </is>
      </c>
      <c r="F98" s="132" t="n">
        <v>9.813606673114975</v>
      </c>
      <c r="G98" s="99" t="n"/>
      <c r="H98" s="99" t="n"/>
      <c r="I98" s="99" t="n"/>
      <c r="J98" s="99" t="n"/>
      <c r="K98" s="99" t="n"/>
      <c r="L98" s="99" t="n"/>
      <c r="M98" s="99" t="n"/>
    </row>
    <row r="99">
      <c r="C99" s="112" t="n">
        <v>42736</v>
      </c>
      <c r="D99" s="112" t="n">
        <v>42767</v>
      </c>
      <c r="E99" s="126" t="inlineStr">
        <is>
          <t>Information Technology</t>
        </is>
      </c>
      <c r="F99" s="132" t="n"/>
      <c r="G99" s="99" t="n"/>
      <c r="H99" s="99" t="n"/>
      <c r="I99" s="99" t="n"/>
      <c r="J99" s="99" t="n"/>
      <c r="K99" s="99" t="n"/>
      <c r="L99" s="99" t="n"/>
      <c r="M99" s="99" t="n"/>
    </row>
    <row r="100">
      <c r="C100" s="112" t="n">
        <v>42736</v>
      </c>
      <c r="D100" s="112" t="n">
        <v>42767</v>
      </c>
      <c r="E100" s="126" t="inlineStr">
        <is>
          <t>Materials</t>
        </is>
      </c>
      <c r="F100" s="132" t="n">
        <v>79.65360951252731</v>
      </c>
      <c r="G100" s="99" t="n"/>
      <c r="H100" s="99" t="n"/>
      <c r="I100" s="99" t="n"/>
      <c r="J100" s="99" t="n"/>
      <c r="K100" s="99" t="n"/>
      <c r="L100" s="99" t="n"/>
      <c r="M100" s="99" t="n"/>
    </row>
    <row r="101">
      <c r="C101" s="112" t="n">
        <v>42736</v>
      </c>
      <c r="D101" s="112" t="n">
        <v>42767</v>
      </c>
      <c r="E101" s="126" t="inlineStr">
        <is>
          <t>Real Estate</t>
        </is>
      </c>
      <c r="F101" s="132" t="n">
        <v>9.276753425951856</v>
      </c>
      <c r="G101" s="99" t="n"/>
      <c r="H101" s="99" t="n"/>
      <c r="I101" s="99" t="n"/>
      <c r="J101" s="99" t="n"/>
      <c r="K101" s="99" t="n"/>
      <c r="L101" s="99" t="n"/>
      <c r="M101" s="99" t="n"/>
    </row>
    <row r="102">
      <c r="C102" s="112" t="n">
        <v>42736</v>
      </c>
      <c r="D102" s="112" t="n">
        <v>42767</v>
      </c>
      <c r="E102" s="126" t="inlineStr">
        <is>
          <t>Utilities</t>
        </is>
      </c>
      <c r="F102" s="132" t="n">
        <v>8.555820522971626</v>
      </c>
      <c r="G102" s="99" t="n"/>
      <c r="H102" s="99" t="n"/>
      <c r="I102" s="99" t="n"/>
      <c r="J102" s="99" t="n"/>
      <c r="K102" s="99" t="n"/>
      <c r="L102" s="99" t="n"/>
      <c r="M102" s="99" t="n"/>
    </row>
    <row r="103">
      <c r="C103" s="112" t="n">
        <v>42736</v>
      </c>
      <c r="D103" s="112" t="n">
        <v>42795</v>
      </c>
      <c r="E103" s="126" t="inlineStr">
        <is>
          <t>IBOV</t>
        </is>
      </c>
      <c r="F103" s="132" t="n">
        <v>14.03962134031432</v>
      </c>
      <c r="G103" s="99" t="n"/>
      <c r="H103" s="99" t="n"/>
      <c r="I103" s="99" t="n"/>
      <c r="J103" s="99" t="n"/>
      <c r="K103" s="99" t="n"/>
      <c r="L103" s="99" t="n"/>
      <c r="M103" s="99" t="n"/>
    </row>
    <row r="104">
      <c r="C104" s="112" t="n">
        <v>42736</v>
      </c>
      <c r="D104" s="112" t="n">
        <v>42795</v>
      </c>
      <c r="E104" s="126" t="inlineStr">
        <is>
          <t>Communication Services</t>
        </is>
      </c>
      <c r="F104" s="132" t="n">
        <v>-0.2154305228318965</v>
      </c>
      <c r="G104" s="99" t="n"/>
      <c r="H104" s="99" t="n"/>
      <c r="I104" s="99" t="n"/>
      <c r="J104" s="99" t="n"/>
      <c r="K104" s="99" t="n"/>
      <c r="L104" s="99" t="n"/>
      <c r="M104" s="99" t="n"/>
    </row>
    <row r="105">
      <c r="C105" s="112" t="n">
        <v>42736</v>
      </c>
      <c r="D105" s="112" t="n">
        <v>42795</v>
      </c>
      <c r="E105" s="126" t="inlineStr">
        <is>
          <t>Consumer Discretionary</t>
        </is>
      </c>
      <c r="F105" s="132" t="n">
        <v>-1.553521929901541</v>
      </c>
      <c r="G105" s="99" t="n"/>
      <c r="H105" s="99" t="n"/>
      <c r="I105" s="99" t="n"/>
      <c r="J105" s="99" t="n"/>
      <c r="K105" s="99" t="n"/>
      <c r="L105" s="99" t="n"/>
      <c r="M105" s="99" t="n"/>
    </row>
    <row r="106">
      <c r="C106" s="112" t="n">
        <v>42736</v>
      </c>
      <c r="D106" s="112" t="n">
        <v>42795</v>
      </c>
      <c r="E106" s="126" t="inlineStr">
        <is>
          <t>Consumer Staples</t>
        </is>
      </c>
      <c r="F106" s="132" t="n">
        <v>6.177065996316403</v>
      </c>
      <c r="G106" s="99" t="n"/>
      <c r="H106" s="99" t="n"/>
      <c r="I106" s="99" t="n"/>
      <c r="J106" s="99" t="n"/>
      <c r="K106" s="99" t="n"/>
      <c r="L106" s="99" t="n"/>
      <c r="M106" s="99" t="n"/>
    </row>
    <row r="107">
      <c r="C107" s="112" t="n">
        <v>42736</v>
      </c>
      <c r="D107" s="112" t="n">
        <v>42795</v>
      </c>
      <c r="E107" s="126" t="inlineStr">
        <is>
          <t>Energy</t>
        </is>
      </c>
      <c r="F107" s="132" t="n">
        <v>20.32434108633202</v>
      </c>
      <c r="G107" s="99" t="n"/>
      <c r="H107" s="99" t="n"/>
      <c r="I107" s="99" t="n"/>
      <c r="J107" s="99" t="n"/>
      <c r="K107" s="99" t="n"/>
      <c r="L107" s="99" t="n"/>
      <c r="M107" s="99" t="n"/>
    </row>
    <row r="108">
      <c r="C108" s="112" t="n">
        <v>42736</v>
      </c>
      <c r="D108" s="112" t="n">
        <v>42795</v>
      </c>
      <c r="E108" s="126" t="inlineStr">
        <is>
          <t>Financials</t>
        </is>
      </c>
      <c r="F108" s="132" t="n">
        <v>6.159673337576598</v>
      </c>
      <c r="G108" s="99" t="n"/>
      <c r="H108" s="99" t="n"/>
      <c r="I108" s="99" t="n"/>
      <c r="J108" s="99" t="n"/>
      <c r="K108" s="99" t="n"/>
      <c r="L108" s="99" t="n"/>
      <c r="M108" s="99" t="n"/>
    </row>
    <row r="109">
      <c r="C109" s="112" t="n">
        <v>42736</v>
      </c>
      <c r="D109" s="112" t="n">
        <v>42795</v>
      </c>
      <c r="E109" s="126" t="inlineStr">
        <is>
          <t>Health Care</t>
        </is>
      </c>
      <c r="F109" s="132" t="n">
        <v>3.435764803236613</v>
      </c>
      <c r="G109" s="99" t="n"/>
      <c r="H109" s="99" t="n"/>
      <c r="I109" s="99" t="n"/>
      <c r="J109" s="99" t="n"/>
      <c r="K109" s="99" t="n"/>
      <c r="L109" s="99" t="n"/>
      <c r="M109" s="99" t="n"/>
    </row>
    <row r="110">
      <c r="C110" s="112" t="n">
        <v>42736</v>
      </c>
      <c r="D110" s="112" t="n">
        <v>42795</v>
      </c>
      <c r="E110" s="126" t="inlineStr">
        <is>
          <t>Industrials</t>
        </is>
      </c>
      <c r="F110" s="132" t="n">
        <v>3.018897302558114</v>
      </c>
      <c r="G110" s="99" t="n"/>
      <c r="H110" s="99" t="n"/>
      <c r="I110" s="99" t="n"/>
      <c r="J110" s="99" t="n"/>
      <c r="K110" s="99" t="n"/>
      <c r="L110" s="99" t="n"/>
      <c r="M110" s="99" t="n"/>
    </row>
    <row r="111">
      <c r="C111" s="112" t="n">
        <v>42736</v>
      </c>
      <c r="D111" s="112" t="n">
        <v>42795</v>
      </c>
      <c r="E111" s="126" t="inlineStr">
        <is>
          <t>Information Technology</t>
        </is>
      </c>
      <c r="F111" s="132" t="n"/>
      <c r="G111" s="99" t="n"/>
      <c r="H111" s="99" t="n"/>
      <c r="I111" s="99" t="n"/>
      <c r="J111" s="99" t="n"/>
      <c r="K111" s="99" t="n"/>
      <c r="L111" s="99" t="n"/>
      <c r="M111" s="99" t="n"/>
    </row>
    <row r="112">
      <c r="C112" s="112" t="n">
        <v>42736</v>
      </c>
      <c r="D112" s="112" t="n">
        <v>42795</v>
      </c>
      <c r="E112" s="126" t="inlineStr">
        <is>
          <t>Materials</t>
        </is>
      </c>
      <c r="F112" s="132" t="n">
        <v>56.01850765804532</v>
      </c>
      <c r="G112" s="99" t="n"/>
      <c r="H112" s="99" t="n"/>
      <c r="I112" s="99" t="n"/>
      <c r="J112" s="99" t="n"/>
      <c r="K112" s="99" t="n"/>
      <c r="L112" s="99" t="n"/>
      <c r="M112" s="99" t="n"/>
    </row>
    <row r="113">
      <c r="C113" s="112" t="n">
        <v>42736</v>
      </c>
      <c r="D113" s="112" t="n">
        <v>42795</v>
      </c>
      <c r="E113" s="126" t="inlineStr">
        <is>
          <t>Real Estate</t>
        </is>
      </c>
      <c r="F113" s="132" t="n">
        <v>12.29191447705695</v>
      </c>
      <c r="G113" s="99" t="n"/>
      <c r="H113" s="99" t="n"/>
      <c r="I113" s="99" t="n"/>
      <c r="J113" s="99" t="n"/>
      <c r="K113" s="99" t="n"/>
      <c r="L113" s="99" t="n"/>
      <c r="M113" s="99" t="n"/>
    </row>
    <row r="114">
      <c r="C114" s="112" t="n">
        <v>42736</v>
      </c>
      <c r="D114" s="112" t="n">
        <v>42795</v>
      </c>
      <c r="E114" s="126" t="inlineStr">
        <is>
          <t>Utilities</t>
        </is>
      </c>
      <c r="F114" s="132" t="n">
        <v>17.11656180610862</v>
      </c>
      <c r="G114" s="99" t="n"/>
      <c r="H114" s="99" t="n"/>
      <c r="I114" s="99" t="n"/>
      <c r="J114" s="99" t="n"/>
      <c r="K114" s="99" t="n"/>
      <c r="L114" s="99" t="n"/>
      <c r="M114" s="99" t="n"/>
    </row>
    <row r="115">
      <c r="C115" s="112" t="n">
        <v>43831</v>
      </c>
      <c r="D115" s="112" t="n">
        <v>43831</v>
      </c>
      <c r="E115" s="126" t="inlineStr">
        <is>
          <t>IBOV</t>
        </is>
      </c>
      <c r="F115" s="132" t="n">
        <v>-9.236160362673196</v>
      </c>
      <c r="G115" s="99" t="n"/>
      <c r="H115" s="99" t="n"/>
      <c r="I115" s="99" t="n"/>
      <c r="J115" s="99" t="n"/>
      <c r="K115" s="99" t="n"/>
      <c r="L115" s="99" t="n"/>
      <c r="M115" s="99" t="n"/>
    </row>
    <row r="116">
      <c r="C116" s="112" t="n">
        <v>43831</v>
      </c>
      <c r="D116" s="112" t="n">
        <v>43831</v>
      </c>
      <c r="E116" s="126" t="inlineStr">
        <is>
          <t>Communication Services</t>
        </is>
      </c>
      <c r="F116" s="132" t="n">
        <v>-4.073939225075627</v>
      </c>
      <c r="G116" s="99" t="n"/>
      <c r="H116" s="99" t="n"/>
      <c r="I116" s="99" t="n"/>
      <c r="J116" s="99" t="n"/>
      <c r="K116" s="99" t="n"/>
      <c r="L116" s="99" t="n"/>
      <c r="M116" s="99" t="n"/>
    </row>
    <row r="117">
      <c r="C117" s="112" t="n">
        <v>43831</v>
      </c>
      <c r="D117" s="112" t="n">
        <v>43831</v>
      </c>
      <c r="E117" s="126" t="inlineStr">
        <is>
          <t>Consumer Discretionary</t>
        </is>
      </c>
      <c r="F117" s="132" t="n">
        <v>-3.969991828788917</v>
      </c>
      <c r="G117" s="99" t="n"/>
      <c r="H117" s="99" t="n"/>
      <c r="I117" s="99" t="n"/>
      <c r="J117" s="99" t="n"/>
      <c r="K117" s="99" t="n"/>
      <c r="L117" s="99" t="n"/>
      <c r="M117" s="99" t="n"/>
    </row>
    <row r="118">
      <c r="C118" s="112" t="n">
        <v>43831</v>
      </c>
      <c r="D118" s="112" t="n">
        <v>43831</v>
      </c>
      <c r="E118" s="126" t="inlineStr">
        <is>
          <t>Consumer Staples</t>
        </is>
      </c>
      <c r="F118" s="132" t="n">
        <v>-10.08569990446233</v>
      </c>
      <c r="G118" s="99" t="n"/>
      <c r="H118" s="99" t="n"/>
      <c r="I118" s="99" t="n"/>
      <c r="J118" s="99" t="n"/>
      <c r="K118" s="99" t="n"/>
      <c r="L118" s="99" t="n"/>
      <c r="M118" s="99" t="n"/>
    </row>
    <row r="119">
      <c r="C119" s="112" t="n">
        <v>43831</v>
      </c>
      <c r="D119" s="112" t="n">
        <v>43831</v>
      </c>
      <c r="E119" s="126" t="inlineStr">
        <is>
          <t>Energy</t>
        </is>
      </c>
      <c r="F119" s="132" t="n">
        <v>5.810712546209148</v>
      </c>
      <c r="G119" s="99" t="n"/>
      <c r="H119" s="99" t="n"/>
      <c r="I119" s="99" t="n"/>
      <c r="J119" s="99" t="n"/>
      <c r="K119" s="99" t="n"/>
      <c r="L119" s="99" t="n"/>
      <c r="M119" s="99" t="n"/>
    </row>
    <row r="120">
      <c r="C120" s="112" t="n">
        <v>43831</v>
      </c>
      <c r="D120" s="112" t="n">
        <v>43831</v>
      </c>
      <c r="E120" s="126" t="inlineStr">
        <is>
          <t>Financials</t>
        </is>
      </c>
      <c r="F120" s="132" t="n">
        <v>-5.316582093698714</v>
      </c>
      <c r="G120" s="99" t="n"/>
      <c r="H120" s="99" t="n"/>
      <c r="I120" s="99" t="n"/>
      <c r="J120" s="99" t="n"/>
      <c r="K120" s="99" t="n"/>
      <c r="L120" s="99" t="n"/>
      <c r="M120" s="99" t="n"/>
    </row>
    <row r="121">
      <c r="C121" s="112" t="n">
        <v>43831</v>
      </c>
      <c r="D121" s="112" t="n">
        <v>43831</v>
      </c>
      <c r="E121" s="126" t="inlineStr">
        <is>
          <t>Health Care</t>
        </is>
      </c>
      <c r="F121" s="132" t="n">
        <v>5.516638962194924</v>
      </c>
      <c r="G121" s="99" t="n"/>
      <c r="H121" s="99" t="n"/>
      <c r="I121" s="99" t="n"/>
      <c r="J121" s="99" t="n"/>
      <c r="K121" s="99" t="n"/>
      <c r="L121" s="99" t="n"/>
      <c r="M121" s="99" t="n"/>
    </row>
    <row r="122">
      <c r="C122" s="112" t="n">
        <v>43831</v>
      </c>
      <c r="D122" s="112" t="n">
        <v>43831</v>
      </c>
      <c r="E122" s="126" t="inlineStr">
        <is>
          <t>Industrials</t>
        </is>
      </c>
      <c r="F122" s="132" t="n">
        <v>6.167449531681666</v>
      </c>
      <c r="G122" s="99" t="n"/>
      <c r="H122" s="99" t="n"/>
      <c r="I122" s="99" t="n"/>
      <c r="J122" s="99" t="n"/>
      <c r="K122" s="99" t="n"/>
      <c r="L122" s="99" t="n"/>
      <c r="M122" s="99" t="n"/>
    </row>
    <row r="123">
      <c r="C123" s="112" t="n">
        <v>43831</v>
      </c>
      <c r="D123" s="112" t="n">
        <v>43831</v>
      </c>
      <c r="E123" s="126" t="inlineStr">
        <is>
          <t>Information Technology</t>
        </is>
      </c>
      <c r="F123" s="132" t="n"/>
      <c r="G123" s="99" t="n"/>
      <c r="H123" s="99" t="n"/>
      <c r="I123" s="99" t="n"/>
      <c r="J123" s="99" t="n"/>
      <c r="K123" s="99" t="n"/>
      <c r="L123" s="99" t="n"/>
      <c r="M123" s="99" t="n"/>
    </row>
    <row r="124">
      <c r="C124" s="112" t="n">
        <v>43831</v>
      </c>
      <c r="D124" s="112" t="n">
        <v>43831</v>
      </c>
      <c r="E124" s="126" t="inlineStr">
        <is>
          <t>Materials</t>
        </is>
      </c>
      <c r="F124" s="132" t="n">
        <v>1.128045284465994</v>
      </c>
      <c r="G124" s="99" t="n"/>
      <c r="H124" s="99" t="n"/>
      <c r="I124" s="99" t="n"/>
      <c r="J124" s="99" t="n"/>
      <c r="K124" s="99" t="n"/>
      <c r="L124" s="99" t="n"/>
      <c r="M124" s="99" t="n"/>
    </row>
    <row r="125">
      <c r="C125" s="112" t="n">
        <v>43831</v>
      </c>
      <c r="D125" s="112" t="n">
        <v>43831</v>
      </c>
      <c r="E125" s="126" t="inlineStr">
        <is>
          <t>Real Estate</t>
        </is>
      </c>
      <c r="F125" s="132" t="n">
        <v>3.844264583460917</v>
      </c>
      <c r="G125" s="99" t="n"/>
      <c r="H125" s="99" t="n"/>
      <c r="I125" s="99" t="n"/>
      <c r="J125" s="99" t="n"/>
      <c r="K125" s="99" t="n"/>
      <c r="L125" s="99" t="n"/>
      <c r="M125" s="99" t="n"/>
    </row>
    <row r="126">
      <c r="C126" s="112" t="n">
        <v>43831</v>
      </c>
      <c r="D126" s="112" t="n">
        <v>43831</v>
      </c>
      <c r="E126" s="126" t="inlineStr">
        <is>
          <t>Utilities</t>
        </is>
      </c>
      <c r="F126" s="132" t="n">
        <v>-6.525896632549911</v>
      </c>
      <c r="G126" s="99" t="n"/>
      <c r="H126" s="99" t="n"/>
      <c r="I126" s="99" t="n"/>
      <c r="J126" s="99" t="n"/>
      <c r="K126" s="99" t="n"/>
      <c r="L126" s="99" t="n"/>
      <c r="M126" s="99" t="n"/>
    </row>
    <row r="127">
      <c r="C127" s="112" t="n">
        <v>43831</v>
      </c>
      <c r="D127" s="112" t="n">
        <v>43862</v>
      </c>
      <c r="E127" s="126" t="inlineStr">
        <is>
          <t>IBOV</t>
        </is>
      </c>
      <c r="F127" s="132" t="n">
        <v>-7.917957098831925</v>
      </c>
      <c r="G127" s="99" t="n"/>
      <c r="H127" s="99" t="n"/>
      <c r="I127" s="99" t="n"/>
      <c r="J127" s="99" t="n"/>
      <c r="K127" s="99" t="n"/>
      <c r="L127" s="99" t="n"/>
      <c r="M127" s="99" t="n"/>
    </row>
    <row r="128">
      <c r="C128" s="112" t="n">
        <v>43831</v>
      </c>
      <c r="D128" s="112" t="n">
        <v>43862</v>
      </c>
      <c r="E128" s="126" t="inlineStr">
        <is>
          <t>Communication Services</t>
        </is>
      </c>
      <c r="F128" s="132" t="n">
        <v>-4.795018528064966</v>
      </c>
      <c r="G128" s="99" t="n"/>
      <c r="H128" s="99" t="n"/>
      <c r="I128" s="99" t="n"/>
      <c r="J128" s="99" t="n"/>
      <c r="K128" s="99" t="n"/>
      <c r="L128" s="99" t="n"/>
      <c r="M128" s="99" t="n"/>
    </row>
    <row r="129">
      <c r="C129" s="112" t="n">
        <v>43831</v>
      </c>
      <c r="D129" s="112" t="n">
        <v>43862</v>
      </c>
      <c r="E129" s="126" t="inlineStr">
        <is>
          <t>Consumer Discretionary</t>
        </is>
      </c>
      <c r="F129" s="132" t="n">
        <v>-3.451796431669421</v>
      </c>
      <c r="G129" s="99" t="n"/>
      <c r="H129" s="99" t="n"/>
      <c r="I129" s="99" t="n"/>
      <c r="J129" s="99" t="n"/>
      <c r="K129" s="99" t="n"/>
      <c r="L129" s="99" t="n"/>
      <c r="M129" s="99" t="n"/>
    </row>
    <row r="130">
      <c r="C130" s="112" t="n">
        <v>43831</v>
      </c>
      <c r="D130" s="112" t="n">
        <v>43862</v>
      </c>
      <c r="E130" s="126" t="inlineStr">
        <is>
          <t>Consumer Staples</t>
        </is>
      </c>
      <c r="F130" s="132" t="n">
        <v>-19.96796061961482</v>
      </c>
      <c r="G130" s="99" t="n"/>
      <c r="H130" s="99" t="n"/>
      <c r="I130" s="99" t="n"/>
      <c r="J130" s="99" t="n"/>
      <c r="K130" s="99" t="n"/>
      <c r="L130" s="99" t="n"/>
      <c r="M130" s="99" t="n"/>
    </row>
    <row r="131">
      <c r="C131" s="112" t="n">
        <v>43831</v>
      </c>
      <c r="D131" s="112" t="n">
        <v>43862</v>
      </c>
      <c r="E131" s="126" t="inlineStr">
        <is>
          <t>Energy</t>
        </is>
      </c>
      <c r="F131" s="132" t="n">
        <v>1.710082322946184</v>
      </c>
      <c r="G131" s="99" t="n"/>
      <c r="H131" s="99" t="n"/>
      <c r="I131" s="99" t="n"/>
      <c r="J131" s="99" t="n"/>
      <c r="K131" s="99" t="n"/>
      <c r="L131" s="99" t="n"/>
      <c r="M131" s="99" t="n"/>
    </row>
    <row r="132">
      <c r="C132" s="112" t="n">
        <v>43831</v>
      </c>
      <c r="D132" s="112" t="n">
        <v>43862</v>
      </c>
      <c r="E132" s="126" t="inlineStr">
        <is>
          <t>Financials</t>
        </is>
      </c>
      <c r="F132" s="132" t="n">
        <v>-3.121905663664044</v>
      </c>
      <c r="G132" s="99" t="n"/>
      <c r="H132" s="99" t="n"/>
      <c r="I132" s="99" t="n"/>
      <c r="J132" s="99" t="n"/>
      <c r="K132" s="99" t="n"/>
      <c r="L132" s="99" t="n"/>
      <c r="M132" s="99" t="n"/>
    </row>
    <row r="133">
      <c r="C133" s="112" t="n">
        <v>43831</v>
      </c>
      <c r="D133" s="112" t="n">
        <v>43862</v>
      </c>
      <c r="E133" s="126" t="inlineStr">
        <is>
          <t>Health Care</t>
        </is>
      </c>
      <c r="F133" s="132" t="n">
        <v>10.2418454915873</v>
      </c>
      <c r="G133" s="99" t="n"/>
      <c r="H133" s="99" t="n"/>
      <c r="I133" s="99" t="n"/>
      <c r="J133" s="99" t="n"/>
      <c r="K133" s="99" t="n"/>
      <c r="L133" s="99" t="n"/>
      <c r="M133" s="99" t="n"/>
    </row>
    <row r="134">
      <c r="C134" s="112" t="n">
        <v>43831</v>
      </c>
      <c r="D134" s="112" t="n">
        <v>43862</v>
      </c>
      <c r="E134" s="126" t="inlineStr">
        <is>
          <t>Industrials</t>
        </is>
      </c>
      <c r="F134" s="132" t="n">
        <v>7.609570918648205</v>
      </c>
      <c r="G134" s="99" t="n"/>
      <c r="H134" s="99" t="n"/>
      <c r="I134" s="99" t="n"/>
      <c r="J134" s="99" t="n"/>
      <c r="K134" s="99" t="n"/>
      <c r="L134" s="99" t="n"/>
      <c r="M134" s="99" t="n"/>
    </row>
    <row r="135">
      <c r="C135" s="112" t="n">
        <v>43831</v>
      </c>
      <c r="D135" s="112" t="n">
        <v>43862</v>
      </c>
      <c r="E135" s="126" t="inlineStr">
        <is>
          <t>Information Technology</t>
        </is>
      </c>
      <c r="F135" s="132" t="n"/>
      <c r="G135" s="99" t="n"/>
      <c r="H135" s="99" t="n"/>
      <c r="I135" s="99" t="n"/>
      <c r="J135" s="99" t="n"/>
      <c r="K135" s="99" t="n"/>
      <c r="L135" s="99" t="n"/>
      <c r="M135" s="99" t="n"/>
    </row>
    <row r="136">
      <c r="C136" s="112" t="n">
        <v>43831</v>
      </c>
      <c r="D136" s="112" t="n">
        <v>43862</v>
      </c>
      <c r="E136" s="126" t="inlineStr">
        <is>
          <t>Materials</t>
        </is>
      </c>
      <c r="F136" s="132" t="n">
        <v>3.07095725560435</v>
      </c>
      <c r="G136" s="99" t="n"/>
      <c r="H136" s="99" t="n"/>
      <c r="I136" s="99" t="n"/>
      <c r="J136" s="99" t="n"/>
      <c r="K136" s="99" t="n"/>
      <c r="L136" s="99" t="n"/>
      <c r="M136" s="99" t="n"/>
    </row>
    <row r="137">
      <c r="C137" s="112" t="n">
        <v>43831</v>
      </c>
      <c r="D137" s="112" t="n">
        <v>43862</v>
      </c>
      <c r="E137" s="126" t="inlineStr">
        <is>
          <t>Real Estate</t>
        </is>
      </c>
      <c r="F137" s="132" t="n">
        <v>6.684177528152543</v>
      </c>
      <c r="G137" s="99" t="n"/>
      <c r="H137" s="99" t="n"/>
      <c r="I137" s="99" t="n"/>
      <c r="J137" s="99" t="n"/>
      <c r="K137" s="99" t="n"/>
      <c r="L137" s="99" t="n"/>
      <c r="M137" s="99" t="n"/>
    </row>
    <row r="138">
      <c r="C138" s="112" t="n">
        <v>43831</v>
      </c>
      <c r="D138" s="112" t="n">
        <v>43862</v>
      </c>
      <c r="E138" s="126" t="inlineStr">
        <is>
          <t>Utilities</t>
        </is>
      </c>
      <c r="F138" s="132" t="n">
        <v>6.326488819771203</v>
      </c>
      <c r="G138" s="99" t="n"/>
      <c r="H138" s="99" t="n"/>
      <c r="I138" s="99" t="n"/>
      <c r="J138" s="99" t="n"/>
      <c r="K138" s="99" t="n"/>
      <c r="L138" s="99" t="n"/>
      <c r="M138" s="99" t="n"/>
    </row>
    <row r="139">
      <c r="C139" s="112" t="n">
        <v>43831</v>
      </c>
      <c r="D139" s="112" t="n">
        <v>43891</v>
      </c>
      <c r="E139" s="126" t="inlineStr">
        <is>
          <t>IBOV</t>
        </is>
      </c>
      <c r="F139" s="132" t="n">
        <v>-22.55603350474197</v>
      </c>
      <c r="G139" s="99" t="n"/>
      <c r="H139" s="99" t="n"/>
      <c r="I139" s="99" t="n"/>
      <c r="J139" s="99" t="n"/>
      <c r="K139" s="99" t="n"/>
      <c r="L139" s="99" t="n"/>
      <c r="M139" s="99" t="n"/>
    </row>
    <row r="140">
      <c r="C140" s="112" t="n">
        <v>43831</v>
      </c>
      <c r="D140" s="112" t="n">
        <v>43891</v>
      </c>
      <c r="E140" s="126" t="inlineStr">
        <is>
          <t>Communication Services</t>
        </is>
      </c>
      <c r="F140" s="132" t="n">
        <v>1.372093439774546</v>
      </c>
      <c r="G140" s="99" t="n"/>
      <c r="H140" s="99" t="n"/>
      <c r="I140" s="99" t="n"/>
      <c r="J140" s="99" t="n"/>
      <c r="K140" s="99" t="n"/>
      <c r="L140" s="99" t="n"/>
      <c r="M140" s="99" t="n"/>
    </row>
    <row r="141">
      <c r="C141" s="112" t="n">
        <v>43831</v>
      </c>
      <c r="D141" s="112" t="n">
        <v>43891</v>
      </c>
      <c r="E141" s="126" t="inlineStr">
        <is>
          <t>Consumer Discretionary</t>
        </is>
      </c>
      <c r="F141" s="132" t="n">
        <v>-19.70249316599338</v>
      </c>
      <c r="G141" s="99" t="n"/>
      <c r="H141" s="99" t="n"/>
      <c r="I141" s="99" t="n"/>
      <c r="J141" s="99" t="n"/>
      <c r="K141" s="99" t="n"/>
      <c r="L141" s="99" t="n"/>
      <c r="M141" s="99" t="n"/>
    </row>
    <row r="142">
      <c r="C142" s="112" t="n">
        <v>43831</v>
      </c>
      <c r="D142" s="112" t="n">
        <v>43891</v>
      </c>
      <c r="E142" s="126" t="inlineStr">
        <is>
          <t>Consumer Staples</t>
        </is>
      </c>
      <c r="F142" s="132" t="n">
        <v>-25.55126637374148</v>
      </c>
      <c r="G142" s="99" t="n"/>
      <c r="H142" s="99" t="n"/>
      <c r="I142" s="99" t="n"/>
      <c r="J142" s="99" t="n"/>
      <c r="K142" s="99" t="n"/>
      <c r="L142" s="99" t="n"/>
      <c r="M142" s="99" t="n"/>
    </row>
    <row r="143">
      <c r="C143" s="112" t="n">
        <v>43831</v>
      </c>
      <c r="D143" s="112" t="n">
        <v>43891</v>
      </c>
      <c r="E143" s="126" t="inlineStr">
        <is>
          <t>Energy</t>
        </is>
      </c>
      <c r="F143" s="132" t="n">
        <v>-96.00206183517982</v>
      </c>
      <c r="G143" s="99" t="n"/>
      <c r="H143" s="99" t="n"/>
      <c r="I143" s="99" t="n"/>
      <c r="J143" s="99" t="n"/>
      <c r="K143" s="99" t="n"/>
      <c r="L143" s="99" t="n"/>
      <c r="M143" s="99" t="n"/>
    </row>
    <row r="144">
      <c r="C144" s="112" t="n">
        <v>43831</v>
      </c>
      <c r="D144" s="112" t="n">
        <v>43891</v>
      </c>
      <c r="E144" s="126" t="inlineStr">
        <is>
          <t>Financials</t>
        </is>
      </c>
      <c r="F144" s="132" t="n">
        <v>-6.797824969340943</v>
      </c>
      <c r="G144" s="99" t="n"/>
      <c r="H144" s="99" t="n"/>
      <c r="I144" s="99" t="n"/>
      <c r="J144" s="99" t="n"/>
      <c r="K144" s="99" t="n"/>
      <c r="L144" s="99" t="n"/>
      <c r="M144" s="99" t="n"/>
    </row>
    <row r="145">
      <c r="C145" s="112" t="n">
        <v>43831</v>
      </c>
      <c r="D145" s="112" t="n">
        <v>43891</v>
      </c>
      <c r="E145" s="126" t="inlineStr">
        <is>
          <t>Health Care</t>
        </is>
      </c>
      <c r="F145" s="132" t="n">
        <v>11.34410368652735</v>
      </c>
      <c r="G145" s="99" t="n"/>
      <c r="H145" s="99" t="n"/>
      <c r="I145" s="99" t="n"/>
      <c r="J145" s="99" t="n"/>
      <c r="K145" s="99" t="n"/>
      <c r="L145" s="99" t="n"/>
      <c r="M145" s="99" t="n"/>
    </row>
    <row r="146">
      <c r="C146" s="112" t="n">
        <v>43831</v>
      </c>
      <c r="D146" s="112" t="n">
        <v>43891</v>
      </c>
      <c r="E146" s="126" t="inlineStr">
        <is>
          <t>Industrials</t>
        </is>
      </c>
      <c r="F146" s="132" t="n">
        <v>0.2224466095199845</v>
      </c>
      <c r="G146" s="99" t="n"/>
      <c r="H146" s="99" t="n"/>
      <c r="I146" s="99" t="n"/>
      <c r="J146" s="99" t="n"/>
      <c r="K146" s="99" t="n"/>
      <c r="L146" s="99" t="n"/>
      <c r="M146" s="99" t="n"/>
    </row>
    <row r="147">
      <c r="C147" s="112" t="n">
        <v>43831</v>
      </c>
      <c r="D147" s="112" t="n">
        <v>43891</v>
      </c>
      <c r="E147" s="126" t="inlineStr">
        <is>
          <t>Information Technology</t>
        </is>
      </c>
      <c r="F147" s="132" t="n"/>
      <c r="G147" s="99" t="n"/>
      <c r="H147" s="99" t="n"/>
      <c r="I147" s="99" t="n"/>
      <c r="J147" s="99" t="n"/>
      <c r="K147" s="99" t="n"/>
      <c r="L147" s="99" t="n"/>
      <c r="M147" s="99" t="n"/>
    </row>
    <row r="148">
      <c r="C148" s="112" t="n">
        <v>43831</v>
      </c>
      <c r="D148" s="112" t="n">
        <v>43891</v>
      </c>
      <c r="E148" s="126" t="inlineStr">
        <is>
          <t>Materials</t>
        </is>
      </c>
      <c r="F148" s="132" t="n">
        <v>6.166908710359349</v>
      </c>
      <c r="G148" s="99" t="n"/>
      <c r="H148" s="99" t="n"/>
      <c r="I148" s="99" t="n"/>
      <c r="J148" s="99" t="n"/>
      <c r="K148" s="99" t="n"/>
      <c r="L148" s="99" t="n"/>
      <c r="M148" s="99" t="n"/>
    </row>
    <row r="149">
      <c r="C149" s="112" t="n">
        <v>43831</v>
      </c>
      <c r="D149" s="112" t="n">
        <v>43891</v>
      </c>
      <c r="E149" s="126" t="inlineStr">
        <is>
          <t>Real Estate</t>
        </is>
      </c>
      <c r="F149" s="132" t="n">
        <v>-26.01888602957577</v>
      </c>
      <c r="G149" s="99" t="n"/>
      <c r="H149" s="99" t="n"/>
      <c r="I149" s="99" t="n"/>
      <c r="J149" s="99" t="n"/>
      <c r="K149" s="99" t="n"/>
      <c r="L149" s="99" t="n"/>
      <c r="M149" s="99" t="n"/>
    </row>
    <row r="150">
      <c r="C150" s="112" t="n">
        <v>43831</v>
      </c>
      <c r="D150" s="112" t="n">
        <v>43891</v>
      </c>
      <c r="E150" s="126" t="inlineStr">
        <is>
          <t>Utilities</t>
        </is>
      </c>
      <c r="F150" s="132" t="n">
        <v>8.314362320727152</v>
      </c>
      <c r="G150" s="99" t="n"/>
      <c r="H150" s="99" t="n"/>
      <c r="I150" s="99" t="n"/>
      <c r="J150" s="99" t="n"/>
      <c r="K150" s="99" t="n"/>
      <c r="L150" s="99" t="n"/>
      <c r="M150" s="99" t="n"/>
    </row>
    <row r="151">
      <c r="C151" s="112" t="n">
        <v>44927</v>
      </c>
      <c r="D151" s="112" t="n">
        <v>44927</v>
      </c>
      <c r="E151" s="126" t="inlineStr">
        <is>
          <t>IBOV</t>
        </is>
      </c>
      <c r="F151" s="132" t="n">
        <v>-8.584029188979267</v>
      </c>
      <c r="G151" s="99" t="n"/>
      <c r="H151" s="99" t="n"/>
      <c r="I151" s="99" t="n"/>
      <c r="J151" s="99" t="n"/>
      <c r="K151" s="99" t="n"/>
      <c r="L151" s="99" t="n"/>
      <c r="M151" s="99" t="n"/>
    </row>
    <row r="152">
      <c r="C152" s="112" t="n">
        <v>44927</v>
      </c>
      <c r="D152" s="112" t="n">
        <v>44927</v>
      </c>
      <c r="E152" s="126" t="inlineStr">
        <is>
          <t>Communication Services</t>
        </is>
      </c>
      <c r="F152" s="132" t="n">
        <v>2.014605295551222</v>
      </c>
      <c r="G152" s="99" t="n"/>
      <c r="H152" s="99" t="n"/>
      <c r="I152" s="99" t="n"/>
      <c r="J152" s="99" t="n"/>
      <c r="K152" s="99" t="n"/>
      <c r="L152" s="99" t="n"/>
      <c r="M152" s="99" t="n"/>
    </row>
    <row r="153">
      <c r="C153" s="112" t="n">
        <v>44927</v>
      </c>
      <c r="D153" s="112" t="n">
        <v>44927</v>
      </c>
      <c r="E153" s="126" t="inlineStr">
        <is>
          <t>Consumer Discretionary</t>
        </is>
      </c>
      <c r="F153" s="132" t="n">
        <v>-18.72229076624917</v>
      </c>
      <c r="G153" s="99" t="n"/>
      <c r="H153" s="99" t="n"/>
      <c r="I153" s="99" t="n"/>
      <c r="J153" s="99" t="n"/>
      <c r="K153" s="99" t="n"/>
      <c r="L153" s="99" t="n"/>
      <c r="M153" s="99" t="n"/>
    </row>
    <row r="154">
      <c r="C154" s="112" t="n">
        <v>44927</v>
      </c>
      <c r="D154" s="112" t="n">
        <v>44927</v>
      </c>
      <c r="E154" s="126" t="inlineStr">
        <is>
          <t>Consumer Staples</t>
        </is>
      </c>
      <c r="F154" s="132" t="n">
        <v>-16.87532179388406</v>
      </c>
      <c r="G154" s="99" t="n"/>
      <c r="H154" s="99" t="n"/>
      <c r="I154" s="99" t="n"/>
      <c r="J154" s="99" t="n"/>
      <c r="K154" s="99" t="n"/>
      <c r="L154" s="99" t="n"/>
      <c r="M154" s="99" t="n"/>
    </row>
    <row r="155">
      <c r="C155" s="112" t="n">
        <v>44927</v>
      </c>
      <c r="D155" s="112" t="n">
        <v>44927</v>
      </c>
      <c r="E155" s="126" t="inlineStr">
        <is>
          <t>Energy</t>
        </is>
      </c>
      <c r="F155" s="132" t="n">
        <v>-35.9306332255662</v>
      </c>
      <c r="G155" s="99" t="n"/>
      <c r="H155" s="99" t="n"/>
      <c r="I155" s="99" t="n"/>
      <c r="J155" s="99" t="n"/>
      <c r="K155" s="99" t="n"/>
      <c r="L155" s="99" t="n"/>
      <c r="M155" s="99" t="n"/>
    </row>
    <row r="156">
      <c r="C156" s="112" t="n">
        <v>44927</v>
      </c>
      <c r="D156" s="112" t="n">
        <v>44927</v>
      </c>
      <c r="E156" s="126" t="inlineStr">
        <is>
          <t>Financials</t>
        </is>
      </c>
      <c r="F156" s="132" t="n">
        <v>-0.7475341148486595</v>
      </c>
      <c r="G156" s="99" t="n"/>
      <c r="H156" s="99" t="n"/>
      <c r="I156" s="99" t="n"/>
      <c r="J156" s="99" t="n"/>
      <c r="K156" s="99" t="n"/>
      <c r="L156" s="99" t="n"/>
      <c r="M156" s="99" t="n"/>
    </row>
    <row r="157">
      <c r="C157" s="112" t="n">
        <v>44927</v>
      </c>
      <c r="D157" s="112" t="n">
        <v>44927</v>
      </c>
      <c r="E157" s="126" t="inlineStr">
        <is>
          <t>Health Care</t>
        </is>
      </c>
      <c r="F157" s="132" t="n">
        <v>-2.379421826759919</v>
      </c>
      <c r="G157" s="99" t="n"/>
      <c r="H157" s="99" t="n"/>
      <c r="I157" s="99" t="n"/>
      <c r="J157" s="99" t="n"/>
      <c r="K157" s="99" t="n"/>
      <c r="L157" s="99" t="n"/>
      <c r="M157" s="99" t="n"/>
    </row>
    <row r="158">
      <c r="C158" s="112" t="n">
        <v>44927</v>
      </c>
      <c r="D158" s="112" t="n">
        <v>44927</v>
      </c>
      <c r="E158" s="126" t="inlineStr">
        <is>
          <t>Industrials</t>
        </is>
      </c>
      <c r="F158" s="132" t="n">
        <v>6.471818504950605</v>
      </c>
      <c r="G158" s="99" t="n"/>
      <c r="H158" s="99" t="n"/>
      <c r="I158" s="99" t="n"/>
      <c r="J158" s="99" t="n"/>
      <c r="K158" s="99" t="n"/>
      <c r="L158" s="99" t="n"/>
      <c r="M158" s="99" t="n"/>
    </row>
    <row r="159">
      <c r="C159" s="112" t="n">
        <v>44927</v>
      </c>
      <c r="D159" s="112" t="n">
        <v>44927</v>
      </c>
      <c r="E159" s="126" t="inlineStr">
        <is>
          <t>Information Technology</t>
        </is>
      </c>
      <c r="F159" s="132" t="n">
        <v>15.84981636147847</v>
      </c>
      <c r="G159" s="99" t="n"/>
      <c r="H159" s="99" t="n"/>
      <c r="I159" s="99" t="n"/>
      <c r="J159" s="99" t="n"/>
      <c r="K159" s="99" t="n"/>
      <c r="L159" s="99" t="n"/>
      <c r="M159" s="99" t="n"/>
    </row>
    <row r="160">
      <c r="C160" s="112" t="n">
        <v>44927</v>
      </c>
      <c r="D160" s="112" t="n">
        <v>44927</v>
      </c>
      <c r="E160" s="126" t="inlineStr">
        <is>
          <t>Materials</t>
        </is>
      </c>
      <c r="F160" s="132" t="n">
        <v>-1.193844600933017</v>
      </c>
      <c r="G160" s="99" t="n"/>
      <c r="H160" s="99" t="n"/>
      <c r="I160" s="99" t="n"/>
      <c r="J160" s="99" t="n"/>
      <c r="K160" s="99" t="n"/>
      <c r="L160" s="99" t="n"/>
      <c r="M160" s="99" t="n"/>
    </row>
    <row r="161">
      <c r="C161" s="112" t="n">
        <v>44927</v>
      </c>
      <c r="D161" s="112" t="n">
        <v>44927</v>
      </c>
      <c r="E161" s="126" t="inlineStr">
        <is>
          <t>Real Estate</t>
        </is>
      </c>
      <c r="F161" s="132" t="n">
        <v>8.077948262525592</v>
      </c>
      <c r="G161" s="99" t="n"/>
      <c r="H161" s="99" t="n"/>
      <c r="I161" s="99" t="n"/>
      <c r="J161" s="99" t="n"/>
      <c r="K161" s="99" t="n"/>
      <c r="L161" s="99" t="n"/>
      <c r="M161" s="99" t="n"/>
    </row>
    <row r="162">
      <c r="C162" s="112" t="n">
        <v>44927</v>
      </c>
      <c r="D162" s="112" t="n">
        <v>44927</v>
      </c>
      <c r="E162" s="126" t="inlineStr">
        <is>
          <t>Utilities</t>
        </is>
      </c>
      <c r="F162" s="132" t="n">
        <v>-0.01132783879175916</v>
      </c>
      <c r="G162" s="99" t="n"/>
      <c r="H162" s="99" t="n"/>
      <c r="I162" s="99" t="n"/>
      <c r="J162" s="99" t="n"/>
      <c r="K162" s="99" t="n"/>
      <c r="L162" s="99" t="n"/>
      <c r="M162" s="99" t="n"/>
    </row>
    <row r="163">
      <c r="C163" s="112" t="n">
        <v>44927</v>
      </c>
      <c r="D163" s="112" t="n">
        <v>44958</v>
      </c>
      <c r="E163" s="126" t="inlineStr">
        <is>
          <t>IBOV</t>
        </is>
      </c>
      <c r="F163" s="132" t="n">
        <v>-3.397083449313322</v>
      </c>
      <c r="G163" s="99" t="n"/>
      <c r="H163" s="99" t="n"/>
      <c r="I163" s="99" t="n"/>
      <c r="J163" s="99" t="n"/>
      <c r="K163" s="99" t="n"/>
      <c r="L163" s="99" t="n"/>
      <c r="M163" s="99" t="n"/>
    </row>
    <row r="164">
      <c r="C164" s="112" t="n">
        <v>44927</v>
      </c>
      <c r="D164" s="112" t="n">
        <v>44958</v>
      </c>
      <c r="E164" s="126" t="inlineStr">
        <is>
          <t>Communication Services</t>
        </is>
      </c>
      <c r="F164" s="132" t="n">
        <v>0.1517554349025482</v>
      </c>
      <c r="G164" s="99" t="n"/>
      <c r="H164" s="99" t="n"/>
      <c r="I164" s="99" t="n"/>
      <c r="J164" s="99" t="n"/>
      <c r="K164" s="99" t="n"/>
      <c r="L164" s="99" t="n"/>
      <c r="M164" s="99" t="n"/>
    </row>
    <row r="165">
      <c r="C165" s="112" t="n">
        <v>44927</v>
      </c>
      <c r="D165" s="112" t="n">
        <v>44958</v>
      </c>
      <c r="E165" s="126" t="inlineStr">
        <is>
          <t>Consumer Discretionary</t>
        </is>
      </c>
      <c r="F165" s="132" t="n">
        <v>-30.18545985422525</v>
      </c>
      <c r="G165" s="99" t="n"/>
      <c r="H165" s="99" t="n"/>
      <c r="I165" s="99" t="n"/>
      <c r="J165" s="99" t="n"/>
      <c r="K165" s="99" t="n"/>
      <c r="L165" s="99" t="n"/>
      <c r="M165" s="99" t="n"/>
    </row>
    <row r="166">
      <c r="C166" s="112" t="n">
        <v>44927</v>
      </c>
      <c r="D166" s="112" t="n">
        <v>44958</v>
      </c>
      <c r="E166" s="126" t="inlineStr">
        <is>
          <t>Consumer Staples</t>
        </is>
      </c>
      <c r="F166" s="132" t="n">
        <v>-16.05338459533138</v>
      </c>
      <c r="G166" s="99" t="n"/>
      <c r="H166" s="99" t="n"/>
      <c r="I166" s="99" t="n"/>
      <c r="J166" s="99" t="n"/>
      <c r="K166" s="99" t="n"/>
      <c r="L166" s="99" t="n"/>
      <c r="M166" s="99" t="n"/>
    </row>
    <row r="167">
      <c r="C167" s="112" t="n">
        <v>44927</v>
      </c>
      <c r="D167" s="112" t="n">
        <v>44958</v>
      </c>
      <c r="E167" s="126" t="inlineStr">
        <is>
          <t>Energy</t>
        </is>
      </c>
      <c r="F167" s="132" t="n">
        <v>-12.87808482382192</v>
      </c>
      <c r="G167" s="99" t="n"/>
      <c r="H167" s="99" t="n"/>
      <c r="I167" s="99" t="n"/>
      <c r="J167" s="99" t="n"/>
      <c r="K167" s="99" t="n"/>
      <c r="L167" s="99" t="n"/>
      <c r="M167" s="99" t="n"/>
    </row>
    <row r="168">
      <c r="C168" s="112" t="n">
        <v>44927</v>
      </c>
      <c r="D168" s="112" t="n">
        <v>44958</v>
      </c>
      <c r="E168" s="126" t="inlineStr">
        <is>
          <t>Financials</t>
        </is>
      </c>
      <c r="F168" s="132" t="n">
        <v>3.779329329082275</v>
      </c>
      <c r="G168" s="99" t="n"/>
      <c r="H168" s="99" t="n"/>
      <c r="I168" s="99" t="n"/>
      <c r="J168" s="99" t="n"/>
      <c r="K168" s="99" t="n"/>
      <c r="L168" s="99" t="n"/>
      <c r="M168" s="99" t="n"/>
    </row>
    <row r="169">
      <c r="C169" s="112" t="n">
        <v>44927</v>
      </c>
      <c r="D169" s="112" t="n">
        <v>44958</v>
      </c>
      <c r="E169" s="126" t="inlineStr">
        <is>
          <t>Health Care</t>
        </is>
      </c>
      <c r="F169" s="132" t="n">
        <v>-7.326370389542084</v>
      </c>
      <c r="G169" s="99" t="n"/>
      <c r="H169" s="99" t="n"/>
      <c r="I169" s="99" t="n"/>
      <c r="J169" s="99" t="n"/>
      <c r="K169" s="99" t="n"/>
      <c r="L169" s="99" t="n"/>
      <c r="M169" s="99" t="n"/>
    </row>
    <row r="170">
      <c r="C170" s="112" t="n">
        <v>44927</v>
      </c>
      <c r="D170" s="112" t="n">
        <v>44958</v>
      </c>
      <c r="E170" s="126" t="inlineStr">
        <is>
          <t>Industrials</t>
        </is>
      </c>
      <c r="F170" s="132" t="n">
        <v>4.414634613538676</v>
      </c>
      <c r="G170" s="99" t="n"/>
      <c r="H170" s="99" t="n"/>
      <c r="I170" s="99" t="n"/>
      <c r="J170" s="99" t="n"/>
      <c r="K170" s="99" t="n"/>
      <c r="L170" s="99" t="n"/>
      <c r="M170" s="99" t="n"/>
    </row>
    <row r="171">
      <c r="C171" s="112" t="n">
        <v>44927</v>
      </c>
      <c r="D171" s="112" t="n">
        <v>44958</v>
      </c>
      <c r="E171" s="126" t="inlineStr">
        <is>
          <t>Information Technology</t>
        </is>
      </c>
      <c r="F171" s="132" t="n">
        <v>13.4775458820543</v>
      </c>
      <c r="G171" s="99" t="n"/>
      <c r="H171" s="99" t="n"/>
      <c r="I171" s="99" t="n"/>
      <c r="J171" s="99" t="n"/>
      <c r="K171" s="99" t="n"/>
      <c r="L171" s="99" t="n"/>
      <c r="M171" s="99" t="n"/>
    </row>
    <row r="172">
      <c r="C172" s="112" t="n">
        <v>44927</v>
      </c>
      <c r="D172" s="112" t="n">
        <v>44958</v>
      </c>
      <c r="E172" s="126" t="inlineStr">
        <is>
          <t>Materials</t>
        </is>
      </c>
      <c r="F172" s="132" t="n">
        <v>-5.28534368730962</v>
      </c>
      <c r="G172" s="99" t="n"/>
      <c r="H172" s="99" t="n"/>
      <c r="I172" s="99" t="n"/>
      <c r="J172" s="99" t="n"/>
      <c r="K172" s="99" t="n"/>
      <c r="L172" s="99" t="n"/>
      <c r="M172" s="99" t="n"/>
    </row>
    <row r="173">
      <c r="C173" s="112" t="n">
        <v>44927</v>
      </c>
      <c r="D173" s="112" t="n">
        <v>44958</v>
      </c>
      <c r="E173" s="126" t="inlineStr">
        <is>
          <t>Real Estate</t>
        </is>
      </c>
      <c r="F173" s="132" t="n">
        <v>11.34718060712398</v>
      </c>
      <c r="G173" s="99" t="n"/>
      <c r="H173" s="99" t="n"/>
      <c r="I173" s="99" t="n"/>
      <c r="J173" s="99" t="n"/>
      <c r="K173" s="99" t="n"/>
      <c r="L173" s="99" t="n"/>
      <c r="M173" s="99" t="n"/>
    </row>
    <row r="174">
      <c r="C174" s="112" t="n">
        <v>44927</v>
      </c>
      <c r="D174" s="112" t="n">
        <v>44958</v>
      </c>
      <c r="E174" s="126" t="inlineStr">
        <is>
          <t>Utilities</t>
        </is>
      </c>
      <c r="F174" s="132" t="n">
        <v>-4.055469029313335</v>
      </c>
      <c r="G174" s="99" t="n"/>
      <c r="H174" s="99" t="n"/>
      <c r="I174" s="99" t="n"/>
      <c r="J174" s="99" t="n"/>
      <c r="K174" s="99" t="n"/>
      <c r="L174" s="99" t="n"/>
      <c r="M174" s="99" t="n"/>
    </row>
    <row r="175">
      <c r="C175" s="112" t="n">
        <v>44927</v>
      </c>
      <c r="D175" s="112" t="n">
        <v>44986</v>
      </c>
      <c r="E175" s="126" t="inlineStr">
        <is>
          <t>IBOV</t>
        </is>
      </c>
      <c r="F175" s="132" t="n">
        <v>1.005976584702891</v>
      </c>
      <c r="G175" s="99" t="n"/>
      <c r="H175" s="99" t="n"/>
      <c r="I175" s="99" t="n"/>
      <c r="J175" s="99" t="n"/>
      <c r="K175" s="99" t="n"/>
      <c r="L175" s="99" t="n"/>
      <c r="M175" s="99" t="n"/>
    </row>
    <row r="176">
      <c r="C176" s="112" t="n">
        <v>44927</v>
      </c>
      <c r="D176" s="112" t="n">
        <v>44986</v>
      </c>
      <c r="E176" s="126" t="inlineStr">
        <is>
          <t>Communication Services</t>
        </is>
      </c>
      <c r="F176" s="132" t="n">
        <v>-0.6791539872506406</v>
      </c>
      <c r="G176" s="99" t="n"/>
      <c r="H176" s="99" t="n"/>
      <c r="I176" s="99" t="n"/>
      <c r="J176" s="99" t="n"/>
      <c r="K176" s="99" t="n"/>
      <c r="L176" s="99" t="n"/>
      <c r="M176" s="99" t="n"/>
    </row>
    <row r="177">
      <c r="C177" s="112" t="n">
        <v>44927</v>
      </c>
      <c r="D177" s="112" t="n">
        <v>44986</v>
      </c>
      <c r="E177" s="126" t="inlineStr">
        <is>
          <t>Consumer Discretionary</t>
        </is>
      </c>
      <c r="F177" s="132" t="n">
        <v>2.287710699800747</v>
      </c>
      <c r="G177" s="99" t="n"/>
      <c r="H177" s="99" t="n"/>
      <c r="I177" s="99" t="n"/>
      <c r="J177" s="99" t="n"/>
      <c r="K177" s="99" t="n"/>
      <c r="L177" s="99" t="n"/>
      <c r="M177" s="99" t="n"/>
    </row>
    <row r="178">
      <c r="C178" s="112" t="n">
        <v>44927</v>
      </c>
      <c r="D178" s="112" t="n">
        <v>44986</v>
      </c>
      <c r="E178" s="126" t="inlineStr">
        <is>
          <t>Consumer Staples</t>
        </is>
      </c>
      <c r="F178" s="132" t="n">
        <v>-5.571883620851247</v>
      </c>
      <c r="G178" s="99" t="n"/>
      <c r="H178" s="99" t="n"/>
      <c r="I178" s="99" t="n"/>
      <c r="J178" s="99" t="n"/>
      <c r="K178" s="99" t="n"/>
      <c r="L178" s="99" t="n"/>
      <c r="M178" s="99" t="n"/>
    </row>
    <row r="179">
      <c r="C179" s="112" t="n">
        <v>44927</v>
      </c>
      <c r="D179" s="112" t="n">
        <v>44986</v>
      </c>
      <c r="E179" s="126" t="inlineStr">
        <is>
          <t>Energy</t>
        </is>
      </c>
      <c r="F179" s="132" t="n">
        <v>-2.687386652175208</v>
      </c>
      <c r="G179" s="99" t="n"/>
      <c r="H179" s="99" t="n"/>
      <c r="I179" s="99" t="n"/>
      <c r="J179" s="99" t="n"/>
      <c r="K179" s="99" t="n"/>
      <c r="L179" s="99" t="n"/>
      <c r="M179" s="99" t="n"/>
    </row>
    <row r="180">
      <c r="C180" s="112" t="n">
        <v>44927</v>
      </c>
      <c r="D180" s="112" t="n">
        <v>44986</v>
      </c>
      <c r="E180" s="126" t="inlineStr">
        <is>
          <t>Financials</t>
        </is>
      </c>
      <c r="F180" s="132" t="n">
        <v>3.149451718105165</v>
      </c>
      <c r="G180" s="99" t="n"/>
      <c r="H180" s="99" t="n"/>
      <c r="I180" s="99" t="n"/>
      <c r="J180" s="99" t="n"/>
      <c r="K180" s="99" t="n"/>
      <c r="L180" s="99" t="n"/>
      <c r="M180" s="99" t="n"/>
    </row>
    <row r="181">
      <c r="C181" s="112" t="n">
        <v>44927</v>
      </c>
      <c r="D181" s="112" t="n">
        <v>44986</v>
      </c>
      <c r="E181" s="126" t="inlineStr">
        <is>
          <t>Health Care</t>
        </is>
      </c>
      <c r="F181" s="132" t="n">
        <v>-7.553366208037379</v>
      </c>
      <c r="G181" s="99" t="n"/>
      <c r="H181" s="99" t="n"/>
      <c r="I181" s="99" t="n"/>
      <c r="J181" s="99" t="n"/>
      <c r="K181" s="99" t="n"/>
      <c r="L181" s="99" t="n"/>
      <c r="M181" s="99" t="n"/>
    </row>
    <row r="182">
      <c r="C182" s="112" t="n">
        <v>44927</v>
      </c>
      <c r="D182" s="112" t="n">
        <v>44986</v>
      </c>
      <c r="E182" s="126" t="inlineStr">
        <is>
          <t>Industrials</t>
        </is>
      </c>
      <c r="F182" s="132" t="n">
        <v>-0.9547724512798718</v>
      </c>
      <c r="G182" s="99" t="n"/>
      <c r="H182" s="99" t="n"/>
      <c r="I182" s="99" t="n"/>
      <c r="J182" s="99" t="n"/>
      <c r="K182" s="99" t="n"/>
      <c r="L182" s="99" t="n"/>
      <c r="M182" s="99" t="n"/>
    </row>
    <row r="183">
      <c r="C183" s="112" t="n">
        <v>44927</v>
      </c>
      <c r="D183" s="112" t="n">
        <v>44986</v>
      </c>
      <c r="E183" s="126" t="inlineStr">
        <is>
          <t>Information Technology</t>
        </is>
      </c>
      <c r="F183" s="132" t="n">
        <v>11.68675861634281</v>
      </c>
      <c r="G183" s="99" t="n"/>
      <c r="H183" s="99" t="n"/>
      <c r="I183" s="99" t="n"/>
      <c r="J183" s="99" t="n"/>
      <c r="K183" s="99" t="n"/>
      <c r="L183" s="99" t="n"/>
      <c r="M183" s="99" t="n"/>
    </row>
    <row r="184">
      <c r="C184" s="112" t="n">
        <v>44927</v>
      </c>
      <c r="D184" s="112" t="n">
        <v>44986</v>
      </c>
      <c r="E184" s="126" t="inlineStr">
        <is>
          <t>Materials</t>
        </is>
      </c>
      <c r="F184" s="132" t="n">
        <v>3.239527583984635</v>
      </c>
      <c r="G184" s="99" t="n"/>
      <c r="H184" s="99" t="n"/>
      <c r="I184" s="99" t="n"/>
      <c r="J184" s="99" t="n"/>
      <c r="K184" s="99" t="n"/>
      <c r="L184" s="99" t="n"/>
      <c r="M184" s="99" t="n"/>
    </row>
    <row r="185">
      <c r="C185" s="112" t="n">
        <v>44927</v>
      </c>
      <c r="D185" s="112" t="n">
        <v>44986</v>
      </c>
      <c r="E185" s="126" t="inlineStr">
        <is>
          <t>Real Estate</t>
        </is>
      </c>
      <c r="F185" s="132" t="n">
        <v>14.48580079671344</v>
      </c>
      <c r="G185" s="99" t="n"/>
      <c r="H185" s="99" t="n"/>
      <c r="I185" s="99" t="n"/>
      <c r="J185" s="99" t="n"/>
      <c r="K185" s="99" t="n"/>
      <c r="L185" s="99" t="n"/>
      <c r="M185" s="99" t="n"/>
    </row>
    <row r="186">
      <c r="C186" s="115" t="n">
        <v>44927</v>
      </c>
      <c r="D186" s="115" t="n">
        <v>44986</v>
      </c>
      <c r="E186" s="128" t="inlineStr">
        <is>
          <t>Utilities</t>
        </is>
      </c>
      <c r="F186" s="134" t="n">
        <v>6.320067247077371</v>
      </c>
      <c r="G186" s="99" t="n"/>
      <c r="H186" s="99" t="n"/>
      <c r="I186" s="99" t="n"/>
      <c r="J186" s="99" t="n"/>
      <c r="K186" s="99" t="n"/>
      <c r="L186" s="99" t="n"/>
      <c r="M186" s="9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C2:M19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62" customWidth="1" min="4" max="4"/>
    <col width="13" customWidth="1" min="5" max="5"/>
    <col width="13" customWidth="1" min="6" max="6"/>
    <col width="13" customWidth="1" min="7" max="7"/>
    <col width="24" customWidth="1" min="8" max="8"/>
    <col width="13" customWidth="1" min="9" max="9"/>
    <col width="13" customWidth="1" min="10" max="10"/>
    <col width="24" customWidth="1" min="11" max="11"/>
    <col width="24" customWidth="1" min="12" max="12"/>
    <col width="66" customWidth="1" min="13" max="13"/>
  </cols>
  <sheetData>
    <row r="2">
      <c r="C2" s="2" t="inlineStr">
        <is>
          <t>Fontes e rastreabilidade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</row>
    <row r="3">
      <c r="C3" s="4" t="inlineStr">
        <is>
          <t>Arquivos, URLs, cobertura, classificação, métrica e hash SHA-256 quando disponível.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</row>
    <row r="6" ht="36" customHeight="1">
      <c r="C6" s="11" t="inlineStr">
        <is>
          <t>source_file</t>
        </is>
      </c>
      <c r="D6" s="11" t="inlineStr">
        <is>
          <t>source_url</t>
        </is>
      </c>
      <c r="E6" s="11" t="inlineStr">
        <is>
          <t>start_date</t>
        </is>
      </c>
      <c r="F6" s="11" t="inlineStr">
        <is>
          <t>end_date</t>
        </is>
      </c>
      <c r="G6" s="11" t="inlineStr">
        <is>
          <t>months</t>
        </is>
      </c>
      <c r="H6" s="11" t="inlineStr">
        <is>
          <t>series</t>
        </is>
      </c>
      <c r="I6" s="11" t="inlineStr">
        <is>
          <t>currency</t>
        </is>
      </c>
      <c r="J6" s="11" t="inlineStr">
        <is>
          <t>benchmark</t>
        </is>
      </c>
      <c r="K6" s="11" t="inlineStr">
        <is>
          <t>classification</t>
        </is>
      </c>
      <c r="L6" s="11" t="inlineStr">
        <is>
          <t>metric</t>
        </is>
      </c>
      <c r="M6" s="11" t="inlineStr">
        <is>
          <t>sha256</t>
        </is>
      </c>
    </row>
    <row r="7">
      <c r="C7" s="124" t="inlineStr">
        <is>
          <t>grid_20qvjmd3.xlsx</t>
        </is>
      </c>
      <c r="D7" s="124" t="inlineStr">
        <is>
          <t>https://researchxp1.s3.sa-east-1.amazonaws.com/grid_20qvjmd3.xlsx</t>
        </is>
      </c>
      <c r="E7" s="109" t="n">
        <v>39478</v>
      </c>
      <c r="F7" s="109" t="n">
        <v>40543</v>
      </c>
      <c r="G7" s="136" t="n">
        <v>36</v>
      </c>
      <c r="H7" s="124" t="n">
        <v>11</v>
      </c>
      <c r="I7" s="124" t="inlineStr">
        <is>
          <t>BRL</t>
        </is>
      </c>
      <c r="J7" s="124" t="inlineStr">
        <is>
          <t>IBOV</t>
        </is>
      </c>
      <c r="K7" s="124" t="inlineStr">
        <is>
          <t>GICS Sector</t>
        </is>
      </c>
      <c r="L7" s="124" t="inlineStr">
        <is>
          <t>BEst Net Inc</t>
        </is>
      </c>
      <c r="M7" s="125" t="inlineStr">
        <is>
          <t>c1b37e2a5da044fd089eb45dd5ca0f40e63781523e2a09c67b670f57d1128845</t>
        </is>
      </c>
    </row>
    <row r="8">
      <c r="C8" s="126" t="inlineStr">
        <is>
          <t>grid_u4lflnxf.xlsx</t>
        </is>
      </c>
      <c r="D8" s="126" t="inlineStr">
        <is>
          <t>https://researchxp1.s3.sa-east-1.amazonaws.com/grid_u4lflnxf.xlsx</t>
        </is>
      </c>
      <c r="E8" s="112" t="n">
        <v>40574</v>
      </c>
      <c r="F8" s="112" t="n">
        <v>41639</v>
      </c>
      <c r="G8" s="138" t="n">
        <v>36</v>
      </c>
      <c r="H8" s="126" t="n">
        <v>12</v>
      </c>
      <c r="I8" s="126" t="inlineStr">
        <is>
          <t>BRL</t>
        </is>
      </c>
      <c r="J8" s="126" t="inlineStr">
        <is>
          <t>IBOV</t>
        </is>
      </c>
      <c r="K8" s="126" t="inlineStr">
        <is>
          <t>GICS Sector</t>
        </is>
      </c>
      <c r="L8" s="126" t="inlineStr">
        <is>
          <t>BEst Net Inc</t>
        </is>
      </c>
      <c r="M8" s="127" t="inlineStr">
        <is>
          <t>7ed34657db550a54b2b6e35952e8cea3803d157d3bcd4656f10065798aef8138</t>
        </is>
      </c>
    </row>
    <row r="9">
      <c r="C9" s="126" t="inlineStr">
        <is>
          <t>grid_vtqvtw11.xlsx</t>
        </is>
      </c>
      <c r="D9" s="126" t="inlineStr">
        <is>
          <t>https://researchxp1.s3.sa-east-1.amazonaws.com/grid_vtqvtw11.xlsx</t>
        </is>
      </c>
      <c r="E9" s="112" t="n">
        <v>41670</v>
      </c>
      <c r="F9" s="112" t="n">
        <v>42734</v>
      </c>
      <c r="G9" s="138" t="n">
        <v>36</v>
      </c>
      <c r="H9" s="126" t="n">
        <v>12</v>
      </c>
      <c r="I9" s="126" t="inlineStr">
        <is>
          <t>BRL</t>
        </is>
      </c>
      <c r="J9" s="126" t="inlineStr">
        <is>
          <t>IBOV</t>
        </is>
      </c>
      <c r="K9" s="126" t="inlineStr">
        <is>
          <t>GICS Sector</t>
        </is>
      </c>
      <c r="L9" s="126" t="inlineStr">
        <is>
          <t>BEst Net Inc</t>
        </is>
      </c>
      <c r="M9" s="127" t="inlineStr">
        <is>
          <t>b07e8c335aeed7f4131cd16da0014f34d9b1187c34f0bb65e4537f57e7dd6ee2</t>
        </is>
      </c>
    </row>
    <row r="10">
      <c r="C10" s="126" t="inlineStr">
        <is>
          <t>grid_ovzcidwu.xlsx</t>
        </is>
      </c>
      <c r="D10" s="126" t="inlineStr">
        <is>
          <t>https://researchxp1.s3.sa-east-1.amazonaws.com/grid_ovzcidwu.xlsx</t>
        </is>
      </c>
      <c r="E10" s="112" t="n">
        <v>42766</v>
      </c>
      <c r="F10" s="112" t="n">
        <v>43830</v>
      </c>
      <c r="G10" s="138" t="n">
        <v>36</v>
      </c>
      <c r="H10" s="126" t="n">
        <v>12</v>
      </c>
      <c r="I10" s="126" t="inlineStr">
        <is>
          <t>BRL</t>
        </is>
      </c>
      <c r="J10" s="126" t="inlineStr">
        <is>
          <t>IBOV</t>
        </is>
      </c>
      <c r="K10" s="126" t="inlineStr">
        <is>
          <t>GICS Sector</t>
        </is>
      </c>
      <c r="L10" s="126" t="inlineStr">
        <is>
          <t>BEst Net Inc</t>
        </is>
      </c>
      <c r="M10" s="127" t="inlineStr">
        <is>
          <t>0b77cacde0be9686941e9d2ca6d0d0d902d0be0528a11595d8f1017fb9a866c8</t>
        </is>
      </c>
    </row>
    <row r="11">
      <c r="C11" s="126" t="inlineStr">
        <is>
          <t>grid_1mk3z2wn.xlsx</t>
        </is>
      </c>
      <c r="D11" s="126" t="inlineStr">
        <is>
          <t>https://researchxp1.s3.sa-east-1.amazonaws.com/grid_1mk3z2wn.xlsx</t>
        </is>
      </c>
      <c r="E11" s="112" t="n">
        <v>43861</v>
      </c>
      <c r="F11" s="112" t="n">
        <v>44925</v>
      </c>
      <c r="G11" s="138" t="n">
        <v>36</v>
      </c>
      <c r="H11" s="126" t="n">
        <v>13</v>
      </c>
      <c r="I11" s="126" t="inlineStr">
        <is>
          <t>BRL</t>
        </is>
      </c>
      <c r="J11" s="126" t="inlineStr">
        <is>
          <t>IBOV</t>
        </is>
      </c>
      <c r="K11" s="126" t="inlineStr">
        <is>
          <t>GICS Sector</t>
        </is>
      </c>
      <c r="L11" s="126" t="inlineStr">
        <is>
          <t>BEst Net Inc</t>
        </is>
      </c>
      <c r="M11" s="127" t="inlineStr">
        <is>
          <t>477dd2d9a05cea515a92419c4a1345bd134024811585d80033286a331ef76d79</t>
        </is>
      </c>
    </row>
    <row r="12">
      <c r="C12" s="126" t="inlineStr">
        <is>
          <t>grid_22fp35k1.xlsx</t>
        </is>
      </c>
      <c r="D12" s="126" t="inlineStr">
        <is>
          <t>https://researchxp1.s3.sa-east-1.amazonaws.com/grid_22fp35k1.xlsx</t>
        </is>
      </c>
      <c r="E12" s="112" t="n">
        <v>44957</v>
      </c>
      <c r="F12" s="112" t="n">
        <v>46268</v>
      </c>
      <c r="G12" s="138" t="n">
        <v>45</v>
      </c>
      <c r="H12" s="126" t="n">
        <v>12</v>
      </c>
      <c r="I12" s="126" t="inlineStr">
        <is>
          <t>BRL</t>
        </is>
      </c>
      <c r="J12" s="126" t="inlineStr">
        <is>
          <t>IBOV</t>
        </is>
      </c>
      <c r="K12" s="126" t="inlineStr">
        <is>
          <t>GICS Sector</t>
        </is>
      </c>
      <c r="L12" s="126" t="inlineStr">
        <is>
          <t>BEst Net Inc</t>
        </is>
      </c>
      <c r="M12" s="127" t="inlineStr">
        <is>
          <t>7a8101c3d80a549a50ff17c5535e281b1deb2b6ee9b3337f72e3956480ea71a8</t>
        </is>
      </c>
    </row>
    <row r="13">
      <c r="C13" s="126" t="inlineStr">
        <is>
          <t>Ibovespa Best EPS.xlsx</t>
        </is>
      </c>
      <c r="D13" s="126" t="inlineStr">
        <is>
          <t>Bloomberg export; local source</t>
        </is>
      </c>
      <c r="E13" s="112" t="n">
        <v>38748</v>
      </c>
      <c r="F13" s="112" t="n">
        <v>46265</v>
      </c>
      <c r="G13" s="138" t="n"/>
      <c r="H13" s="126" t="inlineStr">
        <is>
          <t>BEst EPS</t>
        </is>
      </c>
      <c r="I13" s="126" t="inlineStr">
        <is>
          <t>BRL</t>
        </is>
      </c>
      <c r="J13" s="126" t="inlineStr">
        <is>
          <t>IBOV</t>
        </is>
      </c>
      <c r="K13" s="126" t="inlineStr">
        <is>
          <t>Index</t>
        </is>
      </c>
      <c r="L13" s="126" t="inlineStr">
        <is>
          <t>BEst EPS</t>
        </is>
      </c>
      <c r="M13" s="127" t="n"/>
    </row>
    <row r="14">
      <c r="C14" s="126" t="inlineStr">
        <is>
          <t>BCB Focus PIB Total / IPCA</t>
        </is>
      </c>
      <c r="D14" s="126" t="inlineStr">
        <is>
          <t>https://olinda.bcb.gov.br/olinda/servico/Expectativas/versao/v1/aplicacao#!/recursos</t>
        </is>
      </c>
      <c r="E14" s="112" t="n">
        <v>39815</v>
      </c>
      <c r="F14" s="112" t="n">
        <v>46255</v>
      </c>
      <c r="G14" s="138" t="n"/>
      <c r="H14" s="126" t="inlineStr">
        <is>
          <t>Focus annual medians</t>
        </is>
      </c>
      <c r="I14" s="126" t="n"/>
      <c r="J14" s="126" t="n"/>
      <c r="K14" s="126" t="inlineStr">
        <is>
          <t>Macro</t>
        </is>
      </c>
      <c r="L14" s="126" t="inlineStr">
        <is>
          <t>PIB and IPCA expectations</t>
        </is>
      </c>
      <c r="M14" s="127" t="n"/>
    </row>
    <row r="15">
      <c r="C15" s="126" t="inlineStr">
        <is>
          <t>BCB SGS 13522</t>
        </is>
      </c>
      <c r="D15" s="126" t="inlineStr">
        <is>
          <t>https://api.bcb.gov.br/dados/serie/bcdata.sgs.13522/dados?formato=json</t>
        </is>
      </c>
      <c r="E15" s="112" t="n">
        <v>36526</v>
      </c>
      <c r="F15" s="112" t="n">
        <v>46204</v>
      </c>
      <c r="G15" s="138" t="n"/>
      <c r="H15" s="126" t="inlineStr">
        <is>
          <t>IPCA accumulated 12 months</t>
        </is>
      </c>
      <c r="I15" s="126" t="n"/>
      <c r="J15" s="126" t="n"/>
      <c r="K15" s="126" t="inlineStr">
        <is>
          <t>Macro</t>
        </is>
      </c>
      <c r="L15" s="126" t="inlineStr">
        <is>
          <t>percent</t>
        </is>
      </c>
      <c r="M15" s="127" t="n"/>
    </row>
    <row r="16">
      <c r="C16" s="126" t="inlineStr">
        <is>
          <t>BCB SGS 1</t>
        </is>
      </c>
      <c r="D16" s="126" t="inlineStr">
        <is>
          <t>https://api.bcb.gov.br/dados/serie/bcdata.sgs.1/dados?formato=json</t>
        </is>
      </c>
      <c r="E16" s="112" t="n">
        <v>38718</v>
      </c>
      <c r="F16" s="112" t="n">
        <v>46265</v>
      </c>
      <c r="G16" s="138" t="n"/>
      <c r="H16" s="126" t="inlineStr">
        <is>
          <t>USD/BRL</t>
        </is>
      </c>
      <c r="I16" s="126" t="inlineStr">
        <is>
          <t>BRL per USD</t>
        </is>
      </c>
      <c r="J16" s="126" t="n"/>
      <c r="K16" s="126" t="inlineStr">
        <is>
          <t>Macro</t>
        </is>
      </c>
      <c r="L16" s="126" t="inlineStr">
        <is>
          <t>daily exchange rate</t>
        </is>
      </c>
      <c r="M16" s="127" t="n"/>
    </row>
    <row r="17">
      <c r="C17" s="126" t="inlineStr">
        <is>
          <t>BCOM.xlsx</t>
        </is>
      </c>
      <c r="D17" s="126" t="inlineStr">
        <is>
          <t>Bloomberg export; local source</t>
        </is>
      </c>
      <c r="E17" s="112" t="n">
        <v>38748</v>
      </c>
      <c r="F17" s="112" t="n">
        <v>46265</v>
      </c>
      <c r="G17" s="138" t="n"/>
      <c r="H17" s="126" t="inlineStr">
        <is>
          <t>Bloomberg Commodity Index</t>
        </is>
      </c>
      <c r="I17" s="126" t="inlineStr">
        <is>
          <t>USD</t>
        </is>
      </c>
      <c r="J17" s="126" t="inlineStr">
        <is>
          <t>BCOM</t>
        </is>
      </c>
      <c r="K17" s="126" t="inlineStr">
        <is>
          <t>Macro</t>
        </is>
      </c>
      <c r="L17" s="126" t="inlineStr">
        <is>
          <t>last price</t>
        </is>
      </c>
      <c r="M17" s="127" t="n"/>
    </row>
    <row r="18">
      <c r="C18" s="126" t="inlineStr">
        <is>
          <t>swap_pre_di_360.csv</t>
        </is>
      </c>
      <c r="D18" s="126" t="inlineStr">
        <is>
          <t>https://researchxp1.s3.sa-east-1.amazonaws.com/bmf-swap.parquet</t>
        </is>
      </c>
      <c r="E18" s="112" t="n">
        <v>34608</v>
      </c>
      <c r="F18" s="112" t="n">
        <v>46265</v>
      </c>
      <c r="G18" s="138" t="n"/>
      <c r="H18" s="126" t="inlineStr">
        <is>
          <t>Pre-DI swap 360 days</t>
        </is>
      </c>
      <c r="I18" s="126" t="n"/>
      <c r="J18" s="126" t="n"/>
      <c r="K18" s="126" t="inlineStr">
        <is>
          <t>Macro</t>
        </is>
      </c>
      <c r="L18" s="126" t="inlineStr">
        <is>
          <t>annual percent rate</t>
        </is>
      </c>
      <c r="M18" s="127" t="n"/>
    </row>
    <row r="19">
      <c r="C19" s="128" t="inlineStr">
        <is>
          <t>EIA RBRTE daily</t>
        </is>
      </c>
      <c r="D19" s="128" t="inlineStr">
        <is>
          <t>https://www.eia.gov/dnav/pet/hist/leafhandler.ashx?f=d&amp;n=pet&amp;s=rbrte</t>
        </is>
      </c>
      <c r="E19" s="115" t="n">
        <v>31917</v>
      </c>
      <c r="F19" s="115" t="n">
        <v>46266</v>
      </c>
      <c r="G19" s="140" t="n"/>
      <c r="H19" s="128" t="inlineStr">
        <is>
          <t>Europe Brent Spot Price FOB</t>
        </is>
      </c>
      <c r="I19" s="128" t="inlineStr">
        <is>
          <t>USD per barrel</t>
        </is>
      </c>
      <c r="J19" s="128" t="inlineStr">
        <is>
          <t>Brent</t>
        </is>
      </c>
      <c r="K19" s="128" t="inlineStr">
        <is>
          <t>Macro</t>
        </is>
      </c>
      <c r="L19" s="128" t="inlineStr">
        <is>
          <t>daily spot price</t>
        </is>
      </c>
      <c r="M19" s="12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2:N7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" customWidth="1" min="1" max="1"/>
    <col width="2" customWidth="1" min="2" max="2"/>
    <col width="25" customWidth="1" min="3" max="3"/>
    <col width="62" customWidth="1" min="4" max="4"/>
    <col width="20" customWidth="1" min="5" max="5"/>
    <col width="38" customWidth="1" min="6" max="6"/>
    <col width="31" customWidth="1" min="7" max="7"/>
  </cols>
  <sheetData>
    <row r="2">
      <c r="C2" s="2" t="inlineStr">
        <is>
          <t>Dicionário, metodologia e manutenção</t>
        </is>
      </c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>
      <c r="C3" s="4" t="inlineStr">
        <is>
          <t>Definições das variáveis, estrutura do workbook, amostras e histórico de versões.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</row>
    <row r="5"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</row>
    <row r="6">
      <c r="C6" s="74" t="inlineStr">
        <is>
          <t>Metodologia</t>
        </is>
      </c>
      <c r="D6" s="75" t="n"/>
      <c r="E6" s="75" t="n"/>
      <c r="F6" s="76" t="n"/>
      <c r="G6" s="99" t="n"/>
      <c r="H6" s="99" t="n"/>
      <c r="I6" s="99" t="n"/>
      <c r="J6" s="99" t="n"/>
      <c r="K6" s="99" t="n"/>
      <c r="L6" s="99" t="n"/>
      <c r="M6" s="99" t="n"/>
      <c r="N6" s="99" t="n"/>
    </row>
    <row r="7">
      <c r="C7" s="11" t="inlineStr">
        <is>
          <t>Item</t>
        </is>
      </c>
      <c r="D7" s="11" t="inlineStr">
        <is>
          <t>Definição</t>
        </is>
      </c>
      <c r="E7" s="11" t="inlineStr">
        <is>
          <t>Unidade</t>
        </is>
      </c>
      <c r="F7" s="11" t="inlineStr">
        <is>
          <t>Observação</t>
        </is>
      </c>
      <c r="G7" s="99" t="n"/>
      <c r="H7" s="99" t="n"/>
      <c r="I7" s="99" t="n"/>
      <c r="J7" s="99" t="n"/>
      <c r="K7" s="99" t="n"/>
      <c r="L7" s="99" t="n"/>
      <c r="M7" s="99" t="n"/>
      <c r="N7" s="99" t="n"/>
    </row>
    <row r="8">
      <c r="C8" s="96" t="inlineStr">
        <is>
          <t>Earnings 12m fwd</t>
        </is>
      </c>
      <c r="D8" s="96" t="inlineStr">
        <is>
          <t>Estimativa agregada de lucro líquido ou EPS para os próximos 12 meses</t>
        </is>
      </c>
      <c r="E8" s="96" t="inlineStr">
        <is>
          <t>BRL / índice</t>
        </is>
      </c>
      <c r="F8" s="96" t="inlineStr">
        <is>
          <t>A métrica depende da série</t>
        </is>
      </c>
      <c r="G8" s="99" t="n"/>
      <c r="H8" s="99" t="n"/>
      <c r="I8" s="99" t="n"/>
      <c r="J8" s="99" t="n"/>
      <c r="K8" s="99" t="n"/>
      <c r="L8" s="99" t="n"/>
      <c r="M8" s="99" t="n"/>
      <c r="N8" s="99" t="n"/>
    </row>
    <row r="9">
      <c r="C9" s="96" t="inlineStr">
        <is>
          <t>Revision 3m</t>
        </is>
      </c>
      <c r="D9" s="96" t="inlineStr">
        <is>
          <t>100 × log(Earnings_t / Earnings_t-3)</t>
        </is>
      </c>
      <c r="E9" s="96" t="inlineStr">
        <is>
          <t>% log</t>
        </is>
      </c>
      <c r="F9" s="96" t="inlineStr">
        <is>
          <t>Variação acumulada em três meses</t>
        </is>
      </c>
      <c r="G9" s="99" t="n"/>
      <c r="H9" s="99" t="n"/>
      <c r="I9" s="99" t="n"/>
      <c r="J9" s="99" t="n"/>
      <c r="K9" s="99" t="n"/>
      <c r="L9" s="99" t="n"/>
      <c r="M9" s="99" t="n"/>
      <c r="N9" s="99" t="n"/>
    </row>
    <row r="10">
      <c r="C10" s="96" t="inlineStr">
        <is>
          <t>Δ macro 3m</t>
        </is>
      </c>
      <c r="D10" s="96" t="inlineStr">
        <is>
          <t>Valor no mês t menos valor no mês t-3</t>
        </is>
      </c>
      <c r="E10" s="96" t="inlineStr">
        <is>
          <t>p.p. ou %</t>
        </is>
      </c>
      <c r="F10" s="96" t="inlineStr">
        <is>
          <t>Conforme a variável</t>
        </is>
      </c>
      <c r="G10" s="99" t="n"/>
      <c r="H10" s="99" t="n"/>
      <c r="I10" s="99" t="n"/>
      <c r="J10" s="99" t="n"/>
      <c r="K10" s="99" t="n"/>
      <c r="L10" s="99" t="n"/>
      <c r="M10" s="99" t="n"/>
      <c r="N10" s="99" t="n"/>
    </row>
    <row r="11">
      <c r="C11" s="96" t="inlineStr">
        <is>
          <t>Regressão</t>
        </is>
      </c>
      <c r="D11" s="96" t="inlineStr">
        <is>
          <t>OLS contemporâneo com erros HAC/Newey-West</t>
        </is>
      </c>
      <c r="E11" s="96" t="inlineStr">
        <is>
          <t>-</t>
        </is>
      </c>
      <c r="F11" s="96" t="inlineStr">
        <is>
          <t>Associação, não causalidade</t>
        </is>
      </c>
      <c r="G11" s="99" t="n"/>
      <c r="H11" s="99" t="n"/>
      <c r="I11" s="99" t="n"/>
      <c r="J11" s="99" t="n"/>
      <c r="K11" s="99" t="n"/>
      <c r="L11" s="99" t="n"/>
      <c r="M11" s="99" t="n"/>
      <c r="N11" s="99" t="n"/>
    </row>
    <row r="12">
      <c r="C12" s="96" t="inlineStr">
        <is>
          <t>Beta padronizado</t>
        </is>
      </c>
      <c r="D12" s="96" t="inlineStr">
        <is>
          <t>Mudança no target, em desvios-padrão, para 1 desvio-padrão do regressor</t>
        </is>
      </c>
      <c r="E12" s="96" t="inlineStr">
        <is>
          <t>desvios-padrão</t>
        </is>
      </c>
      <c r="F12" s="96" t="inlineStr">
        <is>
          <t>Comparável entre variáveis e setores</t>
        </is>
      </c>
      <c r="G12" s="99" t="n"/>
      <c r="H12" s="99" t="n"/>
      <c r="I12" s="99" t="n"/>
      <c r="J12" s="99" t="n"/>
      <c r="K12" s="99" t="n"/>
      <c r="L12" s="99" t="n"/>
      <c r="M12" s="99" t="n"/>
      <c r="N12" s="99" t="n"/>
    </row>
    <row r="13">
      <c r="C13" s="96" t="inlineStr">
        <is>
          <t>q BH</t>
        </is>
      </c>
      <c r="D13" s="96" t="inlineStr">
        <is>
          <t>p-valor ajustado por Benjamini-Hochberg entre setores</t>
        </is>
      </c>
      <c r="E13" s="96" t="inlineStr">
        <is>
          <t>probabilidade</t>
        </is>
      </c>
      <c r="F13" s="96" t="inlineStr">
        <is>
          <t>Controle de falsos descobrimentos</t>
        </is>
      </c>
      <c r="G13" s="99" t="n"/>
      <c r="H13" s="99" t="n"/>
      <c r="I13" s="99" t="n"/>
      <c r="J13" s="99" t="n"/>
      <c r="K13" s="99" t="n"/>
      <c r="L13" s="99" t="n"/>
      <c r="M13" s="99" t="n"/>
      <c r="N13" s="99" t="n"/>
    </row>
    <row r="14">
      <c r="C14" s="99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</row>
    <row r="15"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</row>
    <row r="16">
      <c r="C16" s="74" t="inlineStr">
        <is>
          <t>Amostras</t>
        </is>
      </c>
      <c r="D16" s="75" t="n"/>
      <c r="E16" s="75" t="n"/>
      <c r="F16" s="76" t="n"/>
      <c r="G16" s="99" t="n"/>
      <c r="H16" s="99" t="n"/>
      <c r="I16" s="99" t="n"/>
      <c r="J16" s="99" t="n"/>
      <c r="K16" s="99" t="n"/>
      <c r="L16" s="99" t="n"/>
      <c r="M16" s="99" t="n"/>
      <c r="N16" s="99" t="n"/>
    </row>
    <row r="17">
      <c r="C17" s="11" t="inlineStr">
        <is>
          <t>Nome</t>
        </is>
      </c>
      <c r="D17" s="11" t="inlineStr">
        <is>
          <t>Definição</t>
        </is>
      </c>
      <c r="E17" s="11" t="inlineStr">
        <is>
          <t>Uso</t>
        </is>
      </c>
      <c r="F17" s="11" t="inlineStr">
        <is>
          <t>Limitação</t>
        </is>
      </c>
      <c r="G17" s="99" t="n"/>
      <c r="H17" s="99" t="n"/>
      <c r="I17" s="99" t="n"/>
      <c r="J17" s="99" t="n"/>
      <c r="K17" s="99" t="n"/>
      <c r="L17" s="99" t="n"/>
      <c r="M17" s="99" t="n"/>
      <c r="N17" s="99" t="n"/>
    </row>
    <row r="18">
      <c r="C18" s="96" t="inlineStr">
        <is>
          <t>full</t>
        </is>
      </c>
      <c r="D18" s="96" t="inlineStr">
        <is>
          <t>Todas as observações disponíveis</t>
        </is>
      </c>
      <c r="E18" s="96" t="inlineStr">
        <is>
          <t>Referência ampla</t>
        </is>
      </c>
      <c r="F18" s="96" t="inlineStr">
        <is>
          <t>Inclui episódios extremos</t>
        </is>
      </c>
      <c r="G18" s="99" t="n"/>
      <c r="H18" s="99" t="n"/>
      <c r="I18" s="99" t="n"/>
      <c r="J18" s="99" t="n"/>
      <c r="K18" s="99" t="n"/>
      <c r="L18" s="99" t="n"/>
      <c r="M18" s="99" t="n"/>
      <c r="N18" s="99" t="n"/>
    </row>
    <row r="19">
      <c r="C19" s="96" t="inlineStr">
        <is>
          <t>ex_2013_14</t>
        </is>
      </c>
      <c r="D19" s="96" t="inlineStr">
        <is>
          <t>Exclui 2013 e 2014</t>
        </is>
      </c>
      <c r="E19" s="96" t="inlineStr">
        <is>
          <t>Amostra principal</t>
        </is>
      </c>
      <c r="F19" s="96" t="inlineStr">
        <is>
          <t>Escolha motivada por instabilidade histórica</t>
        </is>
      </c>
      <c r="G19" s="99" t="n"/>
      <c r="H19" s="99" t="n"/>
      <c r="I19" s="99" t="n"/>
      <c r="J19" s="99" t="n"/>
      <c r="K19" s="99" t="n"/>
      <c r="L19" s="99" t="n"/>
      <c r="M19" s="99" t="n"/>
      <c r="N19" s="99" t="n"/>
    </row>
    <row r="20">
      <c r="C20" s="96" t="inlineStr">
        <is>
          <t>ex_2020_21</t>
        </is>
      </c>
      <c r="D20" s="96" t="inlineStr">
        <is>
          <t>Exclui 2020 e 2021</t>
        </is>
      </c>
      <c r="E20" s="96" t="inlineStr">
        <is>
          <t>Robustez à pandemia</t>
        </is>
      </c>
      <c r="F20" s="96" t="inlineStr">
        <is>
          <t>Mantém 2013-2014</t>
        </is>
      </c>
      <c r="G20" s="99" t="n"/>
      <c r="H20" s="99" t="n"/>
      <c r="I20" s="99" t="n"/>
      <c r="J20" s="99" t="n"/>
      <c r="K20" s="99" t="n"/>
      <c r="L20" s="99" t="n"/>
      <c r="M20" s="99" t="n"/>
      <c r="N20" s="99" t="n"/>
    </row>
    <row r="21">
      <c r="C21" s="96" t="inlineStr">
        <is>
          <t>clean</t>
        </is>
      </c>
      <c r="D21" s="96" t="inlineStr">
        <is>
          <t>Exclui 2013-2014 e 2020-2021</t>
        </is>
      </c>
      <c r="E21" s="96" t="inlineStr">
        <is>
          <t>Robustez conjunta</t>
        </is>
      </c>
      <c r="F21" s="96" t="inlineStr">
        <is>
          <t>Menor amostra</t>
        </is>
      </c>
      <c r="G21" s="99" t="n"/>
      <c r="H21" s="99" t="n"/>
      <c r="I21" s="99" t="n"/>
      <c r="J21" s="99" t="n"/>
      <c r="K21" s="99" t="n"/>
      <c r="L21" s="99" t="n"/>
      <c r="M21" s="99" t="n"/>
      <c r="N21" s="99" t="n"/>
    </row>
    <row r="22">
      <c r="C22" s="96" t="inlineStr">
        <is>
          <t>ex_seams</t>
        </is>
      </c>
      <c r="D22" s="96" t="inlineStr">
        <is>
          <t>Exclui revisions que atravessam emendas</t>
        </is>
      </c>
      <c r="E22" s="96" t="inlineStr">
        <is>
          <t>Auditoria das séries setoriais</t>
        </is>
      </c>
      <c r="F22" s="96" t="inlineStr">
        <is>
          <t>Mantém choques macro</t>
        </is>
      </c>
      <c r="G22" s="99" t="n"/>
      <c r="H22" s="99" t="n"/>
      <c r="I22" s="99" t="n"/>
      <c r="J22" s="99" t="n"/>
      <c r="K22" s="99" t="n"/>
      <c r="L22" s="99" t="n"/>
      <c r="M22" s="99" t="n"/>
      <c r="N22" s="99" t="n"/>
    </row>
    <row r="23">
      <c r="C23" s="96" t="inlineStr">
        <is>
          <t>since_2022</t>
        </is>
      </c>
      <c r="D23" s="96" t="inlineStr">
        <is>
          <t>Janeiro de 2022 em diante</t>
        </is>
      </c>
      <c r="E23" s="96" t="inlineStr">
        <is>
          <t>Regime recente</t>
        </is>
      </c>
      <c r="F23" s="96" t="inlineStr">
        <is>
          <t>Poucas observações</t>
        </is>
      </c>
      <c r="G23" s="99" t="n"/>
      <c r="H23" s="99" t="n"/>
      <c r="I23" s="99" t="n"/>
      <c r="J23" s="99" t="n"/>
      <c r="K23" s="99" t="n"/>
      <c r="L23" s="99" t="n"/>
      <c r="M23" s="99" t="n"/>
      <c r="N23" s="99" t="n"/>
    </row>
    <row r="24">
      <c r="C24" s="99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</row>
    <row r="25"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</row>
    <row r="26">
      <c r="C26" s="74" t="inlineStr">
        <is>
          <t>Variáveis principais</t>
        </is>
      </c>
      <c r="D26" s="75" t="n"/>
      <c r="E26" s="75" t="n"/>
      <c r="F26" s="75" t="n"/>
      <c r="G26" s="76" t="n"/>
      <c r="H26" s="99" t="n"/>
      <c r="I26" s="99" t="n"/>
      <c r="J26" s="99" t="n"/>
      <c r="K26" s="99" t="n"/>
      <c r="L26" s="99" t="n"/>
      <c r="M26" s="99" t="n"/>
      <c r="N26" s="99" t="n"/>
    </row>
    <row r="27">
      <c r="C27" s="11" t="inlineStr">
        <is>
          <t>Variável</t>
        </is>
      </c>
      <c r="D27" s="11" t="inlineStr">
        <is>
          <t>Descrição</t>
        </is>
      </c>
      <c r="E27" s="11" t="inlineStr">
        <is>
          <t>Unidade</t>
        </is>
      </c>
      <c r="F27" s="11" t="inlineStr">
        <is>
          <t>Transformação</t>
        </is>
      </c>
      <c r="G27" s="11" t="inlineStr">
        <is>
          <t>Origem</t>
        </is>
      </c>
      <c r="H27" s="99" t="n"/>
      <c r="I27" s="99" t="n"/>
      <c r="J27" s="99" t="n"/>
      <c r="K27" s="99" t="n"/>
      <c r="L27" s="99" t="n"/>
      <c r="M27" s="99" t="n"/>
      <c r="N27" s="99" t="n"/>
    </row>
    <row r="28">
      <c r="C28" s="96" t="inlineStr">
        <is>
          <t>eps</t>
        </is>
      </c>
      <c r="D28" s="96" t="inlineStr">
        <is>
          <t>BEst EPS 12 meses forward do IBOV</t>
        </is>
      </c>
      <c r="E28" s="96" t="inlineStr">
        <is>
          <t>BRL por ação</t>
        </is>
      </c>
      <c r="F28" s="96" t="inlineStr">
        <is>
          <t>nível</t>
        </is>
      </c>
      <c r="G28" s="96" t="inlineStr">
        <is>
          <t>Bloomberg</t>
        </is>
      </c>
      <c r="H28" s="99" t="n"/>
      <c r="I28" s="99" t="n"/>
      <c r="J28" s="99" t="n"/>
      <c r="K28" s="99" t="n"/>
      <c r="L28" s="99" t="n"/>
      <c r="M28" s="99" t="n"/>
      <c r="N28" s="99" t="n"/>
    </row>
    <row r="29">
      <c r="C29" s="96" t="inlineStr">
        <is>
          <t>y_rev3</t>
        </is>
      </c>
      <c r="D29" s="96" t="inlineStr">
        <is>
          <t>Revision do BEst EPS do IBOV</t>
        </is>
      </c>
      <c r="E29" s="96" t="inlineStr">
        <is>
          <t>% log</t>
        </is>
      </c>
      <c r="F29" s="96" t="inlineStr">
        <is>
          <t>100 × log(t/t-3)</t>
        </is>
      </c>
      <c r="G29" s="96" t="inlineStr">
        <is>
          <t>Calculado</t>
        </is>
      </c>
      <c r="H29" s="99" t="n"/>
      <c r="I29" s="99" t="n"/>
      <c r="J29" s="99" t="n"/>
      <c r="K29" s="99" t="n"/>
      <c r="L29" s="99" t="n"/>
      <c r="M29" s="99" t="n"/>
      <c r="N29" s="99" t="n"/>
    </row>
    <row r="30">
      <c r="C30" s="96" t="inlineStr">
        <is>
          <t>IBOV / setores</t>
        </is>
      </c>
      <c r="D30" s="96" t="inlineStr">
        <is>
          <t>BEst Net Income agregado</t>
        </is>
      </c>
      <c r="E30" s="96" t="inlineStr">
        <is>
          <t>BRL</t>
        </is>
      </c>
      <c r="F30" s="96" t="inlineStr">
        <is>
          <t>nível</t>
        </is>
      </c>
      <c r="G30" s="96" t="inlineStr">
        <is>
          <t>Grades XP/Bloomberg</t>
        </is>
      </c>
      <c r="H30" s="99" t="n"/>
      <c r="I30" s="99" t="n"/>
      <c r="J30" s="99" t="n"/>
      <c r="K30" s="99" t="n"/>
      <c r="L30" s="99" t="n"/>
      <c r="M30" s="99" t="n"/>
      <c r="N30" s="99" t="n"/>
    </row>
    <row r="31">
      <c r="C31" s="96" t="inlineStr">
        <is>
          <t>focus_pib</t>
        </is>
      </c>
      <c r="D31" s="96" t="inlineStr">
        <is>
          <t>Mediana Focus para crescimento do PIB anual</t>
        </is>
      </c>
      <c r="E31" s="96" t="inlineStr">
        <is>
          <t>%</t>
        </is>
      </c>
      <c r="F31" s="96" t="inlineStr">
        <is>
          <t>nível</t>
        </is>
      </c>
      <c r="G31" s="96" t="inlineStr">
        <is>
          <t>Banco Central do Brasil</t>
        </is>
      </c>
      <c r="H31" s="99" t="n"/>
      <c r="I31" s="99" t="n"/>
      <c r="J31" s="99" t="n"/>
      <c r="K31" s="99" t="n"/>
      <c r="L31" s="99" t="n"/>
      <c r="M31" s="99" t="n"/>
      <c r="N31" s="99" t="n"/>
    </row>
    <row r="32">
      <c r="C32" s="96" t="inlineStr">
        <is>
          <t>d_focus_pib3</t>
        </is>
      </c>
      <c r="D32" s="96" t="inlineStr">
        <is>
          <t>Mudança da expectativa de PIB</t>
        </is>
      </c>
      <c r="E32" s="96" t="inlineStr">
        <is>
          <t>p.p.</t>
        </is>
      </c>
      <c r="F32" s="96" t="inlineStr">
        <is>
          <t>t menos t-3</t>
        </is>
      </c>
      <c r="G32" s="96" t="inlineStr">
        <is>
          <t>Calculado</t>
        </is>
      </c>
      <c r="H32" s="99" t="n"/>
      <c r="I32" s="99" t="n"/>
      <c r="J32" s="99" t="n"/>
      <c r="K32" s="99" t="n"/>
      <c r="L32" s="99" t="n"/>
      <c r="M32" s="99" t="n"/>
      <c r="N32" s="99" t="n"/>
    </row>
    <row r="33">
      <c r="C33" s="96" t="inlineStr">
        <is>
          <t>focus_ipca</t>
        </is>
      </c>
      <c r="D33" s="96" t="inlineStr">
        <is>
          <t>Mediana Focus para IPCA anual</t>
        </is>
      </c>
      <c r="E33" s="96" t="inlineStr">
        <is>
          <t>%</t>
        </is>
      </c>
      <c r="F33" s="96" t="inlineStr">
        <is>
          <t>nível</t>
        </is>
      </c>
      <c r="G33" s="96" t="inlineStr">
        <is>
          <t>Banco Central do Brasil</t>
        </is>
      </c>
      <c r="H33" s="99" t="n"/>
      <c r="I33" s="99" t="n"/>
      <c r="J33" s="99" t="n"/>
      <c r="K33" s="99" t="n"/>
      <c r="L33" s="99" t="n"/>
      <c r="M33" s="99" t="n"/>
      <c r="N33" s="99" t="n"/>
    </row>
    <row r="34">
      <c r="C34" s="96" t="inlineStr">
        <is>
          <t>d_focus_ipca3</t>
        </is>
      </c>
      <c r="D34" s="96" t="inlineStr">
        <is>
          <t>Mudança da expectativa de IPCA</t>
        </is>
      </c>
      <c r="E34" s="96" t="inlineStr">
        <is>
          <t>p.p.</t>
        </is>
      </c>
      <c r="F34" s="96" t="inlineStr">
        <is>
          <t>t menos t-3</t>
        </is>
      </c>
      <c r="G34" s="96" t="inlineStr">
        <is>
          <t>Calculado</t>
        </is>
      </c>
      <c r="H34" s="99" t="n"/>
      <c r="I34" s="99" t="n"/>
      <c r="J34" s="99" t="n"/>
      <c r="K34" s="99" t="n"/>
      <c r="L34" s="99" t="n"/>
      <c r="M34" s="99" t="n"/>
      <c r="N34" s="99" t="n"/>
    </row>
    <row r="35">
      <c r="C35" s="96" t="inlineStr">
        <is>
          <t>ipca12_available</t>
        </is>
      </c>
      <c r="D35" s="96" t="inlineStr">
        <is>
          <t>IPCA acumulado em 12 meses disponível na data</t>
        </is>
      </c>
      <c r="E35" s="96" t="inlineStr">
        <is>
          <t>%</t>
        </is>
      </c>
      <c r="F35" s="96" t="inlineStr">
        <is>
          <t>nível</t>
        </is>
      </c>
      <c r="G35" s="96" t="inlineStr">
        <is>
          <t>BCB SGS 13522</t>
        </is>
      </c>
      <c r="H35" s="99" t="n"/>
      <c r="I35" s="99" t="n"/>
      <c r="J35" s="99" t="n"/>
      <c r="K35" s="99" t="n"/>
      <c r="L35" s="99" t="n"/>
      <c r="M35" s="99" t="n"/>
      <c r="N35" s="99" t="n"/>
    </row>
    <row r="36">
      <c r="C36" s="96" t="inlineStr">
        <is>
          <t>d_ipca12_3_available</t>
        </is>
      </c>
      <c r="D36" s="96" t="inlineStr">
        <is>
          <t>Mudança do IPCA 12 meses realizado</t>
        </is>
      </c>
      <c r="E36" s="96" t="inlineStr">
        <is>
          <t>p.p.</t>
        </is>
      </c>
      <c r="F36" s="96" t="inlineStr">
        <is>
          <t>t menos t-3</t>
        </is>
      </c>
      <c r="G36" s="96" t="inlineStr">
        <is>
          <t>Calculado</t>
        </is>
      </c>
      <c r="H36" s="99" t="n"/>
      <c r="I36" s="99" t="n"/>
      <c r="J36" s="99" t="n"/>
      <c r="K36" s="99" t="n"/>
      <c r="L36" s="99" t="n"/>
      <c r="M36" s="99" t="n"/>
      <c r="N36" s="99" t="n"/>
    </row>
    <row r="37">
      <c r="C37" s="96" t="inlineStr">
        <is>
          <t>ipca3_flow_available</t>
        </is>
      </c>
      <c r="D37" s="96" t="inlineStr">
        <is>
          <t>Inflação acumulada no fluxo de três meses</t>
        </is>
      </c>
      <c r="E37" s="96" t="inlineStr">
        <is>
          <t>%</t>
        </is>
      </c>
      <c r="F37" s="96" t="inlineStr">
        <is>
          <t>fluxo 3m</t>
        </is>
      </c>
      <c r="G37" s="96" t="inlineStr">
        <is>
          <t>Calculado</t>
        </is>
      </c>
      <c r="H37" s="99" t="n"/>
      <c r="I37" s="99" t="n"/>
      <c r="J37" s="99" t="n"/>
      <c r="K37" s="99" t="n"/>
      <c r="L37" s="99" t="n"/>
      <c r="M37" s="99" t="n"/>
      <c r="N37" s="99" t="n"/>
    </row>
    <row r="38">
      <c r="C38" s="96" t="inlineStr">
        <is>
          <t>bcom_usd</t>
        </is>
      </c>
      <c r="D38" s="96" t="inlineStr">
        <is>
          <t>Bloomberg Commodity Index</t>
        </is>
      </c>
      <c r="E38" s="96" t="inlineStr">
        <is>
          <t>índice USD</t>
        </is>
      </c>
      <c r="F38" s="96" t="inlineStr">
        <is>
          <t>nível</t>
        </is>
      </c>
      <c r="G38" s="96" t="inlineStr">
        <is>
          <t>Bloomberg</t>
        </is>
      </c>
      <c r="H38" s="99" t="n"/>
      <c r="I38" s="99" t="n"/>
      <c r="J38" s="99" t="n"/>
      <c r="K38" s="99" t="n"/>
      <c r="L38" s="99" t="n"/>
      <c r="M38" s="99" t="n"/>
      <c r="N38" s="99" t="n"/>
    </row>
    <row r="39">
      <c r="C39" s="96" t="inlineStr">
        <is>
          <t>d_bcom_usd3</t>
        </is>
      </c>
      <c r="D39" s="96" t="inlineStr">
        <is>
          <t>Variação do BCOM em USD</t>
        </is>
      </c>
      <c r="E39" s="96" t="inlineStr">
        <is>
          <t>% log</t>
        </is>
      </c>
      <c r="F39" s="96" t="inlineStr">
        <is>
          <t>100 × log(t/t-3)</t>
        </is>
      </c>
      <c r="G39" s="96" t="inlineStr">
        <is>
          <t>Calculado</t>
        </is>
      </c>
      <c r="H39" s="99" t="n"/>
      <c r="I39" s="99" t="n"/>
      <c r="J39" s="99" t="n"/>
      <c r="K39" s="99" t="n"/>
      <c r="L39" s="99" t="n"/>
      <c r="M39" s="99" t="n"/>
      <c r="N39" s="99" t="n"/>
    </row>
    <row r="40">
      <c r="C40" s="96" t="inlineStr">
        <is>
          <t>usdbrl</t>
        </is>
      </c>
      <c r="D40" s="96" t="inlineStr">
        <is>
          <t>Taxa de câmbio USD/BRL</t>
        </is>
      </c>
      <c r="E40" s="96" t="inlineStr">
        <is>
          <t>BRL por USD</t>
        </is>
      </c>
      <c r="F40" s="96" t="inlineStr">
        <is>
          <t>nível</t>
        </is>
      </c>
      <c r="G40" s="96" t="inlineStr">
        <is>
          <t>BCB SGS 1</t>
        </is>
      </c>
      <c r="H40" s="99" t="n"/>
      <c r="I40" s="99" t="n"/>
      <c r="J40" s="99" t="n"/>
      <c r="K40" s="99" t="n"/>
      <c r="L40" s="99" t="n"/>
      <c r="M40" s="99" t="n"/>
      <c r="N40" s="99" t="n"/>
    </row>
    <row r="41">
      <c r="C41" s="96" t="inlineStr">
        <is>
          <t>d_usdbrl3</t>
        </is>
      </c>
      <c r="D41" s="96" t="inlineStr">
        <is>
          <t>Variação do USD/BRL</t>
        </is>
      </c>
      <c r="E41" s="96" t="inlineStr">
        <is>
          <t>% log</t>
        </is>
      </c>
      <c r="F41" s="96" t="inlineStr">
        <is>
          <t>100 × log(t/t-3)</t>
        </is>
      </c>
      <c r="G41" s="96" t="inlineStr">
        <is>
          <t>Calculado</t>
        </is>
      </c>
      <c r="H41" s="99" t="n"/>
      <c r="I41" s="99" t="n"/>
      <c r="J41" s="99" t="n"/>
      <c r="K41" s="99" t="n"/>
      <c r="L41" s="99" t="n"/>
      <c r="M41" s="99" t="n"/>
      <c r="N41" s="99" t="n"/>
    </row>
    <row r="42">
      <c r="C42" s="96" t="inlineStr">
        <is>
          <t>swap360</t>
        </is>
      </c>
      <c r="D42" s="96" t="inlineStr">
        <is>
          <t>Swap pré-DI de 360 dias</t>
        </is>
      </c>
      <c r="E42" s="96" t="inlineStr">
        <is>
          <t>% a.a.</t>
        </is>
      </c>
      <c r="F42" s="96" t="inlineStr">
        <is>
          <t>nível</t>
        </is>
      </c>
      <c r="G42" s="96" t="inlineStr">
        <is>
          <t>B3 / série XP</t>
        </is>
      </c>
      <c r="H42" s="99" t="n"/>
      <c r="I42" s="99" t="n"/>
      <c r="J42" s="99" t="n"/>
      <c r="K42" s="99" t="n"/>
      <c r="L42" s="99" t="n"/>
      <c r="M42" s="99" t="n"/>
      <c r="N42" s="99" t="n"/>
    </row>
    <row r="43">
      <c r="C43" s="96" t="inlineStr">
        <is>
          <t>d_swap360_3</t>
        </is>
      </c>
      <c r="D43" s="96" t="inlineStr">
        <is>
          <t>Mudança do swap pré-DI</t>
        </is>
      </c>
      <c r="E43" s="96" t="inlineStr">
        <is>
          <t>p.p.</t>
        </is>
      </c>
      <c r="F43" s="96" t="inlineStr">
        <is>
          <t>t menos t-3</t>
        </is>
      </c>
      <c r="G43" s="96" t="inlineStr">
        <is>
          <t>Calculado</t>
        </is>
      </c>
      <c r="H43" s="99" t="n"/>
      <c r="I43" s="99" t="n"/>
      <c r="J43" s="99" t="n"/>
      <c r="K43" s="99" t="n"/>
      <c r="L43" s="99" t="n"/>
      <c r="M43" s="99" t="n"/>
      <c r="N43" s="99" t="n"/>
    </row>
    <row r="44">
      <c r="C44" s="96" t="inlineStr">
        <is>
          <t>brent_usd</t>
        </is>
      </c>
      <c r="D44" s="96" t="inlineStr">
        <is>
          <t>Europe Brent Spot Price FOB</t>
        </is>
      </c>
      <c r="E44" s="96" t="inlineStr">
        <is>
          <t>USD/barril</t>
        </is>
      </c>
      <c r="F44" s="96" t="inlineStr">
        <is>
          <t>último dia do mês</t>
        </is>
      </c>
      <c r="G44" s="96" t="inlineStr">
        <is>
          <t>EIA</t>
        </is>
      </c>
      <c r="H44" s="99" t="n"/>
      <c r="I44" s="99" t="n"/>
      <c r="J44" s="99" t="n"/>
      <c r="K44" s="99" t="n"/>
      <c r="L44" s="99" t="n"/>
      <c r="M44" s="99" t="n"/>
      <c r="N44" s="99" t="n"/>
    </row>
    <row r="45">
      <c r="C45" s="96" t="inlineStr">
        <is>
          <t>d_brent3</t>
        </is>
      </c>
      <c r="D45" s="96" t="inlineStr">
        <is>
          <t>Variação do Brent</t>
        </is>
      </c>
      <c r="E45" s="96" t="inlineStr">
        <is>
          <t>% log</t>
        </is>
      </c>
      <c r="F45" s="96" t="inlineStr">
        <is>
          <t>100 × log(t/t-3)</t>
        </is>
      </c>
      <c r="G45" s="96" t="inlineStr">
        <is>
          <t>Calculado</t>
        </is>
      </c>
      <c r="H45" s="99" t="n"/>
      <c r="I45" s="99" t="n"/>
      <c r="J45" s="99" t="n"/>
      <c r="K45" s="99" t="n"/>
      <c r="L45" s="99" t="n"/>
      <c r="M45" s="99" t="n"/>
      <c r="N45" s="99" t="n"/>
    </row>
    <row r="46">
      <c r="C46" s="96" t="inlineStr">
        <is>
          <t>beta</t>
        </is>
      </c>
      <c r="D46" s="96" t="inlineStr">
        <is>
          <t>Coeficiente da regressão</t>
        </is>
      </c>
      <c r="E46" s="96" t="inlineStr">
        <is>
          <t>unidade do target / unidade do regressor</t>
        </is>
      </c>
      <c r="F46" s="96" t="inlineStr">
        <is>
          <t>OLS HAC</t>
        </is>
      </c>
      <c r="G46" s="96" t="inlineStr">
        <is>
          <t>Calculado</t>
        </is>
      </c>
      <c r="H46" s="99" t="n"/>
      <c r="I46" s="99" t="n"/>
      <c r="J46" s="99" t="n"/>
      <c r="K46" s="99" t="n"/>
      <c r="L46" s="99" t="n"/>
      <c r="M46" s="99" t="n"/>
      <c r="N46" s="99" t="n"/>
    </row>
    <row r="47">
      <c r="C47" s="96" t="inlineStr">
        <is>
          <t>beta_std</t>
        </is>
      </c>
      <c r="D47" s="96" t="inlineStr">
        <is>
          <t>Coeficiente padronizado</t>
        </is>
      </c>
      <c r="E47" s="96" t="inlineStr">
        <is>
          <t>desvios-padrão</t>
        </is>
      </c>
      <c r="F47" s="96" t="inlineStr">
        <is>
          <t>beta × sd(x) / sd(y)</t>
        </is>
      </c>
      <c r="G47" s="96" t="inlineStr">
        <is>
          <t>Calculado</t>
        </is>
      </c>
      <c r="H47" s="99" t="n"/>
      <c r="I47" s="99" t="n"/>
      <c r="J47" s="99" t="n"/>
      <c r="K47" s="99" t="n"/>
      <c r="L47" s="99" t="n"/>
      <c r="M47" s="99" t="n"/>
      <c r="N47" s="99" t="n"/>
    </row>
    <row r="48">
      <c r="C48" s="96" t="inlineStr">
        <is>
          <t>p_hac</t>
        </is>
      </c>
      <c r="D48" s="96" t="inlineStr">
        <is>
          <t>p-valor com erro HAC</t>
        </is>
      </c>
      <c r="E48" s="96" t="inlineStr">
        <is>
          <t>probabilidade</t>
        </is>
      </c>
      <c r="F48" s="96" t="inlineStr">
        <is>
          <t>teste bilateral</t>
        </is>
      </c>
      <c r="G48" s="96" t="inlineStr">
        <is>
          <t>Calculado</t>
        </is>
      </c>
      <c r="H48" s="99" t="n"/>
      <c r="I48" s="99" t="n"/>
      <c r="J48" s="99" t="n"/>
      <c r="K48" s="99" t="n"/>
      <c r="L48" s="99" t="n"/>
      <c r="M48" s="99" t="n"/>
      <c r="N48" s="99" t="n"/>
    </row>
    <row r="49">
      <c r="C49" s="96" t="inlineStr">
        <is>
          <t>q_bh</t>
        </is>
      </c>
      <c r="D49" s="96" t="inlineStr">
        <is>
          <t>p-valor ajustado entre setores</t>
        </is>
      </c>
      <c r="E49" s="96" t="inlineStr">
        <is>
          <t>probabilidade</t>
        </is>
      </c>
      <c r="F49" s="96" t="inlineStr">
        <is>
          <t>Benjamini-Hochberg</t>
        </is>
      </c>
      <c r="G49" s="96" t="inlineStr">
        <is>
          <t>Calculado</t>
        </is>
      </c>
      <c r="H49" s="99" t="n"/>
      <c r="I49" s="99" t="n"/>
      <c r="J49" s="99" t="n"/>
      <c r="K49" s="99" t="n"/>
      <c r="L49" s="99" t="n"/>
      <c r="M49" s="99" t="n"/>
      <c r="N49" s="99" t="n"/>
    </row>
    <row r="50">
      <c r="C50" s="96" t="inlineStr">
        <is>
          <t>r2</t>
        </is>
      </c>
      <c r="D50" s="96" t="inlineStr">
        <is>
          <t>Coeficiente de determinação</t>
        </is>
      </c>
      <c r="E50" s="96" t="inlineStr">
        <is>
          <t>proporção</t>
        </is>
      </c>
      <c r="F50" s="96" t="inlineStr">
        <is>
          <t>OLS</t>
        </is>
      </c>
      <c r="G50" s="96" t="inlineStr">
        <is>
          <t>Calculado</t>
        </is>
      </c>
      <c r="H50" s="99" t="n"/>
      <c r="I50" s="99" t="n"/>
      <c r="J50" s="99" t="n"/>
      <c r="K50" s="99" t="n"/>
      <c r="L50" s="99" t="n"/>
      <c r="M50" s="99" t="n"/>
      <c r="N50" s="99" t="n"/>
    </row>
    <row r="51"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</row>
    <row r="52"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</row>
    <row r="53"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</row>
    <row r="54"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</row>
    <row r="55">
      <c r="C55" s="74" t="inlineStr">
        <is>
          <t>Mapa das abas</t>
        </is>
      </c>
      <c r="D55" s="75" t="n"/>
      <c r="E55" s="75" t="n"/>
      <c r="F55" s="76" t="n"/>
      <c r="G55" s="99" t="n"/>
      <c r="H55" s="99" t="n"/>
      <c r="I55" s="99" t="n"/>
      <c r="J55" s="99" t="n"/>
      <c r="K55" s="99" t="n"/>
      <c r="L55" s="99" t="n"/>
      <c r="M55" s="99" t="n"/>
      <c r="N55" s="99" t="n"/>
    </row>
    <row r="56">
      <c r="C56" s="11" t="inlineStr">
        <is>
          <t>Aba</t>
        </is>
      </c>
      <c r="D56" s="11" t="inlineStr">
        <is>
          <t>Conteúdo</t>
        </is>
      </c>
      <c r="E56" s="11" t="inlineStr">
        <is>
          <t>Tipo</t>
        </is>
      </c>
      <c r="F56" s="11" t="inlineStr">
        <is>
          <t>Uso</t>
        </is>
      </c>
      <c r="G56" s="99" t="n"/>
      <c r="H56" s="99" t="n"/>
      <c r="I56" s="99" t="n"/>
      <c r="J56" s="99" t="n"/>
      <c r="K56" s="99" t="n"/>
      <c r="L56" s="99" t="n"/>
      <c r="M56" s="99" t="n"/>
      <c r="N56" s="99" t="n"/>
    </row>
    <row r="57">
      <c r="C57" s="96" t="inlineStr">
        <is>
          <t>Resumo</t>
        </is>
      </c>
      <c r="D57" s="96" t="inlineStr">
        <is>
          <t>Conclusões e coeficientes principais</t>
        </is>
      </c>
      <c r="E57" s="96" t="inlineStr">
        <is>
          <t>Saída</t>
        </is>
      </c>
      <c r="F57" s="96" t="inlineStr">
        <is>
          <t>Leitura executiva</t>
        </is>
      </c>
      <c r="G57" s="99" t="n"/>
      <c r="H57" s="99" t="n"/>
      <c r="I57" s="99" t="n"/>
      <c r="J57" s="99" t="n"/>
      <c r="K57" s="99" t="n"/>
      <c r="L57" s="99" t="n"/>
      <c r="M57" s="99" t="n"/>
      <c r="N57" s="99" t="n"/>
    </row>
    <row r="58">
      <c r="C58" s="96" t="inlineStr">
        <is>
          <t>Painel Setorial</t>
        </is>
      </c>
      <c r="D58" s="96" t="inlineStr">
        <is>
          <t>Comparação de betas e significância</t>
        </is>
      </c>
      <c r="E58" s="96" t="inlineStr">
        <is>
          <t>Saída</t>
        </is>
      </c>
      <c r="F58" s="96" t="inlineStr">
        <is>
          <t>Ranking setorial</t>
        </is>
      </c>
      <c r="G58" s="99" t="n"/>
      <c r="H58" s="99" t="n"/>
      <c r="I58" s="99" t="n"/>
      <c r="J58" s="99" t="n"/>
      <c r="K58" s="99" t="n"/>
      <c r="L58" s="99" t="n"/>
      <c r="M58" s="99" t="n"/>
      <c r="N58" s="99" t="n"/>
    </row>
    <row r="59">
      <c r="C59" s="96" t="inlineStr">
        <is>
          <t>Sens Focus-Swap</t>
        </is>
      </c>
      <c r="D59" s="96" t="inlineStr">
        <is>
          <t>Matriz formula-driven</t>
        </is>
      </c>
      <c r="E59" s="96" t="inlineStr">
        <is>
          <t>Saída</t>
        </is>
      </c>
      <c r="F59" s="96" t="inlineStr">
        <is>
          <t>Cenários conjuntos</t>
        </is>
      </c>
      <c r="G59" s="99" t="n"/>
      <c r="H59" s="99" t="n"/>
      <c r="I59" s="99" t="n"/>
      <c r="J59" s="99" t="n"/>
      <c r="K59" s="99" t="n"/>
      <c r="L59" s="99" t="n"/>
      <c r="M59" s="99" t="n"/>
      <c r="N59" s="99" t="n"/>
    </row>
    <row r="60">
      <c r="C60" s="96" t="inlineStr">
        <is>
          <t>Inflacao</t>
        </is>
      </c>
      <c r="D60" s="96" t="inlineStr">
        <is>
          <t>Teste entre Focus e inflação realizada</t>
        </is>
      </c>
      <c r="E60" s="96" t="inlineStr">
        <is>
          <t>Saída + detalhe</t>
        </is>
      </c>
      <c r="F60" s="96" t="inlineStr">
        <is>
          <t>Seleção da variável</t>
        </is>
      </c>
      <c r="G60" s="99" t="n"/>
      <c r="H60" s="99" t="n"/>
      <c r="I60" s="99" t="n"/>
      <c r="J60" s="99" t="n"/>
      <c r="K60" s="99" t="n"/>
      <c r="L60" s="99" t="n"/>
      <c r="M60" s="99" t="n"/>
      <c r="N60" s="99" t="n"/>
    </row>
    <row r="61">
      <c r="C61" s="96" t="inlineStr">
        <is>
          <t>Ex-Commodities</t>
        </is>
      </c>
      <c r="D61" s="96" t="inlineStr">
        <is>
          <t>IBOV, ex-commodities e commodities</t>
        </is>
      </c>
      <c r="E61" s="96" t="inlineStr">
        <is>
          <t>Saída + detalhe</t>
        </is>
      </c>
      <c r="F61" s="96" t="inlineStr">
        <is>
          <t>Comparação de exposição</t>
        </is>
      </c>
      <c r="G61" s="99" t="n"/>
      <c r="H61" s="99" t="n"/>
      <c r="I61" s="99" t="n"/>
      <c r="J61" s="99" t="n"/>
      <c r="K61" s="99" t="n"/>
      <c r="L61" s="99" t="n"/>
      <c r="M61" s="99" t="n"/>
      <c r="N61" s="99" t="n"/>
    </row>
    <row r="62">
      <c r="C62" s="96" t="inlineStr">
        <is>
          <t>Energia</t>
        </is>
      </c>
      <c r="D62" s="96" t="inlineStr">
        <is>
          <t>Petrobras e Brent</t>
        </is>
      </c>
      <c r="E62" s="96" t="inlineStr">
        <is>
          <t>Saída</t>
        </is>
      </c>
      <c r="F62" s="96" t="inlineStr">
        <is>
          <t>Decomposição do setor</t>
        </is>
      </c>
      <c r="G62" s="99" t="n"/>
      <c r="H62" s="99" t="n"/>
      <c r="I62" s="99" t="n"/>
      <c r="J62" s="99" t="n"/>
      <c r="K62" s="99" t="n"/>
      <c r="L62" s="99" t="n"/>
      <c r="M62" s="99" t="n"/>
      <c r="N62" s="99" t="n"/>
    </row>
    <row r="63">
      <c r="C63" s="96" t="inlineStr">
        <is>
          <t>Earnings 12M Fwd</t>
        </is>
      </c>
      <c r="D63" s="96" t="inlineStr">
        <is>
          <t>Séries setoriais consolidadas</t>
        </is>
      </c>
      <c r="E63" s="96" t="inlineStr">
        <is>
          <t>Dados</t>
        </is>
      </c>
      <c r="F63" s="96" t="inlineStr">
        <is>
          <t>Níveis</t>
        </is>
      </c>
      <c r="G63" s="99" t="n"/>
      <c r="H63" s="99" t="n"/>
      <c r="I63" s="99" t="n"/>
      <c r="J63" s="99" t="n"/>
      <c r="K63" s="99" t="n"/>
      <c r="L63" s="99" t="n"/>
      <c r="M63" s="99" t="n"/>
      <c r="N63" s="99" t="n"/>
    </row>
    <row r="64">
      <c r="C64" s="96" t="inlineStr">
        <is>
          <t>Earnings Base 100</t>
        </is>
      </c>
      <c r="D64" s="96" t="inlineStr">
        <is>
          <t>Séries normalizadas</t>
        </is>
      </c>
      <c r="E64" s="96" t="inlineStr">
        <is>
          <t>Dados + gráfico</t>
        </is>
      </c>
      <c r="F64" s="96" t="inlineStr">
        <is>
          <t>Comparação histórica</t>
        </is>
      </c>
      <c r="G64" s="99" t="n"/>
      <c r="H64" s="99" t="n"/>
      <c r="I64" s="99" t="n"/>
      <c r="J64" s="99" t="n"/>
      <c r="K64" s="99" t="n"/>
      <c r="L64" s="99" t="n"/>
      <c r="M64" s="99" t="n"/>
      <c r="N64" s="99" t="n"/>
    </row>
    <row r="65">
      <c r="C65" s="96" t="inlineStr">
        <is>
          <t>Revisions 3M</t>
        </is>
      </c>
      <c r="D65" s="96" t="inlineStr">
        <is>
          <t>Revisions setoriais</t>
        </is>
      </c>
      <c r="E65" s="96" t="inlineStr">
        <is>
          <t>Dados</t>
        </is>
      </c>
      <c r="F65" s="96" t="inlineStr">
        <is>
          <t>Targets das regressões</t>
        </is>
      </c>
      <c r="G65" s="99" t="n"/>
      <c r="H65" s="99" t="n"/>
      <c r="I65" s="99" t="n"/>
      <c r="J65" s="99" t="n"/>
      <c r="K65" s="99" t="n"/>
      <c r="L65" s="99" t="n"/>
      <c r="M65" s="99" t="n"/>
      <c r="N65" s="99" t="n"/>
    </row>
    <row r="66">
      <c r="C66" s="96" t="inlineStr">
        <is>
          <t>Series Energia</t>
        </is>
      </c>
      <c r="D66" s="96" t="inlineStr">
        <is>
          <t>Companhias do setor</t>
        </is>
      </c>
      <c r="E66" s="96" t="inlineStr">
        <is>
          <t>Dados + gráfico</t>
        </is>
      </c>
      <c r="F66" s="96" t="inlineStr">
        <is>
          <t>Decomposição</t>
        </is>
      </c>
      <c r="G66" s="99" t="n"/>
      <c r="H66" s="99" t="n"/>
      <c r="I66" s="99" t="n"/>
      <c r="J66" s="99" t="n"/>
      <c r="K66" s="99" t="n"/>
      <c r="L66" s="99" t="n"/>
      <c r="M66" s="99" t="n"/>
      <c r="N66" s="99" t="n"/>
    </row>
    <row r="67">
      <c r="C67" s="96" t="inlineStr">
        <is>
          <t>Macro IBOV</t>
        </is>
      </c>
      <c r="D67" s="96" t="inlineStr">
        <is>
          <t>Earnings do índice e macro</t>
        </is>
      </c>
      <c r="E67" s="96" t="inlineStr">
        <is>
          <t>Dados</t>
        </is>
      </c>
      <c r="F67" s="96" t="inlineStr">
        <is>
          <t>Regressores</t>
        </is>
      </c>
      <c r="G67" s="99" t="n"/>
      <c r="H67" s="99" t="n"/>
      <c r="I67" s="99" t="n"/>
      <c r="J67" s="99" t="n"/>
      <c r="K67" s="99" t="n"/>
      <c r="L67" s="99" t="n"/>
      <c r="M67" s="99" t="n"/>
      <c r="N67" s="99" t="n"/>
    </row>
    <row r="68">
      <c r="C68" s="96" t="inlineStr">
        <is>
          <t>Reg IBOV</t>
        </is>
      </c>
      <c r="D68" s="96" t="inlineStr">
        <is>
          <t>Coeficientes do índice</t>
        </is>
      </c>
      <c r="E68" s="96" t="inlineStr">
        <is>
          <t>Resultados</t>
        </is>
      </c>
      <c r="F68" s="96" t="inlineStr">
        <is>
          <t>Auditoria</t>
        </is>
      </c>
      <c r="G68" s="99" t="n"/>
      <c r="H68" s="99" t="n"/>
      <c r="I68" s="99" t="n"/>
      <c r="J68" s="99" t="n"/>
      <c r="K68" s="99" t="n"/>
      <c r="L68" s="99" t="n"/>
      <c r="M68" s="99" t="n"/>
      <c r="N68" s="99" t="n"/>
    </row>
    <row r="69">
      <c r="C69" s="96" t="inlineStr">
        <is>
          <t>Reg Setores</t>
        </is>
      </c>
      <c r="D69" s="96" t="inlineStr">
        <is>
          <t>Coeficientes por setor</t>
        </is>
      </c>
      <c r="E69" s="96" t="inlineStr">
        <is>
          <t>Resultados</t>
        </is>
      </c>
      <c r="F69" s="96" t="inlineStr">
        <is>
          <t>Auditoria</t>
        </is>
      </c>
      <c r="G69" s="99" t="n"/>
      <c r="H69" s="99" t="n"/>
      <c r="I69" s="99" t="n"/>
      <c r="J69" s="99" t="n"/>
      <c r="K69" s="99" t="n"/>
      <c r="L69" s="99" t="n"/>
      <c r="M69" s="99" t="n"/>
      <c r="N69" s="99" t="n"/>
    </row>
    <row r="70">
      <c r="C70" s="96" t="inlineStr">
        <is>
          <t>Swap Robustez</t>
        </is>
      </c>
      <c r="D70" s="96" t="inlineStr">
        <is>
          <t>Variações de especificação e amostra</t>
        </is>
      </c>
      <c r="E70" s="96" t="inlineStr">
        <is>
          <t>Resultados</t>
        </is>
      </c>
      <c r="F70" s="96" t="inlineStr">
        <is>
          <t>Sinal do swap</t>
        </is>
      </c>
      <c r="G70" s="99" t="n"/>
      <c r="H70" s="99" t="n"/>
      <c r="I70" s="99" t="n"/>
      <c r="J70" s="99" t="n"/>
      <c r="K70" s="99" t="n"/>
      <c r="L70" s="99" t="n"/>
      <c r="M70" s="99" t="n"/>
      <c r="N70" s="99" t="n"/>
    </row>
    <row r="71">
      <c r="C71" s="96" t="inlineStr">
        <is>
          <t>Reg Energia</t>
        </is>
      </c>
      <c r="D71" s="96" t="inlineStr">
        <is>
          <t>Energia/Petrobras/Brent</t>
        </is>
      </c>
      <c r="E71" s="96" t="inlineStr">
        <is>
          <t>Resultados</t>
        </is>
      </c>
      <c r="F71" s="96" t="inlineStr">
        <is>
          <t>Auditoria</t>
        </is>
      </c>
      <c r="G71" s="99" t="n"/>
      <c r="H71" s="99" t="n"/>
      <c r="I71" s="99" t="n"/>
      <c r="J71" s="99" t="n"/>
      <c r="K71" s="99" t="n"/>
      <c r="L71" s="99" t="n"/>
      <c r="M71" s="99" t="n"/>
      <c r="N71" s="99" t="n"/>
    </row>
    <row r="72">
      <c r="C72" s="96" t="inlineStr">
        <is>
          <t>Seams</t>
        </is>
      </c>
      <c r="D72" s="96" t="inlineStr">
        <is>
          <t>Janelas que atravessam emendas</t>
        </is>
      </c>
      <c r="E72" s="96" t="inlineStr">
        <is>
          <t>Diagnóstico</t>
        </is>
      </c>
      <c r="F72" s="96" t="inlineStr">
        <is>
          <t>Controle metodológico</t>
        </is>
      </c>
      <c r="G72" s="99" t="n"/>
      <c r="H72" s="99" t="n"/>
      <c r="I72" s="99" t="n"/>
      <c r="J72" s="99" t="n"/>
      <c r="K72" s="99" t="n"/>
      <c r="L72" s="99" t="n"/>
      <c r="M72" s="99" t="n"/>
      <c r="N72" s="99" t="n"/>
    </row>
    <row r="73">
      <c r="C73" s="96" t="inlineStr">
        <is>
          <t>Fontes</t>
        </is>
      </c>
      <c r="D73" s="96" t="inlineStr">
        <is>
          <t>URLs e hashes</t>
        </is>
      </c>
      <c r="E73" s="96" t="inlineStr">
        <is>
          <t>Proveniência</t>
        </is>
      </c>
      <c r="F73" s="96" t="inlineStr">
        <is>
          <t>Rastreabilidade</t>
        </is>
      </c>
      <c r="G73" s="99" t="n"/>
      <c r="H73" s="99" t="n"/>
      <c r="I73" s="99" t="n"/>
      <c r="J73" s="99" t="n"/>
      <c r="K73" s="99" t="n"/>
      <c r="L73" s="99" t="n"/>
      <c r="M73" s="99" t="n"/>
      <c r="N73" s="99" t="n"/>
    </row>
    <row r="74"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</row>
    <row r="75"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</row>
    <row r="76">
      <c r="C76" s="74" t="inlineStr">
        <is>
          <t>Histórico de versões</t>
        </is>
      </c>
      <c r="D76" s="75" t="n"/>
      <c r="E76" s="75" t="n"/>
      <c r="F76" s="76" t="n"/>
      <c r="G76" s="99" t="n"/>
      <c r="H76" s="99" t="n"/>
      <c r="I76" s="99" t="n"/>
      <c r="J76" s="99" t="n"/>
      <c r="K76" s="99" t="n"/>
      <c r="L76" s="99" t="n"/>
      <c r="M76" s="99" t="n"/>
      <c r="N76" s="99" t="n"/>
    </row>
    <row r="77">
      <c r="C77" s="11" t="inlineStr">
        <is>
          <t>Data</t>
        </is>
      </c>
      <c r="D77" s="11" t="inlineStr">
        <is>
          <t>Versão</t>
        </is>
      </c>
      <c r="E77" s="11" t="inlineStr">
        <is>
          <t>Alteração</t>
        </is>
      </c>
      <c r="F77" s="11" t="inlineStr">
        <is>
          <t>Responsável</t>
        </is>
      </c>
      <c r="G77" s="99" t="n"/>
      <c r="H77" s="99" t="n"/>
      <c r="I77" s="99" t="n"/>
      <c r="J77" s="99" t="n"/>
      <c r="K77" s="99" t="n"/>
      <c r="L77" s="99" t="n"/>
      <c r="M77" s="99" t="n"/>
      <c r="N77" s="99" t="n"/>
    </row>
    <row r="78">
      <c r="C78" s="149" t="n">
        <v>46269</v>
      </c>
      <c r="D78" s="6" t="inlineStr">
        <is>
          <t>1.0</t>
        </is>
      </c>
      <c r="E78" s="6" t="inlineStr">
        <is>
          <t>Consolidação das séries, regressões, sensibilidades e documentação em um workbook.</t>
        </is>
      </c>
      <c r="F78" s="6" t="inlineStr">
        <is>
          <t>Codex</t>
        </is>
      </c>
      <c r="G78" s="99" t="n"/>
      <c r="H78" s="99" t="n"/>
      <c r="I78" s="99" t="n"/>
      <c r="J78" s="99" t="n"/>
      <c r="K78" s="99" t="n"/>
      <c r="L78" s="99" t="n"/>
      <c r="M78" s="99" t="n"/>
      <c r="N78" s="9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2026-09-04T19:52:22Z</dcterms:created>
  <dcterms:modified xmlns:dcterms="http://purl.org/dc/terms/" xmlns:xsi="http://www.w3.org/2001/XMLSchema-instance" xsi:type="dcterms:W3CDTF">2026-09-04T19:52:23Z</dcterms:modified>
</cp:coreProperties>
</file>